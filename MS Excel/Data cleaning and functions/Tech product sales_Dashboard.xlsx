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FAE16F7C-9CF4-4A8D-9E26-CF19B2753BD1}" xr6:coauthVersionLast="47" xr6:coauthVersionMax="47" xr10:uidLastSave="{00000000-0000-0000-0000-000000000000}"/>
  <bookViews>
    <workbookView xWindow="-108" yWindow="-108" windowWidth="23256" windowHeight="12456" xr2:uid="{87767423-0577-4A2E-80EC-69ADF62F8A09}"/>
  </bookViews>
  <sheets>
    <sheet name="Dashboard" sheetId="8" r:id="rId1"/>
    <sheet name="kpi" sheetId="4" r:id="rId2"/>
    <sheet name="Dataset" sheetId="1" r:id="rId3"/>
  </sheets>
  <definedNames>
    <definedName name="_xlchart.v1.11" hidden="1">kpi!$M$24:$M$33</definedName>
    <definedName name="_xlchart.v1.12" hidden="1">kpi!$N$23</definedName>
    <definedName name="_xlchart.v1.13" hidden="1">kpi!$N$24:$N$33</definedName>
    <definedName name="_xlchart.v1.4" hidden="1">kpi!$M$24:$M$33</definedName>
    <definedName name="_xlchart.v1.5" hidden="1">kpi!$N$23</definedName>
    <definedName name="_xlchart.v1.6" hidden="1">kpi!$N$24:$N$33</definedName>
    <definedName name="_xlchart.v5.0" hidden="1">kpi!$E$43</definedName>
    <definedName name="_xlchart.v5.1" hidden="1">kpi!$E$44:$E$71</definedName>
    <definedName name="_xlchart.v5.10" hidden="1">kpi!$F$44:$F$71</definedName>
    <definedName name="_xlchart.v5.2" hidden="1">kpi!$F$43</definedName>
    <definedName name="_xlchart.v5.3" hidden="1">kpi!$F$44:$F$71</definedName>
    <definedName name="_xlchart.v5.7" hidden="1">kpi!$E$43</definedName>
    <definedName name="_xlchart.v5.8" hidden="1">kpi!$E$44:$E$71</definedName>
    <definedName name="_xlchart.v5.9" hidden="1">kpi!$F$43</definedName>
    <definedName name="Slicer_Product">#N/A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6" i="1" l="1"/>
  <c r="N3" i="1"/>
  <c r="N4" i="1"/>
  <c r="N5"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L222" i="1"/>
  <c r="L223" i="1"/>
  <c r="L224" i="1"/>
  <c r="M224" i="1" s="1"/>
  <c r="L225" i="1"/>
  <c r="M225" i="1" s="1"/>
  <c r="L226" i="1"/>
  <c r="M226" i="1" s="1"/>
  <c r="L227" i="1"/>
  <c r="M227" i="1" s="1"/>
  <c r="L228" i="1"/>
  <c r="M228" i="1" s="1"/>
  <c r="L229" i="1"/>
  <c r="M229" i="1" s="1"/>
  <c r="L230" i="1"/>
  <c r="L231" i="1"/>
  <c r="L232" i="1"/>
  <c r="M232" i="1" s="1"/>
  <c r="L233" i="1"/>
  <c r="M233" i="1" s="1"/>
  <c r="L234" i="1"/>
  <c r="M234" i="1" s="1"/>
  <c r="L235" i="1"/>
  <c r="M235" i="1" s="1"/>
  <c r="L236" i="1"/>
  <c r="M236" i="1" s="1"/>
  <c r="L237" i="1"/>
  <c r="M237" i="1" s="1"/>
  <c r="L238" i="1"/>
  <c r="L239" i="1"/>
  <c r="L240" i="1"/>
  <c r="M240" i="1" s="1"/>
  <c r="L241" i="1"/>
  <c r="M241" i="1" s="1"/>
  <c r="L242" i="1"/>
  <c r="M242" i="1" s="1"/>
  <c r="L243" i="1"/>
  <c r="M243" i="1" s="1"/>
  <c r="L244" i="1"/>
  <c r="M244" i="1" s="1"/>
  <c r="L245" i="1"/>
  <c r="M245" i="1" s="1"/>
  <c r="L246" i="1"/>
  <c r="L247" i="1"/>
  <c r="L248" i="1"/>
  <c r="M248" i="1" s="1"/>
  <c r="L249" i="1"/>
  <c r="M249" i="1" s="1"/>
  <c r="L250" i="1"/>
  <c r="M250" i="1" s="1"/>
  <c r="L251" i="1"/>
  <c r="M251" i="1" s="1"/>
  <c r="L252" i="1"/>
  <c r="M252" i="1" s="1"/>
  <c r="L253" i="1"/>
  <c r="M253" i="1" s="1"/>
  <c r="L254" i="1"/>
  <c r="L255" i="1"/>
  <c r="L256" i="1"/>
  <c r="M256" i="1" s="1"/>
  <c r="L257" i="1"/>
  <c r="M257" i="1" s="1"/>
  <c r="L258" i="1"/>
  <c r="M258" i="1" s="1"/>
  <c r="L259" i="1"/>
  <c r="M259" i="1" s="1"/>
  <c r="L260" i="1"/>
  <c r="M260" i="1" s="1"/>
  <c r="L261" i="1"/>
  <c r="M261" i="1" s="1"/>
  <c r="L262" i="1"/>
  <c r="L263" i="1"/>
  <c r="L264" i="1"/>
  <c r="M264" i="1" s="1"/>
  <c r="L265" i="1"/>
  <c r="M265" i="1" s="1"/>
  <c r="L266" i="1"/>
  <c r="M266" i="1" s="1"/>
  <c r="L267" i="1"/>
  <c r="M267" i="1" s="1"/>
  <c r="L268" i="1"/>
  <c r="M268" i="1" s="1"/>
  <c r="L269" i="1"/>
  <c r="M269" i="1" s="1"/>
  <c r="L270" i="1"/>
  <c r="L271" i="1"/>
  <c r="L272" i="1"/>
  <c r="M272" i="1" s="1"/>
  <c r="L273" i="1"/>
  <c r="M273" i="1" s="1"/>
  <c r="L274" i="1"/>
  <c r="M274" i="1" s="1"/>
  <c r="L275" i="1"/>
  <c r="M275" i="1" s="1"/>
  <c r="L276" i="1"/>
  <c r="M276" i="1" s="1"/>
  <c r="L277" i="1"/>
  <c r="M277" i="1" s="1"/>
  <c r="L278" i="1"/>
  <c r="L279" i="1"/>
  <c r="L280" i="1"/>
  <c r="M280" i="1" s="1"/>
  <c r="L281" i="1"/>
  <c r="M281" i="1" s="1"/>
  <c r="L282" i="1"/>
  <c r="M282" i="1" s="1"/>
  <c r="L283" i="1"/>
  <c r="M283" i="1" s="1"/>
  <c r="L284" i="1"/>
  <c r="M284" i="1" s="1"/>
  <c r="L285" i="1"/>
  <c r="M285" i="1" s="1"/>
  <c r="L286" i="1"/>
  <c r="L287" i="1"/>
  <c r="L288" i="1"/>
  <c r="M288" i="1" s="1"/>
  <c r="L289" i="1"/>
  <c r="M289" i="1" s="1"/>
  <c r="L290" i="1"/>
  <c r="M290" i="1" s="1"/>
  <c r="L291" i="1"/>
  <c r="M291" i="1" s="1"/>
  <c r="L292" i="1"/>
  <c r="M292" i="1" s="1"/>
  <c r="L293" i="1"/>
  <c r="M293" i="1" s="1"/>
  <c r="L294" i="1"/>
  <c r="L295" i="1"/>
  <c r="L296" i="1"/>
  <c r="M296" i="1" s="1"/>
  <c r="L297" i="1"/>
  <c r="M297" i="1" s="1"/>
  <c r="L298" i="1"/>
  <c r="M298" i="1" s="1"/>
  <c r="L299" i="1"/>
  <c r="M299" i="1" s="1"/>
  <c r="L300" i="1"/>
  <c r="M300" i="1" s="1"/>
  <c r="L301" i="1"/>
  <c r="M301" i="1" s="1"/>
  <c r="L302" i="1"/>
  <c r="L303" i="1"/>
  <c r="L304" i="1"/>
  <c r="M304" i="1" s="1"/>
  <c r="L305" i="1"/>
  <c r="M305" i="1" s="1"/>
  <c r="L306" i="1"/>
  <c r="M306" i="1" s="1"/>
  <c r="L307" i="1"/>
  <c r="M307" i="1" s="1"/>
  <c r="L308" i="1"/>
  <c r="M308" i="1" s="1"/>
  <c r="L309" i="1"/>
  <c r="M309" i="1" s="1"/>
  <c r="L310" i="1"/>
  <c r="L311" i="1"/>
  <c r="L312" i="1"/>
  <c r="M312" i="1" s="1"/>
  <c r="L313" i="1"/>
  <c r="M313" i="1" s="1"/>
  <c r="L314" i="1"/>
  <c r="M314" i="1" s="1"/>
  <c r="L315" i="1"/>
  <c r="M315" i="1" s="1"/>
  <c r="L316" i="1"/>
  <c r="M316" i="1" s="1"/>
  <c r="L317" i="1"/>
  <c r="M317" i="1" s="1"/>
  <c r="L318" i="1"/>
  <c r="L319" i="1"/>
  <c r="L320" i="1"/>
  <c r="M320" i="1" s="1"/>
  <c r="L321" i="1"/>
  <c r="M321" i="1" s="1"/>
  <c r="L322" i="1"/>
  <c r="M322" i="1" s="1"/>
  <c r="L323" i="1"/>
  <c r="M323" i="1" s="1"/>
  <c r="L324" i="1"/>
  <c r="M324" i="1" s="1"/>
  <c r="L325" i="1"/>
  <c r="M325" i="1" s="1"/>
  <c r="L326" i="1"/>
  <c r="L327" i="1"/>
  <c r="L328" i="1"/>
  <c r="M328" i="1" s="1"/>
  <c r="L329" i="1"/>
  <c r="M329" i="1" s="1"/>
  <c r="L330" i="1"/>
  <c r="M330" i="1" s="1"/>
  <c r="L331" i="1"/>
  <c r="M331" i="1" s="1"/>
  <c r="L332" i="1"/>
  <c r="M332" i="1" s="1"/>
  <c r="L333" i="1"/>
  <c r="M333" i="1" s="1"/>
  <c r="L334" i="1"/>
  <c r="L335" i="1"/>
  <c r="L336" i="1"/>
  <c r="M336" i="1" s="1"/>
  <c r="L337" i="1"/>
  <c r="M337" i="1" s="1"/>
  <c r="L338" i="1"/>
  <c r="M338" i="1" s="1"/>
  <c r="L339" i="1"/>
  <c r="M339" i="1" s="1"/>
  <c r="L340" i="1"/>
  <c r="M340" i="1" s="1"/>
  <c r="L341" i="1"/>
  <c r="M341" i="1" s="1"/>
  <c r="L342" i="1"/>
  <c r="L343" i="1"/>
  <c r="L344" i="1"/>
  <c r="M344" i="1" s="1"/>
  <c r="L345" i="1"/>
  <c r="M345" i="1" s="1"/>
  <c r="L346" i="1"/>
  <c r="M346" i="1" s="1"/>
  <c r="L347" i="1"/>
  <c r="M347" i="1" s="1"/>
  <c r="L348" i="1"/>
  <c r="M348" i="1" s="1"/>
  <c r="L349" i="1"/>
  <c r="M349" i="1" s="1"/>
  <c r="L350" i="1"/>
  <c r="L351" i="1"/>
  <c r="L352" i="1"/>
  <c r="M352" i="1" s="1"/>
  <c r="L353" i="1"/>
  <c r="M353" i="1" s="1"/>
  <c r="L354" i="1"/>
  <c r="M354" i="1" s="1"/>
  <c r="L355" i="1"/>
  <c r="M355" i="1" s="1"/>
  <c r="L356" i="1"/>
  <c r="M356" i="1" s="1"/>
  <c r="L357" i="1"/>
  <c r="M357" i="1" s="1"/>
  <c r="L358" i="1"/>
  <c r="L359" i="1"/>
  <c r="L360" i="1"/>
  <c r="M360" i="1" s="1"/>
  <c r="L361" i="1"/>
  <c r="M361" i="1" s="1"/>
  <c r="L362" i="1"/>
  <c r="M362" i="1" s="1"/>
  <c r="L363" i="1"/>
  <c r="M363" i="1" s="1"/>
  <c r="L364" i="1"/>
  <c r="M364" i="1" s="1"/>
  <c r="L365" i="1"/>
  <c r="M365" i="1" s="1"/>
  <c r="L366" i="1"/>
  <c r="L367" i="1"/>
  <c r="L368" i="1"/>
  <c r="M368" i="1" s="1"/>
  <c r="L369" i="1"/>
  <c r="M369" i="1" s="1"/>
  <c r="L370" i="1"/>
  <c r="M370" i="1" s="1"/>
  <c r="L371" i="1"/>
  <c r="M371" i="1" s="1"/>
  <c r="L372" i="1"/>
  <c r="M372" i="1" s="1"/>
  <c r="L373" i="1"/>
  <c r="M373" i="1" s="1"/>
  <c r="L374" i="1"/>
  <c r="L375" i="1"/>
  <c r="L376" i="1"/>
  <c r="M376" i="1" s="1"/>
  <c r="L377" i="1"/>
  <c r="M377" i="1" s="1"/>
  <c r="L378" i="1"/>
  <c r="M378" i="1" s="1"/>
  <c r="L379" i="1"/>
  <c r="M379" i="1" s="1"/>
  <c r="L380" i="1"/>
  <c r="M380" i="1" s="1"/>
  <c r="L381" i="1"/>
  <c r="M381" i="1" s="1"/>
  <c r="L382" i="1"/>
  <c r="L383" i="1"/>
  <c r="L384" i="1"/>
  <c r="M384" i="1" s="1"/>
  <c r="L385" i="1"/>
  <c r="M385" i="1" s="1"/>
  <c r="L386" i="1"/>
  <c r="M386" i="1" s="1"/>
  <c r="L387" i="1"/>
  <c r="M387" i="1" s="1"/>
  <c r="L388" i="1"/>
  <c r="M388" i="1" s="1"/>
  <c r="L389" i="1"/>
  <c r="M389" i="1" s="1"/>
  <c r="L390" i="1"/>
  <c r="L391" i="1"/>
  <c r="L392" i="1"/>
  <c r="M392" i="1" s="1"/>
  <c r="L393" i="1"/>
  <c r="M393" i="1" s="1"/>
  <c r="L394" i="1"/>
  <c r="M394" i="1" s="1"/>
  <c r="L395" i="1"/>
  <c r="M395" i="1" s="1"/>
  <c r="L396" i="1"/>
  <c r="M396" i="1" s="1"/>
  <c r="L397" i="1"/>
  <c r="M397" i="1" s="1"/>
  <c r="L398" i="1"/>
  <c r="L399" i="1"/>
  <c r="L400" i="1"/>
  <c r="M400" i="1" s="1"/>
  <c r="L221"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186" i="1"/>
  <c r="L92" i="1"/>
  <c r="L93" i="1"/>
  <c r="L94" i="1"/>
  <c r="L95" i="1"/>
  <c r="L96" i="1"/>
  <c r="M96" i="1" s="1"/>
  <c r="L97" i="1"/>
  <c r="M97" i="1" s="1"/>
  <c r="L98" i="1"/>
  <c r="M98" i="1" s="1"/>
  <c r="L99" i="1"/>
  <c r="M99" i="1" s="1"/>
  <c r="L100" i="1"/>
  <c r="L101" i="1"/>
  <c r="L102" i="1"/>
  <c r="L103" i="1"/>
  <c r="L104" i="1"/>
  <c r="M104" i="1" s="1"/>
  <c r="L105" i="1"/>
  <c r="M105" i="1" s="1"/>
  <c r="L106" i="1"/>
  <c r="M106" i="1" s="1"/>
  <c r="L107" i="1"/>
  <c r="M107" i="1" s="1"/>
  <c r="L108" i="1"/>
  <c r="L109" i="1"/>
  <c r="L110" i="1"/>
  <c r="L111" i="1"/>
  <c r="L112" i="1"/>
  <c r="M112" i="1" s="1"/>
  <c r="L113" i="1"/>
  <c r="M113" i="1" s="1"/>
  <c r="L114" i="1"/>
  <c r="M114" i="1" s="1"/>
  <c r="L115" i="1"/>
  <c r="M115" i="1" s="1"/>
  <c r="L116" i="1"/>
  <c r="L117" i="1"/>
  <c r="L118" i="1"/>
  <c r="L119" i="1"/>
  <c r="L120" i="1"/>
  <c r="M120" i="1" s="1"/>
  <c r="L121" i="1"/>
  <c r="M121" i="1" s="1"/>
  <c r="L122" i="1"/>
  <c r="M122" i="1" s="1"/>
  <c r="L123" i="1"/>
  <c r="M123" i="1" s="1"/>
  <c r="L124" i="1"/>
  <c r="L125" i="1"/>
  <c r="L126" i="1"/>
  <c r="L127" i="1"/>
  <c r="L128" i="1"/>
  <c r="M128" i="1" s="1"/>
  <c r="L129" i="1"/>
  <c r="M129" i="1" s="1"/>
  <c r="L130" i="1"/>
  <c r="M130" i="1" s="1"/>
  <c r="L131" i="1"/>
  <c r="M131" i="1" s="1"/>
  <c r="L132" i="1"/>
  <c r="L133" i="1"/>
  <c r="L134" i="1"/>
  <c r="L135" i="1"/>
  <c r="L136" i="1"/>
  <c r="M136" i="1" s="1"/>
  <c r="L137" i="1"/>
  <c r="M137" i="1" s="1"/>
  <c r="L138" i="1"/>
  <c r="M138" i="1" s="1"/>
  <c r="L139" i="1"/>
  <c r="M139" i="1" s="1"/>
  <c r="L140" i="1"/>
  <c r="L141" i="1"/>
  <c r="L142" i="1"/>
  <c r="L143" i="1"/>
  <c r="L144" i="1"/>
  <c r="M144" i="1" s="1"/>
  <c r="L145" i="1"/>
  <c r="M145" i="1" s="1"/>
  <c r="L146" i="1"/>
  <c r="M146" i="1" s="1"/>
  <c r="L147" i="1"/>
  <c r="M147" i="1" s="1"/>
  <c r="L148" i="1"/>
  <c r="L149" i="1"/>
  <c r="L150" i="1"/>
  <c r="L151" i="1"/>
  <c r="L152" i="1"/>
  <c r="M152" i="1" s="1"/>
  <c r="L153" i="1"/>
  <c r="M153" i="1" s="1"/>
  <c r="L154" i="1"/>
  <c r="M154" i="1" s="1"/>
  <c r="L155" i="1"/>
  <c r="M155" i="1" s="1"/>
  <c r="L156" i="1"/>
  <c r="L157" i="1"/>
  <c r="L158" i="1"/>
  <c r="L159" i="1"/>
  <c r="L160" i="1"/>
  <c r="M160" i="1" s="1"/>
  <c r="L161" i="1"/>
  <c r="M161" i="1" s="1"/>
  <c r="L162" i="1"/>
  <c r="M162" i="1" s="1"/>
  <c r="L163" i="1"/>
  <c r="M163" i="1" s="1"/>
  <c r="L164" i="1"/>
  <c r="L165" i="1"/>
  <c r="L166" i="1"/>
  <c r="L167" i="1"/>
  <c r="L168" i="1"/>
  <c r="M168" i="1" s="1"/>
  <c r="L169" i="1"/>
  <c r="M169" i="1" s="1"/>
  <c r="L170" i="1"/>
  <c r="M170" i="1" s="1"/>
  <c r="L171" i="1"/>
  <c r="M171" i="1" s="1"/>
  <c r="L172" i="1"/>
  <c r="L173" i="1"/>
  <c r="L174" i="1"/>
  <c r="L175" i="1"/>
  <c r="L176" i="1"/>
  <c r="M176" i="1" s="1"/>
  <c r="L177" i="1"/>
  <c r="M177" i="1" s="1"/>
  <c r="L178" i="1"/>
  <c r="M178" i="1" s="1"/>
  <c r="L179" i="1"/>
  <c r="M179" i="1" s="1"/>
  <c r="L180" i="1"/>
  <c r="L181" i="1"/>
  <c r="L182" i="1"/>
  <c r="L183" i="1"/>
  <c r="L184" i="1"/>
  <c r="M184" i="1" s="1"/>
  <c r="L185" i="1"/>
  <c r="M185" i="1" s="1"/>
  <c r="L91" i="1"/>
  <c r="L24" i="1"/>
  <c r="L25" i="1"/>
  <c r="L26" i="1"/>
  <c r="L27" i="1"/>
  <c r="L28" i="1"/>
  <c r="L29" i="1"/>
  <c r="L30" i="1"/>
  <c r="L31" i="1"/>
  <c r="M31" i="1" s="1"/>
  <c r="L32" i="1"/>
  <c r="L33" i="1"/>
  <c r="L34" i="1"/>
  <c r="L35" i="1"/>
  <c r="L36" i="1"/>
  <c r="L37" i="1"/>
  <c r="L38" i="1"/>
  <c r="L39" i="1"/>
  <c r="M39" i="1" s="1"/>
  <c r="L40" i="1"/>
  <c r="L41" i="1"/>
  <c r="L42" i="1"/>
  <c r="L43" i="1"/>
  <c r="L44" i="1"/>
  <c r="L45" i="1"/>
  <c r="L46" i="1"/>
  <c r="L47" i="1"/>
  <c r="M47" i="1" s="1"/>
  <c r="L48" i="1"/>
  <c r="L49" i="1"/>
  <c r="L50" i="1"/>
  <c r="L51" i="1"/>
  <c r="L52" i="1"/>
  <c r="L53" i="1"/>
  <c r="L54" i="1"/>
  <c r="L55" i="1"/>
  <c r="M55" i="1" s="1"/>
  <c r="L56" i="1"/>
  <c r="L57" i="1"/>
  <c r="L58" i="1"/>
  <c r="L59" i="1"/>
  <c r="L60" i="1"/>
  <c r="L61" i="1"/>
  <c r="L62" i="1"/>
  <c r="L63" i="1"/>
  <c r="M63" i="1" s="1"/>
  <c r="L64" i="1"/>
  <c r="L65" i="1"/>
  <c r="L66" i="1"/>
  <c r="L67" i="1"/>
  <c r="L68" i="1"/>
  <c r="L69" i="1"/>
  <c r="L70" i="1"/>
  <c r="L71" i="1"/>
  <c r="M71" i="1" s="1"/>
  <c r="L72" i="1"/>
  <c r="L73" i="1"/>
  <c r="L74" i="1"/>
  <c r="L75" i="1"/>
  <c r="L76" i="1"/>
  <c r="L77" i="1"/>
  <c r="L78" i="1"/>
  <c r="L79" i="1"/>
  <c r="M79" i="1" s="1"/>
  <c r="L80" i="1"/>
  <c r="L81" i="1"/>
  <c r="L82" i="1"/>
  <c r="L83" i="1"/>
  <c r="L84" i="1"/>
  <c r="L85" i="1"/>
  <c r="L86" i="1"/>
  <c r="L87" i="1"/>
  <c r="M87" i="1" s="1"/>
  <c r="L88" i="1"/>
  <c r="L89" i="1"/>
  <c r="L90" i="1"/>
  <c r="L23" i="1"/>
  <c r="L3" i="1"/>
  <c r="L4" i="1"/>
  <c r="L5" i="1"/>
  <c r="M5" i="1" s="1"/>
  <c r="L6" i="1"/>
  <c r="M6" i="1" s="1"/>
  <c r="L7" i="1"/>
  <c r="M7" i="1" s="1"/>
  <c r="L8" i="1"/>
  <c r="M8" i="1" s="1"/>
  <c r="L9" i="1"/>
  <c r="M9" i="1" s="1"/>
  <c r="L10" i="1"/>
  <c r="M10" i="1" s="1"/>
  <c r="L11" i="1"/>
  <c r="L12" i="1"/>
  <c r="L13" i="1"/>
  <c r="L14" i="1"/>
  <c r="L15" i="1"/>
  <c r="L16" i="1"/>
  <c r="L17" i="1"/>
  <c r="L18" i="1"/>
  <c r="L19" i="1"/>
  <c r="L20" i="1"/>
  <c r="L21" i="1"/>
  <c r="L22" i="1"/>
  <c r="L2" i="1"/>
  <c r="N2" i="1"/>
  <c r="M3" i="1"/>
  <c r="M4" i="1"/>
  <c r="M11" i="1"/>
  <c r="M12" i="1"/>
  <c r="M13" i="1"/>
  <c r="M14" i="1"/>
  <c r="M15" i="1"/>
  <c r="M16" i="1"/>
  <c r="M17" i="1"/>
  <c r="M18" i="1"/>
  <c r="M19" i="1"/>
  <c r="M20" i="1"/>
  <c r="M21" i="1"/>
  <c r="M22" i="1"/>
  <c r="M23" i="1"/>
  <c r="M24" i="1"/>
  <c r="M25" i="1"/>
  <c r="M26" i="1"/>
  <c r="M27" i="1"/>
  <c r="M28" i="1"/>
  <c r="M29" i="1"/>
  <c r="M30" i="1"/>
  <c r="M32" i="1"/>
  <c r="M33" i="1"/>
  <c r="M34" i="1"/>
  <c r="M35" i="1"/>
  <c r="M36" i="1"/>
  <c r="M37" i="1"/>
  <c r="M38" i="1"/>
  <c r="M40" i="1"/>
  <c r="M41" i="1"/>
  <c r="M42" i="1"/>
  <c r="M43" i="1"/>
  <c r="M44" i="1"/>
  <c r="M45" i="1"/>
  <c r="M46" i="1"/>
  <c r="M48" i="1"/>
  <c r="M49" i="1"/>
  <c r="M50" i="1"/>
  <c r="M51" i="1"/>
  <c r="M52" i="1"/>
  <c r="M53" i="1"/>
  <c r="M54" i="1"/>
  <c r="M56" i="1"/>
  <c r="M57" i="1"/>
  <c r="M58" i="1"/>
  <c r="M59" i="1"/>
  <c r="M60" i="1"/>
  <c r="M61" i="1"/>
  <c r="M62" i="1"/>
  <c r="M64" i="1"/>
  <c r="M65" i="1"/>
  <c r="M66" i="1"/>
  <c r="M67" i="1"/>
  <c r="M68" i="1"/>
  <c r="M69" i="1"/>
  <c r="M70" i="1"/>
  <c r="M72" i="1"/>
  <c r="M73" i="1"/>
  <c r="M74" i="1"/>
  <c r="M75" i="1"/>
  <c r="M76" i="1"/>
  <c r="M77" i="1"/>
  <c r="M78" i="1"/>
  <c r="M80" i="1"/>
  <c r="M81" i="1"/>
  <c r="M82" i="1"/>
  <c r="M83" i="1"/>
  <c r="M84" i="1"/>
  <c r="M85" i="1"/>
  <c r="M86" i="1"/>
  <c r="M88" i="1"/>
  <c r="M89" i="1"/>
  <c r="M90" i="1"/>
  <c r="M91" i="1"/>
  <c r="M92" i="1"/>
  <c r="M93" i="1"/>
  <c r="M94" i="1"/>
  <c r="M95" i="1"/>
  <c r="M100" i="1"/>
  <c r="M101" i="1"/>
  <c r="M102" i="1"/>
  <c r="M103" i="1"/>
  <c r="M108" i="1"/>
  <c r="M109" i="1"/>
  <c r="M110" i="1"/>
  <c r="M111" i="1"/>
  <c r="M116" i="1"/>
  <c r="M117" i="1"/>
  <c r="M118" i="1"/>
  <c r="M119" i="1"/>
  <c r="M124" i="1"/>
  <c r="M125" i="1"/>
  <c r="M126" i="1"/>
  <c r="M127" i="1"/>
  <c r="M132" i="1"/>
  <c r="M133" i="1"/>
  <c r="M134" i="1"/>
  <c r="M135" i="1"/>
  <c r="M140" i="1"/>
  <c r="M141" i="1"/>
  <c r="M142" i="1"/>
  <c r="M143" i="1"/>
  <c r="M148" i="1"/>
  <c r="M149" i="1"/>
  <c r="M150" i="1"/>
  <c r="M151" i="1"/>
  <c r="M156" i="1"/>
  <c r="M157" i="1"/>
  <c r="M158" i="1"/>
  <c r="M159" i="1"/>
  <c r="M164" i="1"/>
  <c r="M165" i="1"/>
  <c r="M166" i="1"/>
  <c r="M167" i="1"/>
  <c r="M172" i="1"/>
  <c r="M173" i="1"/>
  <c r="M174" i="1"/>
  <c r="M175" i="1"/>
  <c r="M180" i="1"/>
  <c r="M181" i="1"/>
  <c r="M182" i="1"/>
  <c r="M183"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30" i="1"/>
  <c r="M231" i="1"/>
  <c r="M238" i="1"/>
  <c r="M239" i="1"/>
  <c r="M246" i="1"/>
  <c r="M247" i="1"/>
  <c r="M254" i="1"/>
  <c r="M255" i="1"/>
  <c r="M262" i="1"/>
  <c r="M263" i="1"/>
  <c r="M270" i="1"/>
  <c r="M271" i="1"/>
  <c r="M278" i="1"/>
  <c r="M279" i="1"/>
  <c r="M286" i="1"/>
  <c r="M287" i="1"/>
  <c r="M294" i="1"/>
  <c r="M295" i="1"/>
  <c r="M302" i="1"/>
  <c r="M303" i="1"/>
  <c r="M310" i="1"/>
  <c r="M311" i="1"/>
  <c r="M318" i="1"/>
  <c r="M319" i="1"/>
  <c r="M326" i="1"/>
  <c r="M327" i="1"/>
  <c r="M334" i="1"/>
  <c r="M335" i="1"/>
  <c r="M342" i="1"/>
  <c r="M343" i="1"/>
  <c r="M350" i="1"/>
  <c r="M351" i="1"/>
  <c r="M358" i="1"/>
  <c r="M359" i="1"/>
  <c r="M366" i="1"/>
  <c r="M367" i="1"/>
  <c r="M374" i="1"/>
  <c r="M375" i="1"/>
  <c r="M382" i="1"/>
  <c r="M383" i="1"/>
  <c r="M390" i="1"/>
  <c r="M391" i="1"/>
  <c r="M398" i="1"/>
  <c r="M399" i="1"/>
  <c r="M2" i="1"/>
  <c r="F45" i="4"/>
  <c r="F46" i="4"/>
  <c r="F47" i="4"/>
  <c r="F55" i="4"/>
  <c r="F63" i="4"/>
  <c r="F71" i="4"/>
  <c r="F48" i="4"/>
  <c r="F56" i="4"/>
  <c r="F64" i="4"/>
  <c r="F49" i="4"/>
  <c r="F57" i="4"/>
  <c r="F65" i="4"/>
  <c r="F50" i="4"/>
  <c r="F58" i="4"/>
  <c r="F66" i="4"/>
  <c r="F51" i="4"/>
  <c r="F59" i="4"/>
  <c r="F67" i="4"/>
  <c r="F52" i="4"/>
  <c r="F60" i="4"/>
  <c r="F68" i="4"/>
  <c r="F53" i="4"/>
  <c r="F61" i="4"/>
  <c r="F69" i="4"/>
  <c r="F54" i="4"/>
  <c r="F62" i="4"/>
  <c r="F70" i="4"/>
  <c r="F44" i="4"/>
  <c r="O25" i="4"/>
  <c r="O33" i="4"/>
  <c r="O28" i="4"/>
  <c r="O30" i="4"/>
  <c r="O31" i="4"/>
  <c r="O32" i="4"/>
  <c r="O26" i="4"/>
  <c r="O29" i="4"/>
  <c r="O27" i="4"/>
  <c r="O24" i="4"/>
  <c r="N25" i="4"/>
  <c r="N33" i="4"/>
  <c r="N27" i="4"/>
  <c r="N28" i="4"/>
  <c r="N29" i="4"/>
  <c r="N30" i="4"/>
  <c r="N31" i="4"/>
  <c r="N32" i="4"/>
  <c r="N26" i="4"/>
  <c r="N24" i="4"/>
  <c r="J3" i="4"/>
  <c r="B3" i="4"/>
  <c r="F3" i="4"/>
</calcChain>
</file>

<file path=xl/sharedStrings.xml><?xml version="1.0" encoding="utf-8"?>
<sst xmlns="http://schemas.openxmlformats.org/spreadsheetml/2006/main" count="2926" uniqueCount="875">
  <si>
    <t>Transaction ID</t>
  </si>
  <si>
    <t>Product</t>
  </si>
  <si>
    <t>Quantity</t>
  </si>
  <si>
    <t>Unit Price (INR)</t>
  </si>
  <si>
    <t>Date</t>
  </si>
  <si>
    <t>Customer Name</t>
  </si>
  <si>
    <t>State</t>
  </si>
  <si>
    <t>Country</t>
  </si>
  <si>
    <t>Sales Channel</t>
  </si>
  <si>
    <t>Payment Type</t>
  </si>
  <si>
    <t>Sales</t>
  </si>
  <si>
    <t>TX0001</t>
  </si>
  <si>
    <t>Smartwatch</t>
  </si>
  <si>
    <t>Vivaan Sastry</t>
  </si>
  <si>
    <t>Arunachal Pradesh</t>
  </si>
  <si>
    <t>India</t>
  </si>
  <si>
    <t>Store</t>
  </si>
  <si>
    <t>Credit Card</t>
  </si>
  <si>
    <t>TX0002</t>
  </si>
  <si>
    <t>Desktop PC</t>
  </si>
  <si>
    <t>Ishaan Madan</t>
  </si>
  <si>
    <t>Odisha</t>
  </si>
  <si>
    <t>TX0003</t>
  </si>
  <si>
    <t>Azad Sandhu</t>
  </si>
  <si>
    <t>Bihar</t>
  </si>
  <si>
    <t>Online</t>
  </si>
  <si>
    <t>TX0004</t>
  </si>
  <si>
    <t>E-Reader</t>
  </si>
  <si>
    <t>Shray Chawla</t>
  </si>
  <si>
    <t>Manipur</t>
  </si>
  <si>
    <t>TX0005</t>
  </si>
  <si>
    <t>Laptop</t>
  </si>
  <si>
    <t>Zara Kata</t>
  </si>
  <si>
    <t>Madhya Pradesh</t>
  </si>
  <si>
    <t>Direct</t>
  </si>
  <si>
    <t>Net Banking</t>
  </si>
  <si>
    <t>TX0006</t>
  </si>
  <si>
    <t>Vritika Kata</t>
  </si>
  <si>
    <t>Meghalaya</t>
  </si>
  <si>
    <t>TX0007</t>
  </si>
  <si>
    <t>Tablet</t>
  </si>
  <si>
    <t>Hrishita Dada</t>
  </si>
  <si>
    <t>Goa</t>
  </si>
  <si>
    <t>TX0008</t>
  </si>
  <si>
    <t>External Hard Drive</t>
  </si>
  <si>
    <t>Anaya Sachar</t>
  </si>
  <si>
    <t>Punjab</t>
  </si>
  <si>
    <t>Debit Card</t>
  </si>
  <si>
    <t>TX0009</t>
  </si>
  <si>
    <t>Indrans Jani</t>
  </si>
  <si>
    <t>UPI</t>
  </si>
  <si>
    <t>TX0010</t>
  </si>
  <si>
    <t>Smartphone</t>
  </si>
  <si>
    <t>Shaan Dhar</t>
  </si>
  <si>
    <t>Assam</t>
  </si>
  <si>
    <t>TX0011</t>
  </si>
  <si>
    <t>Lavanya Lal</t>
  </si>
  <si>
    <t>Sikkim</t>
  </si>
  <si>
    <t>TX0012</t>
  </si>
  <si>
    <t>Headphones</t>
  </si>
  <si>
    <t>Prisha Bakshi</t>
  </si>
  <si>
    <t>TX0013</t>
  </si>
  <si>
    <t>Printer</t>
  </si>
  <si>
    <t>Abram Shetty</t>
  </si>
  <si>
    <t>Tripura</t>
  </si>
  <si>
    <t>TX0014</t>
  </si>
  <si>
    <t>Anaya Sunder</t>
  </si>
  <si>
    <t>Karnataka</t>
  </si>
  <si>
    <t>TX0015</t>
  </si>
  <si>
    <t>Farhan Mand</t>
  </si>
  <si>
    <t>TX0016</t>
  </si>
  <si>
    <t>Camera</t>
  </si>
  <si>
    <t>Nakul Hora</t>
  </si>
  <si>
    <t>Uttar Pradesh</t>
  </si>
  <si>
    <t>TX0017</t>
  </si>
  <si>
    <t>Rhea Hegde</t>
  </si>
  <si>
    <t>Cash</t>
  </si>
  <si>
    <t>TX0018</t>
  </si>
  <si>
    <t>Shanaya Desai</t>
  </si>
  <si>
    <t>Andhra Pradesh</t>
  </si>
  <si>
    <t>TX0019</t>
  </si>
  <si>
    <t>Miraan Rastogi</t>
  </si>
  <si>
    <t>Gujarat</t>
  </si>
  <si>
    <t>TX0020</t>
  </si>
  <si>
    <t>Dharmajan Wable</t>
  </si>
  <si>
    <t>TX0021</t>
  </si>
  <si>
    <t>Myra Chanda</t>
  </si>
  <si>
    <t>TX0022</t>
  </si>
  <si>
    <t>Lavanya Koshy</t>
  </si>
  <si>
    <t>TX0023</t>
  </si>
  <si>
    <t>Gokul Devi</t>
  </si>
  <si>
    <t>Telangana</t>
  </si>
  <si>
    <t>TX0024</t>
  </si>
  <si>
    <t>Miraya Sahota</t>
  </si>
  <si>
    <t>Kerala</t>
  </si>
  <si>
    <t>TX0025</t>
  </si>
  <si>
    <t>Hansh Rau</t>
  </si>
  <si>
    <t>TX0026</t>
  </si>
  <si>
    <t>Heer Gole</t>
  </si>
  <si>
    <t>TX0027</t>
  </si>
  <si>
    <t>Divyansh Ahluwalia</t>
  </si>
  <si>
    <t>Mizoram</t>
  </si>
  <si>
    <t>TX0028</t>
  </si>
  <si>
    <t>Damini Bhat</t>
  </si>
  <si>
    <t>Nagaland</t>
  </si>
  <si>
    <t>TX0029</t>
  </si>
  <si>
    <t>Renee Subramanian</t>
  </si>
  <si>
    <t>TX0030</t>
  </si>
  <si>
    <t>Keya Chacko</t>
  </si>
  <si>
    <t>TX0031</t>
  </si>
  <si>
    <t>Hiran Kata</t>
  </si>
  <si>
    <t>Uttarakhand</t>
  </si>
  <si>
    <t>TX0032</t>
  </si>
  <si>
    <t>Shalv Sodhi</t>
  </si>
  <si>
    <t>TX0033</t>
  </si>
  <si>
    <t>Shlok Chopra</t>
  </si>
  <si>
    <t>TX0034</t>
  </si>
  <si>
    <t>Heer Borra</t>
  </si>
  <si>
    <t>TX0035</t>
  </si>
  <si>
    <t>Armaan Chand</t>
  </si>
  <si>
    <t>TX0036</t>
  </si>
  <si>
    <t>Saira Zachariah</t>
  </si>
  <si>
    <t>TX0037</t>
  </si>
  <si>
    <t>Damini Samra</t>
  </si>
  <si>
    <t>Chhattisgarh</t>
  </si>
  <si>
    <t>TX0038</t>
  </si>
  <si>
    <t>Eshani Tara</t>
  </si>
  <si>
    <t>TX0039</t>
  </si>
  <si>
    <t>Hiran Dyal</t>
  </si>
  <si>
    <t>TX0040</t>
  </si>
  <si>
    <t>Advika Seshadri</t>
  </si>
  <si>
    <t>TX0041</t>
  </si>
  <si>
    <t>Veer Soman</t>
  </si>
  <si>
    <t>TX0042</t>
  </si>
  <si>
    <t>Amira Badal</t>
  </si>
  <si>
    <t>Himachal Pradesh</t>
  </si>
  <si>
    <t>TX0043</t>
  </si>
  <si>
    <t>Ryan Sidhu</t>
  </si>
  <si>
    <t>TX0044</t>
  </si>
  <si>
    <t>Nayantara Issac</t>
  </si>
  <si>
    <t>TX0045</t>
  </si>
  <si>
    <t>Neelofar Kohli</t>
  </si>
  <si>
    <t>Rajasthan</t>
  </si>
  <si>
    <t>TX0046</t>
  </si>
  <si>
    <t>Zaina Sani</t>
  </si>
  <si>
    <t>TX0047</t>
  </si>
  <si>
    <t>Dhanuk Dasgupta</t>
  </si>
  <si>
    <t>TX0048</t>
  </si>
  <si>
    <t>Nakul Lalla</t>
  </si>
  <si>
    <t>TX0049</t>
  </si>
  <si>
    <t>Indrajit Chandra</t>
  </si>
  <si>
    <t>TX0050</t>
  </si>
  <si>
    <t>Pihu Garg</t>
  </si>
  <si>
    <t>TX0051</t>
  </si>
  <si>
    <t>Shayak Dixit</t>
  </si>
  <si>
    <t>TX0052</t>
  </si>
  <si>
    <t>Mishti Sahota</t>
  </si>
  <si>
    <t>TX0053</t>
  </si>
  <si>
    <t>Alia Rama</t>
  </si>
  <si>
    <t>West Bengal</t>
  </si>
  <si>
    <t>TX0054</t>
  </si>
  <si>
    <t>Adira Suresh</t>
  </si>
  <si>
    <t>TX0055</t>
  </si>
  <si>
    <t>Aradhya Sarin</t>
  </si>
  <si>
    <t>TX0056</t>
  </si>
  <si>
    <t>Tejas Kohli</t>
  </si>
  <si>
    <t>Jharkhand</t>
  </si>
  <si>
    <t>TX0057</t>
  </si>
  <si>
    <t>Alisha Zachariah</t>
  </si>
  <si>
    <t>TX0058</t>
  </si>
  <si>
    <t>Divyansh Sami</t>
  </si>
  <si>
    <t>TX0059</t>
  </si>
  <si>
    <t>Aarav Yohannan</t>
  </si>
  <si>
    <t>TX0060</t>
  </si>
  <si>
    <t>Lakshay Ramachandran</t>
  </si>
  <si>
    <t>Haryana</t>
  </si>
  <si>
    <t>TX0061</t>
  </si>
  <si>
    <t>Trisha Sami</t>
  </si>
  <si>
    <t>TX0062</t>
  </si>
  <si>
    <t>Mishti Rout</t>
  </si>
  <si>
    <t>TX0063</t>
  </si>
  <si>
    <t>Madhup Bhatti</t>
  </si>
  <si>
    <t>TX0064</t>
  </si>
  <si>
    <t>Myra Gala</t>
  </si>
  <si>
    <t>TX0065</t>
  </si>
  <si>
    <t>Prisha Gade</t>
  </si>
  <si>
    <t>TX0066</t>
  </si>
  <si>
    <t>Kavya Chaudry</t>
  </si>
  <si>
    <t>TX0067</t>
  </si>
  <si>
    <t>Anika Virk</t>
  </si>
  <si>
    <t>TX0068</t>
  </si>
  <si>
    <t>Tara Shukla</t>
  </si>
  <si>
    <t>TX0069</t>
  </si>
  <si>
    <t>Arhaan Bhandari</t>
  </si>
  <si>
    <t>Tamil Nadu</t>
  </si>
  <si>
    <t>TX0070</t>
  </si>
  <si>
    <t>Inaaya  Varughese</t>
  </si>
  <si>
    <t>TX0071</t>
  </si>
  <si>
    <t>Divit Srivastava</t>
  </si>
  <si>
    <t>Maharashtra</t>
  </si>
  <si>
    <t>TX0072</t>
  </si>
  <si>
    <t>Shayak Handa</t>
  </si>
  <si>
    <t>TX0073</t>
  </si>
  <si>
    <t>Nirvi Gopal</t>
  </si>
  <si>
    <t>TX0074</t>
  </si>
  <si>
    <t>Arnav Bhavsar</t>
  </si>
  <si>
    <t>TX0075</t>
  </si>
  <si>
    <t>Jhanvi Rattan</t>
  </si>
  <si>
    <t>TX0076</t>
  </si>
  <si>
    <t>Anika Badami</t>
  </si>
  <si>
    <t>TX0077</t>
  </si>
  <si>
    <t>Priyansh Balakrishnan</t>
  </si>
  <si>
    <t>TX0078</t>
  </si>
  <si>
    <t>Kashvi Batra</t>
  </si>
  <si>
    <t>TX0079</t>
  </si>
  <si>
    <t>Fateh Bhattacharyya</t>
  </si>
  <si>
    <t>TX0080</t>
  </si>
  <si>
    <t>Divij Seth</t>
  </si>
  <si>
    <t>TX0081</t>
  </si>
  <si>
    <t>Suhana Kade</t>
  </si>
  <si>
    <t>TX0082</t>
  </si>
  <si>
    <t>Himmat Chacko</t>
  </si>
  <si>
    <t>TX0083</t>
  </si>
  <si>
    <t>Advik Anand</t>
  </si>
  <si>
    <t>TX0084</t>
  </si>
  <si>
    <t>Piya Tara</t>
  </si>
  <si>
    <t>TX0085</t>
  </si>
  <si>
    <t>Nirvi Bhalla</t>
  </si>
  <si>
    <t>TX0086</t>
  </si>
  <si>
    <t>Alisha Setty</t>
  </si>
  <si>
    <t>TX0087</t>
  </si>
  <si>
    <t>Raunak Sahni</t>
  </si>
  <si>
    <t>TX0088</t>
  </si>
  <si>
    <t>Adah Raju</t>
  </si>
  <si>
    <t>TX0089</t>
  </si>
  <si>
    <t>Lakshay Behl</t>
  </si>
  <si>
    <t>TX0090</t>
  </si>
  <si>
    <t>Vedika Mahajan</t>
  </si>
  <si>
    <t>TX0091</t>
  </si>
  <si>
    <t>Nirvaan Yohannan</t>
  </si>
  <si>
    <t>TX0092</t>
  </si>
  <si>
    <t>Keya De</t>
  </si>
  <si>
    <t>TX0093</t>
  </si>
  <si>
    <t>Advik Kulkarni</t>
  </si>
  <si>
    <t>TX0094</t>
  </si>
  <si>
    <t>Bhavin Manda</t>
  </si>
  <si>
    <t>TX0095</t>
  </si>
  <si>
    <t>Suhana Ganesan</t>
  </si>
  <si>
    <t>TX0096</t>
  </si>
  <si>
    <t>Piya Bajwa</t>
  </si>
  <si>
    <t>TX0097</t>
  </si>
  <si>
    <t>Riaan Dhillon</t>
  </si>
  <si>
    <t>TX0098</t>
  </si>
  <si>
    <t>Ayesha Chander</t>
  </si>
  <si>
    <t>TX0099</t>
  </si>
  <si>
    <t>Mamooty Dyal</t>
  </si>
  <si>
    <t>TX0100</t>
  </si>
  <si>
    <t>Shaan Balan</t>
  </si>
  <si>
    <t>TX0101</t>
  </si>
  <si>
    <t>Lagan Sarna</t>
  </si>
  <si>
    <t>TX0102</t>
  </si>
  <si>
    <t>Jayan Balasubramanian</t>
  </si>
  <si>
    <t>TX0103</t>
  </si>
  <si>
    <t>Mamooty Thaman</t>
  </si>
  <si>
    <t>TX0104</t>
  </si>
  <si>
    <t>Prerak Badal</t>
  </si>
  <si>
    <t>TX0105</t>
  </si>
  <si>
    <t>Yuvaan Bhasin</t>
  </si>
  <si>
    <t>TX0106</t>
  </si>
  <si>
    <t>Aniruddh Ghosh</t>
  </si>
  <si>
    <t>TX0107</t>
  </si>
  <si>
    <t>Keya Rau</t>
  </si>
  <si>
    <t>TX0108</t>
  </si>
  <si>
    <t>Jayesh Virk</t>
  </si>
  <si>
    <t>TX0109</t>
  </si>
  <si>
    <t>Anahita Gala</t>
  </si>
  <si>
    <t>TX0110</t>
  </si>
  <si>
    <t>Rania Gala</t>
  </si>
  <si>
    <t>TX0111</t>
  </si>
  <si>
    <t>Piya Doctor</t>
  </si>
  <si>
    <t>TX0112</t>
  </si>
  <si>
    <t>Krish Lal</t>
  </si>
  <si>
    <t>TX0113</t>
  </si>
  <si>
    <t>Neysa Dhawan</t>
  </si>
  <si>
    <t>TX0114</t>
  </si>
  <si>
    <t>Prisha Chanda</t>
  </si>
  <si>
    <t>TX0115</t>
  </si>
  <si>
    <t>Hrishita Dora</t>
  </si>
  <si>
    <t>TX0116</t>
  </si>
  <si>
    <t>Jayan Ramakrishnan</t>
  </si>
  <si>
    <t>TX0117</t>
  </si>
  <si>
    <t>Lakshit Sane</t>
  </si>
  <si>
    <t>TX0118</t>
  </si>
  <si>
    <t>Jivika Dani</t>
  </si>
  <si>
    <t>TX0119</t>
  </si>
  <si>
    <t>Ahana  Hora</t>
  </si>
  <si>
    <t>TX0120</t>
  </si>
  <si>
    <t>Rasha Kota</t>
  </si>
  <si>
    <t>TX0121</t>
  </si>
  <si>
    <t>Oorja Sachdeva</t>
  </si>
  <si>
    <t>TX0122</t>
  </si>
  <si>
    <t>Pari Bhagat</t>
  </si>
  <si>
    <t>TX0123</t>
  </si>
  <si>
    <t>Saanvi Ramesh</t>
  </si>
  <si>
    <t>TX0124</t>
  </si>
  <si>
    <t>Kismat Lanka</t>
  </si>
  <si>
    <t>TX0125</t>
  </si>
  <si>
    <t>Gokul Chaudhary</t>
  </si>
  <si>
    <t>TX0126</t>
  </si>
  <si>
    <t>Drishya Bahl</t>
  </si>
  <si>
    <t>TX0127</t>
  </si>
  <si>
    <t>Divit Sundaram</t>
  </si>
  <si>
    <t>TX0128</t>
  </si>
  <si>
    <t>Lakshit Sathe</t>
  </si>
  <si>
    <t>TX0129</t>
  </si>
  <si>
    <t>Kiaan Chana</t>
  </si>
  <si>
    <t>TX0130</t>
  </si>
  <si>
    <t>Aayush De</t>
  </si>
  <si>
    <t>TX0131</t>
  </si>
  <si>
    <t>Nitya Bains</t>
  </si>
  <si>
    <t>TX0132</t>
  </si>
  <si>
    <t>Shamik Barman</t>
  </si>
  <si>
    <t>TX0133</t>
  </si>
  <si>
    <t>Parinaaz Chaudhary</t>
  </si>
  <si>
    <t>TX0134</t>
  </si>
  <si>
    <t>Prerak Dewan</t>
  </si>
  <si>
    <t>TX0135</t>
  </si>
  <si>
    <t>Pihu Bakshi</t>
  </si>
  <si>
    <t>TX0136</t>
  </si>
  <si>
    <t>Nishith Issac</t>
  </si>
  <si>
    <t>TX0137</t>
  </si>
  <si>
    <t>Zaina Vala</t>
  </si>
  <si>
    <t>TX0138</t>
  </si>
  <si>
    <t>Shaan Grewal</t>
  </si>
  <si>
    <t>TX0139</t>
  </si>
  <si>
    <t>Stuvan Tara</t>
  </si>
  <si>
    <t>TX0140</t>
  </si>
  <si>
    <t>Indranil Chawla</t>
  </si>
  <si>
    <t>TX0141</t>
  </si>
  <si>
    <t>Adira Sekhon</t>
  </si>
  <si>
    <t>TX0142</t>
  </si>
  <si>
    <t>Shlok Majumdar</t>
  </si>
  <si>
    <t>TX0143</t>
  </si>
  <si>
    <t>Badal Magar</t>
  </si>
  <si>
    <t>TX0144</t>
  </si>
  <si>
    <t>Ranbir Ray</t>
  </si>
  <si>
    <t>TX0145</t>
  </si>
  <si>
    <t>Jiya Chanda</t>
  </si>
  <si>
    <t>TX0146</t>
  </si>
  <si>
    <t>Keya Chandran</t>
  </si>
  <si>
    <t>TX0147</t>
  </si>
  <si>
    <t>Veer Bajaj</t>
  </si>
  <si>
    <t>TX0148</t>
  </si>
  <si>
    <t>Mahika Sharma</t>
  </si>
  <si>
    <t>TX0149</t>
  </si>
  <si>
    <t>Dhanuk Ratta</t>
  </si>
  <si>
    <t>TX0150</t>
  </si>
  <si>
    <t>Pari Dhawan</t>
  </si>
  <si>
    <t>TX0151</t>
  </si>
  <si>
    <t>Piya Krishnamurthy</t>
  </si>
  <si>
    <t>TX0152</t>
  </si>
  <si>
    <t>Kiaan Vig</t>
  </si>
  <si>
    <t>TX0153</t>
  </si>
  <si>
    <t>Siya Master</t>
  </si>
  <si>
    <t>TX0154</t>
  </si>
  <si>
    <t>Anay Bhagat</t>
  </si>
  <si>
    <t>TX0155</t>
  </si>
  <si>
    <t>Prerak Devan</t>
  </si>
  <si>
    <t>TX0156</t>
  </si>
  <si>
    <t>Jayan Raja</t>
  </si>
  <si>
    <t>TX0157</t>
  </si>
  <si>
    <t>Kismat Thaker</t>
  </si>
  <si>
    <t>TX0158</t>
  </si>
  <si>
    <t>Anahita Sundaram</t>
  </si>
  <si>
    <t>TX0159</t>
  </si>
  <si>
    <t>Arhaan Rau</t>
  </si>
  <si>
    <t>TX0160</t>
  </si>
  <si>
    <t>Anahi Ratta</t>
  </si>
  <si>
    <t>TX0161</t>
  </si>
  <si>
    <t>Parinaaz Balay</t>
  </si>
  <si>
    <t>TX0162</t>
  </si>
  <si>
    <t>Vanya Chowdhury</t>
  </si>
  <si>
    <t>TX0163</t>
  </si>
  <si>
    <t>Jhanvi Zacharia</t>
  </si>
  <si>
    <t>TX0164</t>
  </si>
  <si>
    <t>Shayak Halder</t>
  </si>
  <si>
    <t>TX0165</t>
  </si>
  <si>
    <t>Parinaaz Uppal</t>
  </si>
  <si>
    <t>TX0166</t>
  </si>
  <si>
    <t>Farhan Jhaveri</t>
  </si>
  <si>
    <t>TX0167</t>
  </si>
  <si>
    <t>Ayesha Kar</t>
  </si>
  <si>
    <t>TX0168</t>
  </si>
  <si>
    <t>Anay Balakrishnan</t>
  </si>
  <si>
    <t>TX0169</t>
  </si>
  <si>
    <t>Vritika Sura</t>
  </si>
  <si>
    <t>TX0170</t>
  </si>
  <si>
    <t>Sara Sule</t>
  </si>
  <si>
    <t>TX0171</t>
  </si>
  <si>
    <t>Lakshit Raval</t>
  </si>
  <si>
    <t>TX0172</t>
  </si>
  <si>
    <t>Hansh Randhawa</t>
  </si>
  <si>
    <t>TX0173</t>
  </si>
  <si>
    <t>Advika Kashyap</t>
  </si>
  <si>
    <t>TX0174</t>
  </si>
  <si>
    <t>Lakshay Sinha</t>
  </si>
  <si>
    <t>TX0175</t>
  </si>
  <si>
    <t>Vidur Manne</t>
  </si>
  <si>
    <t>TX0176</t>
  </si>
  <si>
    <t>Riya Ganguly</t>
  </si>
  <si>
    <t>TX0177</t>
  </si>
  <si>
    <t>Baiju Goswami</t>
  </si>
  <si>
    <t>TX0178</t>
  </si>
  <si>
    <t>Dhanuk Chawla</t>
  </si>
  <si>
    <t>TX0179</t>
  </si>
  <si>
    <t>Divyansh Devan</t>
  </si>
  <si>
    <t>TX0180</t>
  </si>
  <si>
    <t>Onkar Banik</t>
  </si>
  <si>
    <t>TX0181</t>
  </si>
  <si>
    <t>Nitya Vyas</t>
  </si>
  <si>
    <t>TX0182</t>
  </si>
  <si>
    <t>Arnav Dutta</t>
  </si>
  <si>
    <t>TX0183</t>
  </si>
  <si>
    <t>Uthkarsh Kuruvilla</t>
  </si>
  <si>
    <t>TX0184</t>
  </si>
  <si>
    <t>Myra Mangal</t>
  </si>
  <si>
    <t>TX0185</t>
  </si>
  <si>
    <t>Bhavin Raja</t>
  </si>
  <si>
    <t>TX0186</t>
  </si>
  <si>
    <t>Biju Chaudhuri</t>
  </si>
  <si>
    <t>TX0187</t>
  </si>
  <si>
    <t>Dharmajan Bahl</t>
  </si>
  <si>
    <t>TX0188</t>
  </si>
  <si>
    <t>Aaina Dhingra</t>
  </si>
  <si>
    <t>TX0189</t>
  </si>
  <si>
    <t>Parinaaz Lall</t>
  </si>
  <si>
    <t>TX0190</t>
  </si>
  <si>
    <t>Zain Lad</t>
  </si>
  <si>
    <t>TX0191</t>
  </si>
  <si>
    <t>Prerak Vasa</t>
  </si>
  <si>
    <t>TX0192</t>
  </si>
  <si>
    <t>Siya Sachdeva</t>
  </si>
  <si>
    <t>TX0193</t>
  </si>
  <si>
    <t>Uthkarsh Taneja</t>
  </si>
  <si>
    <t>TX0194</t>
  </si>
  <si>
    <t>Seher De</t>
  </si>
  <si>
    <t>TX0195</t>
  </si>
  <si>
    <t>Hridaan Chaudry</t>
  </si>
  <si>
    <t>TX0196</t>
  </si>
  <si>
    <t>Dhruv Sathe</t>
  </si>
  <si>
    <t>TX0197</t>
  </si>
  <si>
    <t>Yuvaan Ravel</t>
  </si>
  <si>
    <t>TX0198</t>
  </si>
  <si>
    <t>Anahi Wagle</t>
  </si>
  <si>
    <t>TX0199</t>
  </si>
  <si>
    <t>Kiara Rao</t>
  </si>
  <si>
    <t>TX0200</t>
  </si>
  <si>
    <t>Taimur Tara</t>
  </si>
  <si>
    <t>TX0201</t>
  </si>
  <si>
    <t>Pranay Bhagat</t>
  </si>
  <si>
    <t>TX0202</t>
  </si>
  <si>
    <t>Vritika Raju</t>
  </si>
  <si>
    <t>TX0203</t>
  </si>
  <si>
    <t>Samar Joshi</t>
  </si>
  <si>
    <t>TX0204</t>
  </si>
  <si>
    <t>Amira Bhardwaj</t>
  </si>
  <si>
    <t>TX0205</t>
  </si>
  <si>
    <t>Bhamini Sangha</t>
  </si>
  <si>
    <t>TX0206</t>
  </si>
  <si>
    <t>Jiya Sama</t>
  </si>
  <si>
    <t>TX0207</t>
  </si>
  <si>
    <t>Manjari Shenoy</t>
  </si>
  <si>
    <t>TX0208</t>
  </si>
  <si>
    <t>Neelofar Rau</t>
  </si>
  <si>
    <t>TX0209</t>
  </si>
  <si>
    <t>Yuvraj  Dugal</t>
  </si>
  <si>
    <t>TX0210</t>
  </si>
  <si>
    <t>Umang Dalal</t>
  </si>
  <si>
    <t>TX0211</t>
  </si>
  <si>
    <t>Emir Lal</t>
  </si>
  <si>
    <t>TX0212</t>
  </si>
  <si>
    <t>Dhanuk Dube</t>
  </si>
  <si>
    <t>TX0213</t>
  </si>
  <si>
    <t>Manjari Dhar</t>
  </si>
  <si>
    <t>TX0214</t>
  </si>
  <si>
    <t>Uthkarsh Garde</t>
  </si>
  <si>
    <t>TX0215</t>
  </si>
  <si>
    <t>Jayant Kala</t>
  </si>
  <si>
    <t>TX0216</t>
  </si>
  <si>
    <t>Eshani Kari</t>
  </si>
  <si>
    <t>TX0217</t>
  </si>
  <si>
    <t>Kismat Rama</t>
  </si>
  <si>
    <t>TX0218</t>
  </si>
  <si>
    <t>Samiha Hayre</t>
  </si>
  <si>
    <t>TX0219</t>
  </si>
  <si>
    <t>Samiha Sanghvi</t>
  </si>
  <si>
    <t>TX0220</t>
  </si>
  <si>
    <t>Aarav Kothari</t>
  </si>
  <si>
    <t>TX0221</t>
  </si>
  <si>
    <t>Veer Sampath</t>
  </si>
  <si>
    <t>TX0222</t>
  </si>
  <si>
    <t>Raghav Edwin</t>
  </si>
  <si>
    <t>TX0223</t>
  </si>
  <si>
    <t>Nishith Som</t>
  </si>
  <si>
    <t>TX0224</t>
  </si>
  <si>
    <t>Pari Koshy</t>
  </si>
  <si>
    <t>TX0225</t>
  </si>
  <si>
    <t>Reyansh Kohli</t>
  </si>
  <si>
    <t>TX0226</t>
  </si>
  <si>
    <t>Manjari Handa</t>
  </si>
  <si>
    <t>TX0227</t>
  </si>
  <si>
    <t>Indranil Agrawal</t>
  </si>
  <si>
    <t>TX0228</t>
  </si>
  <si>
    <t>Badal Choudhary</t>
  </si>
  <si>
    <t>TX0229</t>
  </si>
  <si>
    <t>Purab Raja</t>
  </si>
  <si>
    <t>TX0230</t>
  </si>
  <si>
    <t>Nitara Jha</t>
  </si>
  <si>
    <t>TX0231</t>
  </si>
  <si>
    <t>Suhana Konda</t>
  </si>
  <si>
    <t>TX0232</t>
  </si>
  <si>
    <t>Hiran Tata</t>
  </si>
  <si>
    <t>TX0233</t>
  </si>
  <si>
    <t>Ayesha Sarraf</t>
  </si>
  <si>
    <t>TX0234</t>
  </si>
  <si>
    <t>Indranil Sinha</t>
  </si>
  <si>
    <t>TX0235</t>
  </si>
  <si>
    <t>Kaira Keer</t>
  </si>
  <si>
    <t>TX0236</t>
  </si>
  <si>
    <t>Vivaan Thaker</t>
  </si>
  <si>
    <t>TX0237</t>
  </si>
  <si>
    <t>Nehmat Mahajan</t>
  </si>
  <si>
    <t>TX0238</t>
  </si>
  <si>
    <t>Urvi Shankar</t>
  </si>
  <si>
    <t>TX0239</t>
  </si>
  <si>
    <t>Taimur Tank</t>
  </si>
  <si>
    <t>TX0240</t>
  </si>
  <si>
    <t>Tarini Din</t>
  </si>
  <si>
    <t>TX0241</t>
  </si>
  <si>
    <t>Rasha Sundaram</t>
  </si>
  <si>
    <t>TX0242</t>
  </si>
  <si>
    <t>Saanvi Brar</t>
  </si>
  <si>
    <t>TX0243</t>
  </si>
  <si>
    <t>Rohan Verma</t>
  </si>
  <si>
    <t>TX0244</t>
  </si>
  <si>
    <t>Shray Jain</t>
  </si>
  <si>
    <t>TX0245</t>
  </si>
  <si>
    <t>Manikya Sani</t>
  </si>
  <si>
    <t>TX0246</t>
  </si>
  <si>
    <t>Rania Bahri</t>
  </si>
  <si>
    <t>TX0247</t>
  </si>
  <si>
    <t>Nishith Kata</t>
  </si>
  <si>
    <t>TX0248</t>
  </si>
  <si>
    <t>Hansh Basak</t>
  </si>
  <si>
    <t>TX0249</t>
  </si>
  <si>
    <t>Taimur Vala</t>
  </si>
  <si>
    <t>TX0250</t>
  </si>
  <si>
    <t>Yuvraj  Gole</t>
  </si>
  <si>
    <t>TX0251</t>
  </si>
  <si>
    <t>Tiya Bhandari</t>
  </si>
  <si>
    <t>TX0252</t>
  </si>
  <si>
    <t>Fateh Aggarwal</t>
  </si>
  <si>
    <t>TX0253</t>
  </si>
  <si>
    <t>Ishita Mann</t>
  </si>
  <si>
    <t>TX0254</t>
  </si>
  <si>
    <t>Saanvi Kamdar</t>
  </si>
  <si>
    <t>TX0255</t>
  </si>
  <si>
    <t>Gokul Bawa</t>
  </si>
  <si>
    <t>TX0256</t>
  </si>
  <si>
    <t>Sumer Krishna</t>
  </si>
  <si>
    <t>TX0257</t>
  </si>
  <si>
    <t>Renee Kaul</t>
  </si>
  <si>
    <t>TX0258</t>
  </si>
  <si>
    <t>Yashvi Acharya</t>
  </si>
  <si>
    <t>TX0259</t>
  </si>
  <si>
    <t>Jayant Madan</t>
  </si>
  <si>
    <t>TX0260</t>
  </si>
  <si>
    <t>Charvi Varghese</t>
  </si>
  <si>
    <t>TX0261</t>
  </si>
  <si>
    <t>Ryan Kanda</t>
  </si>
  <si>
    <t>TX0262</t>
  </si>
  <si>
    <t>Ahana  Jain</t>
  </si>
  <si>
    <t>TX0263</t>
  </si>
  <si>
    <t>Drishya Kara</t>
  </si>
  <si>
    <t>TX0264</t>
  </si>
  <si>
    <t>Aayush Choudhary</t>
  </si>
  <si>
    <t>TX0265</t>
  </si>
  <si>
    <t>Faiyaz Ahuja</t>
  </si>
  <si>
    <t>TX0266</t>
  </si>
  <si>
    <t>Prerak Kohli</t>
  </si>
  <si>
    <t>TX0267</t>
  </si>
  <si>
    <t>Shamik Kaul</t>
  </si>
  <si>
    <t>TX0268</t>
  </si>
  <si>
    <t>Umang Handa</t>
  </si>
  <si>
    <t>TX0269</t>
  </si>
  <si>
    <t>Shaan Chhabra</t>
  </si>
  <si>
    <t>TX0270</t>
  </si>
  <si>
    <t>Zara Sen</t>
  </si>
  <si>
    <t>TX0271</t>
  </si>
  <si>
    <t>Miraan Gala</t>
  </si>
  <si>
    <t>TX0272</t>
  </si>
  <si>
    <t>Darshit Singhal</t>
  </si>
  <si>
    <t>TX0273</t>
  </si>
  <si>
    <t>Advika Mandal</t>
  </si>
  <si>
    <t>TX0274</t>
  </si>
  <si>
    <t>Vihaan Ramachandran</t>
  </si>
  <si>
    <t>TX0275</t>
  </si>
  <si>
    <t>Nayantara Bail</t>
  </si>
  <si>
    <t>TX0276</t>
  </si>
  <si>
    <t>Alisha Arya</t>
  </si>
  <si>
    <t>TX0277</t>
  </si>
  <si>
    <t>Kiaan Krish</t>
  </si>
  <si>
    <t>TX0278</t>
  </si>
  <si>
    <t>Yashvi Ben</t>
  </si>
  <si>
    <t>TX0279</t>
  </si>
  <si>
    <t>Prisha Sachdeva</t>
  </si>
  <si>
    <t>TX0280</t>
  </si>
  <si>
    <t>Amira Comar</t>
  </si>
  <si>
    <t>TX0281</t>
  </si>
  <si>
    <t>Stuvan Behl</t>
  </si>
  <si>
    <t>TX0282</t>
  </si>
  <si>
    <t>Jhanvi Kata</t>
  </si>
  <si>
    <t>TX0283</t>
  </si>
  <si>
    <t>Farhan Grover</t>
  </si>
  <si>
    <t>TX0284</t>
  </si>
  <si>
    <t>Suhana Rau</t>
  </si>
  <si>
    <t>TX0285</t>
  </si>
  <si>
    <t>Samarth Sampath</t>
  </si>
  <si>
    <t>TX0286</t>
  </si>
  <si>
    <t>Prerak Koshy</t>
  </si>
  <si>
    <t>TX0287</t>
  </si>
  <si>
    <t>Alia Chakrabarti</t>
  </si>
  <si>
    <t>TX0288</t>
  </si>
  <si>
    <t>Aradhya Gokhale</t>
  </si>
  <si>
    <t>TX0289</t>
  </si>
  <si>
    <t>Lakshit Ravi</t>
  </si>
  <si>
    <t>TX0290</t>
  </si>
  <si>
    <t>Rania Joshi</t>
  </si>
  <si>
    <t>TX0291</t>
  </si>
  <si>
    <t>Dishani Verma</t>
  </si>
  <si>
    <t>TX0292</t>
  </si>
  <si>
    <t>Shray Sarraf</t>
  </si>
  <si>
    <t>TX0293</t>
  </si>
  <si>
    <t>Samarth Das</t>
  </si>
  <si>
    <t>TX0294</t>
  </si>
  <si>
    <t>Renee Arora</t>
  </si>
  <si>
    <t>TX0295</t>
  </si>
  <si>
    <t>Farhan Anne</t>
  </si>
  <si>
    <t>TX0296</t>
  </si>
  <si>
    <t>Kaira Chakrabarti</t>
  </si>
  <si>
    <t>TX0297</t>
  </si>
  <si>
    <t>Adah Chada</t>
  </si>
  <si>
    <t>TX0298</t>
  </si>
  <si>
    <t>Bhamini Seth</t>
  </si>
  <si>
    <t>TX0299</t>
  </si>
  <si>
    <t>Kaira Kar</t>
  </si>
  <si>
    <t>TX0300</t>
  </si>
  <si>
    <t>Aayush Halder</t>
  </si>
  <si>
    <t>TX0301</t>
  </si>
  <si>
    <t>Misha Vora</t>
  </si>
  <si>
    <t>TX0302</t>
  </si>
  <si>
    <t>Kismat Choudhary</t>
  </si>
  <si>
    <t>TX0303</t>
  </si>
  <si>
    <t>Sumer Bala</t>
  </si>
  <si>
    <t>TX0304</t>
  </si>
  <si>
    <t>Prerak Bala</t>
  </si>
  <si>
    <t>TX0305</t>
  </si>
  <si>
    <t>Zaina Char</t>
  </si>
  <si>
    <t>TX0306</t>
  </si>
  <si>
    <t>Aaryahi Rege</t>
  </si>
  <si>
    <t>TX0307</t>
  </si>
  <si>
    <t>Ivan Kala</t>
  </si>
  <si>
    <t>TX0308</t>
  </si>
  <si>
    <t>Zeeshan Sane</t>
  </si>
  <si>
    <t>TX0309</t>
  </si>
  <si>
    <t>Heer Shenoy</t>
  </si>
  <si>
    <t>TX0310</t>
  </si>
  <si>
    <t>Shalv Raval</t>
  </si>
  <si>
    <t>TX0311</t>
  </si>
  <si>
    <t>Azad Rajan</t>
  </si>
  <si>
    <t>TX0312</t>
  </si>
  <si>
    <t>Kiaan Tak</t>
  </si>
  <si>
    <t>TX0313</t>
  </si>
  <si>
    <t>Krish Sachdeva</t>
  </si>
  <si>
    <t>TX0314</t>
  </si>
  <si>
    <t>Jayesh Shenoy</t>
  </si>
  <si>
    <t>TX0315</t>
  </si>
  <si>
    <t>Kavya Deo</t>
  </si>
  <si>
    <t>TX0316</t>
  </si>
  <si>
    <t>Nehmat Singh</t>
  </si>
  <si>
    <t>TX0317</t>
  </si>
  <si>
    <t>Arhaan Barad</t>
  </si>
  <si>
    <t>TX0318</t>
  </si>
  <si>
    <t>Miraan Bahl</t>
  </si>
  <si>
    <t>TX0319</t>
  </si>
  <si>
    <t>Damini Sani</t>
  </si>
  <si>
    <t>TX0320</t>
  </si>
  <si>
    <t>Tarini Saha</t>
  </si>
  <si>
    <t>TX0321</t>
  </si>
  <si>
    <t>Taran Das</t>
  </si>
  <si>
    <t>TX0322</t>
  </si>
  <si>
    <t>Divyansh Rana</t>
  </si>
  <si>
    <t>TX0323</t>
  </si>
  <si>
    <t>Piya Divan</t>
  </si>
  <si>
    <t>TX0324</t>
  </si>
  <si>
    <t>Amani Kale</t>
  </si>
  <si>
    <t>TX0325</t>
  </si>
  <si>
    <t>Rania Sahota</t>
  </si>
  <si>
    <t>TX0326</t>
  </si>
  <si>
    <t>Farhan Ghosh</t>
  </si>
  <si>
    <t>TX0327</t>
  </si>
  <si>
    <t>Yuvaan Bava</t>
  </si>
  <si>
    <t>TX0328</t>
  </si>
  <si>
    <t>Khushi Chanda</t>
  </si>
  <si>
    <t>TX0329</t>
  </si>
  <si>
    <t>Shlok Ben</t>
  </si>
  <si>
    <t>TX0330</t>
  </si>
  <si>
    <t>Sahil Goswami</t>
  </si>
  <si>
    <t>TX0331</t>
  </si>
  <si>
    <t>Kaira Chopra</t>
  </si>
  <si>
    <t>TX0332</t>
  </si>
  <si>
    <t>Mishti Sarraf</t>
  </si>
  <si>
    <t>TX0333</t>
  </si>
  <si>
    <t>Azad Master</t>
  </si>
  <si>
    <t>TX0334</t>
  </si>
  <si>
    <t>Kimaya Chawla</t>
  </si>
  <si>
    <t>TX0335</t>
  </si>
  <si>
    <t>Darshit Roy</t>
  </si>
  <si>
    <t>TX0336</t>
  </si>
  <si>
    <t>Alia Sule</t>
  </si>
  <si>
    <t>TX0337</t>
  </si>
  <si>
    <t>Mannat Karnik</t>
  </si>
  <si>
    <t>TX0338</t>
  </si>
  <si>
    <t>TX0339</t>
  </si>
  <si>
    <t>Pari Bhatt</t>
  </si>
  <si>
    <t>TX0340</t>
  </si>
  <si>
    <t>Anay Chandran</t>
  </si>
  <si>
    <t>TX0341</t>
  </si>
  <si>
    <t>Kavya Karpe</t>
  </si>
  <si>
    <t>TX0342</t>
  </si>
  <si>
    <t>Farhan Gokhale</t>
  </si>
  <si>
    <t>TX0343</t>
  </si>
  <si>
    <t>Dhanuk Shenoy</t>
  </si>
  <si>
    <t>TX0344</t>
  </si>
  <si>
    <t>Aarush Lalla</t>
  </si>
  <si>
    <t>TX0345</t>
  </si>
  <si>
    <t>Hridaan Swamy</t>
  </si>
  <si>
    <t>TX0346</t>
  </si>
  <si>
    <t>Navya Balasubramanian</t>
  </si>
  <si>
    <t>TX0347</t>
  </si>
  <si>
    <t>Arhaan Korpal</t>
  </si>
  <si>
    <t>TX0348</t>
  </si>
  <si>
    <t>Samiha Kunda</t>
  </si>
  <si>
    <t>TX0349</t>
  </si>
  <si>
    <t>Shayak Sawhney</t>
  </si>
  <si>
    <t>TX0350</t>
  </si>
  <si>
    <t>Aarna Chaudry</t>
  </si>
  <si>
    <t>TX0351</t>
  </si>
  <si>
    <t>Yasmin Guha</t>
  </si>
  <si>
    <t>TX0352</t>
  </si>
  <si>
    <t>Veer Chhabra</t>
  </si>
  <si>
    <t>TX0353</t>
  </si>
  <si>
    <t>Azad Dey</t>
  </si>
  <si>
    <t>TX0354</t>
  </si>
  <si>
    <t>Jiya Dara</t>
  </si>
  <si>
    <t>TX0355</t>
  </si>
  <si>
    <t>Nakul Bora</t>
  </si>
  <si>
    <t>TX0356</t>
  </si>
  <si>
    <t>Sara Din</t>
  </si>
  <si>
    <t>TX0357</t>
  </si>
  <si>
    <t>Baiju Gala</t>
  </si>
  <si>
    <t>TX0358</t>
  </si>
  <si>
    <t>Uthkarsh Som</t>
  </si>
  <si>
    <t>TX0359</t>
  </si>
  <si>
    <t>Drishya Iyengar</t>
  </si>
  <si>
    <t>TX0360</t>
  </si>
  <si>
    <t>Tara Maharaj</t>
  </si>
  <si>
    <t>TX0361</t>
  </si>
  <si>
    <t>Vardaniya Thaman</t>
  </si>
  <si>
    <t>TX0362</t>
  </si>
  <si>
    <t>Nishith Shah</t>
  </si>
  <si>
    <t>TX0363</t>
  </si>
  <si>
    <t>Dishani Shan</t>
  </si>
  <si>
    <t>TX0364</t>
  </si>
  <si>
    <t>Jiya Shukla</t>
  </si>
  <si>
    <t>TX0365</t>
  </si>
  <si>
    <t>Nehmat Sahota</t>
  </si>
  <si>
    <t>TX0366</t>
  </si>
  <si>
    <t>Azad Luthra</t>
  </si>
  <si>
    <t>TX0367</t>
  </si>
  <si>
    <t>Eshani Toor</t>
  </si>
  <si>
    <t>TX0368</t>
  </si>
  <si>
    <t>Piya Jani</t>
  </si>
  <si>
    <t>TX0369</t>
  </si>
  <si>
    <t>Divit Sankaran</t>
  </si>
  <si>
    <t>TX0370</t>
  </si>
  <si>
    <t>Jiya Sheth</t>
  </si>
  <si>
    <t>TX0371</t>
  </si>
  <si>
    <t>Rasha Rana</t>
  </si>
  <si>
    <t>TX0372</t>
  </si>
  <si>
    <t>Eshani Sawhney</t>
  </si>
  <si>
    <t>TX0373</t>
  </si>
  <si>
    <t>Anahi Thaman</t>
  </si>
  <si>
    <t>TX0374</t>
  </si>
  <si>
    <t>Faiyaz Gulati</t>
  </si>
  <si>
    <t>TX0375</t>
  </si>
  <si>
    <t>Ryan Hari</t>
  </si>
  <si>
    <t>TX0376</t>
  </si>
  <si>
    <t>Ishaan Sama</t>
  </si>
  <si>
    <t>TX0377</t>
  </si>
  <si>
    <t>Samaira Borra</t>
  </si>
  <si>
    <t>TX0378</t>
  </si>
  <si>
    <t>Abram Dass</t>
  </si>
  <si>
    <t>TX0379</t>
  </si>
  <si>
    <t>Vihaan Johal</t>
  </si>
  <si>
    <t>TX0380</t>
  </si>
  <si>
    <t>Jhanvi Dhar</t>
  </si>
  <si>
    <t>TX0381</t>
  </si>
  <si>
    <t>Saanvi Lalla</t>
  </si>
  <si>
    <t>TX0382</t>
  </si>
  <si>
    <t>Eva Walia</t>
  </si>
  <si>
    <t>TX0383</t>
  </si>
  <si>
    <t>Shlok Ramanathan</t>
  </si>
  <si>
    <t>TX0384</t>
  </si>
  <si>
    <t>Prerak Chander</t>
  </si>
  <si>
    <t>TX0385</t>
  </si>
  <si>
    <t>Emir Doshi</t>
  </si>
  <si>
    <t>TX0386</t>
  </si>
  <si>
    <t>Yakshit Krishnamurthy</t>
  </si>
  <si>
    <t>TX0387</t>
  </si>
  <si>
    <t>Parinaaz Golla</t>
  </si>
  <si>
    <t>TX0388</t>
  </si>
  <si>
    <t>Anaya Gola</t>
  </si>
  <si>
    <t>TX0389</t>
  </si>
  <si>
    <t>Mahika Reddy</t>
  </si>
  <si>
    <t>TX0390</t>
  </si>
  <si>
    <t>Krish Kashyap</t>
  </si>
  <si>
    <t>TX0391</t>
  </si>
  <si>
    <t>Ishaan Wable</t>
  </si>
  <si>
    <t>TX0392</t>
  </si>
  <si>
    <t>Eshani Zachariah</t>
  </si>
  <si>
    <t>TX0393</t>
  </si>
  <si>
    <t>Uthkarsh Shanker</t>
  </si>
  <si>
    <t>TX0394</t>
  </si>
  <si>
    <t>Raghav Chandra</t>
  </si>
  <si>
    <t>TX0395</t>
  </si>
  <si>
    <t>Prisha Raju</t>
  </si>
  <si>
    <t>TX0396</t>
  </si>
  <si>
    <t>Nayantara Jani</t>
  </si>
  <si>
    <t>TX0397</t>
  </si>
  <si>
    <t>Ela Dash</t>
  </si>
  <si>
    <t>TX0398</t>
  </si>
  <si>
    <t>Alia Chauhan</t>
  </si>
  <si>
    <t>TX0399</t>
  </si>
  <si>
    <t>Devansh Hora</t>
  </si>
  <si>
    <t>Sum of Sales</t>
  </si>
  <si>
    <t>purchase cost</t>
  </si>
  <si>
    <t>Profit</t>
  </si>
  <si>
    <t>Sum of Profit</t>
  </si>
  <si>
    <t>Total purchase cost</t>
  </si>
  <si>
    <t>Sum of Total purchase cost</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</si>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</sst>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8">
    <xf numFmtId="0" fontId="0" fillId="0" borderId="0" xfId="0"/>
    <xf numFmtId="0" fontId="1" fillId="0" borderId="0" xfId="0" applyFont="1" applyAlignment="1">
      <alignment horizontal="center" vertical="top"/>
    </xf>
    <xf numFmtId="0" fontId="1" fillId="2" borderId="1" xfId="0" applyFont="1" applyFill="1" applyBorder="1"/>
    <xf numFmtId="0" fontId="0" fillId="0" borderId="0" xfId="0" pivotButton="1"/>
    <xf numFmtId="0" fontId="0" fillId="0" borderId="0" xfId="0" applyAlignment="1">
      <alignment horizontal="left"/>
    </xf>
    <xf numFmtId="14" fontId="0" fillId="0" borderId="0" xfId="0" applyNumberFormat="1"/>
    <xf numFmtId="10" fontId="0" fillId="0" borderId="0" xfId="0" applyNumberFormat="1"/>
    <xf numFmtId="164" fontId="0" fillId="0" borderId="0" xfId="1"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sales_Dashboard.xlsx]kpi!totalsum</c:name>
    <c:fmtId val="12"/>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6508689869298221"/>
          <c:y val="0.12610226650093742"/>
          <c:w val="0.7211689986537676"/>
          <c:h val="0.8051146790440058"/>
        </c:manualLayout>
      </c:layout>
      <c:pieChart>
        <c:varyColors val="1"/>
        <c:ser>
          <c:idx val="0"/>
          <c:order val="0"/>
          <c:tx>
            <c:strRef>
              <c:f>kpi!$B$5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562-45FD-95AE-0EAE2163A1B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562-45FD-95AE-0EAE2163A1B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562-45FD-95AE-0EAE2163A1B2}"/>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562-45FD-95AE-0EAE2163A1B2}"/>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562-45FD-95AE-0EAE2163A1B2}"/>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0562-45FD-95AE-0EAE2163A1B2}"/>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0562-45FD-95AE-0EAE2163A1B2}"/>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0562-45FD-95AE-0EAE2163A1B2}"/>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0562-45FD-95AE-0EAE2163A1B2}"/>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0562-45FD-95AE-0EAE2163A1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kpi!$A$6:$A$10</c:f>
              <c:strCache>
                <c:ptCount val="4"/>
                <c:pt idx="0">
                  <c:v>Desktop PC</c:v>
                </c:pt>
                <c:pt idx="1">
                  <c:v>E-Reader</c:v>
                </c:pt>
                <c:pt idx="2">
                  <c:v>External Hard Drive</c:v>
                </c:pt>
                <c:pt idx="3">
                  <c:v>Headphones</c:v>
                </c:pt>
              </c:strCache>
            </c:strRef>
          </c:cat>
          <c:val>
            <c:numRef>
              <c:f>kpi!$B$6:$B$10</c:f>
              <c:numCache>
                <c:formatCode>General</c:formatCode>
                <c:ptCount val="4"/>
                <c:pt idx="0">
                  <c:v>2228876</c:v>
                </c:pt>
                <c:pt idx="1">
                  <c:v>2146360</c:v>
                </c:pt>
                <c:pt idx="2">
                  <c:v>2884446</c:v>
                </c:pt>
                <c:pt idx="3">
                  <c:v>1608506</c:v>
                </c:pt>
              </c:numCache>
            </c:numRef>
          </c:val>
          <c:extLst>
            <c:ext xmlns:c16="http://schemas.microsoft.com/office/drawing/2014/chart" uri="{C3380CC4-5D6E-409C-BE32-E72D297353CC}">
              <c16:uniqueId val="{00000014-0562-45FD-95AE-0EAE2163A1B2}"/>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sales_Dashboard.xlsx]kpi!totalpurchase</c:name>
    <c:fmtId val="1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kpi!$F$5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DEA-4ABA-8E35-3F2AD97C706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DEA-4ABA-8E35-3F2AD97C706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DEA-4ABA-8E35-3F2AD97C706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DEA-4ABA-8E35-3F2AD97C706E}"/>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DEA-4ABA-8E35-3F2AD97C706E}"/>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FDEA-4ABA-8E35-3F2AD97C706E}"/>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FDEA-4ABA-8E35-3F2AD97C706E}"/>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FDEA-4ABA-8E35-3F2AD97C706E}"/>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FDEA-4ABA-8E35-3F2AD97C706E}"/>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FDEA-4ABA-8E35-3F2AD97C70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kpi!$E$6:$E$10</c:f>
              <c:strCache>
                <c:ptCount val="4"/>
                <c:pt idx="0">
                  <c:v>Desktop PC</c:v>
                </c:pt>
                <c:pt idx="1">
                  <c:v>E-Reader</c:v>
                </c:pt>
                <c:pt idx="2">
                  <c:v>External Hard Drive</c:v>
                </c:pt>
                <c:pt idx="3">
                  <c:v>Headphones</c:v>
                </c:pt>
              </c:strCache>
            </c:strRef>
          </c:cat>
          <c:val>
            <c:numRef>
              <c:f>kpi!$F$6:$F$10</c:f>
              <c:numCache>
                <c:formatCode>General</c:formatCode>
                <c:ptCount val="4"/>
                <c:pt idx="0">
                  <c:v>1965076</c:v>
                </c:pt>
                <c:pt idx="1">
                  <c:v>1923860</c:v>
                </c:pt>
                <c:pt idx="2">
                  <c:v>2552346</c:v>
                </c:pt>
                <c:pt idx="3">
                  <c:v>1426406</c:v>
                </c:pt>
              </c:numCache>
            </c:numRef>
          </c:val>
          <c:extLst>
            <c:ext xmlns:c16="http://schemas.microsoft.com/office/drawing/2014/chart" uri="{C3380CC4-5D6E-409C-BE32-E72D297353CC}">
              <c16:uniqueId val="{00000014-FDEA-4ABA-8E35-3F2AD97C706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sales_Dashboard.xlsx]kpi!sumofprofit</c:name>
    <c:fmtId val="5"/>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kpi!$J$5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C7D-4A8D-B85A-FA0899D043A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C7D-4A8D-B85A-FA0899D043A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C7D-4A8D-B85A-FA0899D043A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C7D-4A8D-B85A-FA0899D043A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C7D-4A8D-B85A-FA0899D043AB}"/>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DC7D-4A8D-B85A-FA0899D043AB}"/>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DC7D-4A8D-B85A-FA0899D043AB}"/>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DC7D-4A8D-B85A-FA0899D043AB}"/>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DC7D-4A8D-B85A-FA0899D043AB}"/>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DC7D-4A8D-B85A-FA0899D043A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kpi!$I$6:$I$10</c:f>
              <c:strCache>
                <c:ptCount val="4"/>
                <c:pt idx="0">
                  <c:v>Desktop PC</c:v>
                </c:pt>
                <c:pt idx="1">
                  <c:v>E-Reader</c:v>
                </c:pt>
                <c:pt idx="2">
                  <c:v>External Hard Drive</c:v>
                </c:pt>
                <c:pt idx="3">
                  <c:v>Headphones</c:v>
                </c:pt>
              </c:strCache>
            </c:strRef>
          </c:cat>
          <c:val>
            <c:numRef>
              <c:f>kpi!$J$6:$J$10</c:f>
              <c:numCache>
                <c:formatCode>General</c:formatCode>
                <c:ptCount val="4"/>
                <c:pt idx="0">
                  <c:v>263800</c:v>
                </c:pt>
                <c:pt idx="1">
                  <c:v>222500</c:v>
                </c:pt>
                <c:pt idx="2">
                  <c:v>332100</c:v>
                </c:pt>
                <c:pt idx="3">
                  <c:v>182100</c:v>
                </c:pt>
              </c:numCache>
            </c:numRef>
          </c:val>
          <c:extLst>
            <c:ext xmlns:c16="http://schemas.microsoft.com/office/drawing/2014/chart" uri="{C3380CC4-5D6E-409C-BE32-E72D297353CC}">
              <c16:uniqueId val="{00000014-DC7D-4A8D-B85A-FA0899D043A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sales_Dashboard.xlsx]kpi!monthwise</c:name>
    <c:fmtId val="1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kpi!$B$23</c:f>
              <c:strCache>
                <c:ptCount val="1"/>
                <c:pt idx="0">
                  <c:v>Sum of Sales</c:v>
                </c:pt>
              </c:strCache>
            </c:strRef>
          </c:tx>
          <c:spPr>
            <a:solidFill>
              <a:schemeClr val="accent1"/>
            </a:solidFill>
            <a:ln>
              <a:noFill/>
            </a:ln>
            <a:effectLst/>
          </c:spPr>
          <c:invertIfNegative val="0"/>
          <c:cat>
            <c:strRef>
              <c:f>kpi!$A$24:$A$36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kpi!$B$24:$B$36</c:f>
              <c:numCache>
                <c:formatCode>General</c:formatCode>
                <c:ptCount val="12"/>
                <c:pt idx="0">
                  <c:v>732351</c:v>
                </c:pt>
                <c:pt idx="1">
                  <c:v>339425</c:v>
                </c:pt>
                <c:pt idx="2">
                  <c:v>717926</c:v>
                </c:pt>
                <c:pt idx="3">
                  <c:v>1321068</c:v>
                </c:pt>
                <c:pt idx="4">
                  <c:v>935551</c:v>
                </c:pt>
                <c:pt idx="5">
                  <c:v>1013467</c:v>
                </c:pt>
                <c:pt idx="6">
                  <c:v>428630</c:v>
                </c:pt>
                <c:pt idx="7">
                  <c:v>670863</c:v>
                </c:pt>
                <c:pt idx="8">
                  <c:v>987360</c:v>
                </c:pt>
                <c:pt idx="9">
                  <c:v>613438</c:v>
                </c:pt>
                <c:pt idx="10">
                  <c:v>615749</c:v>
                </c:pt>
                <c:pt idx="11">
                  <c:v>492360</c:v>
                </c:pt>
              </c:numCache>
            </c:numRef>
          </c:val>
          <c:extLst>
            <c:ext xmlns:c16="http://schemas.microsoft.com/office/drawing/2014/chart" uri="{C3380CC4-5D6E-409C-BE32-E72D297353CC}">
              <c16:uniqueId val="{00000000-1D80-4212-84EC-4ED8E892409F}"/>
            </c:ext>
          </c:extLst>
        </c:ser>
        <c:dLbls>
          <c:showLegendKey val="0"/>
          <c:showVal val="0"/>
          <c:showCatName val="0"/>
          <c:showSerName val="0"/>
          <c:showPercent val="0"/>
          <c:showBubbleSize val="0"/>
        </c:dLbls>
        <c:gapWidth val="219"/>
        <c:overlap val="-27"/>
        <c:axId val="1834632736"/>
        <c:axId val="123602720"/>
      </c:barChart>
      <c:lineChart>
        <c:grouping val="standard"/>
        <c:varyColors val="0"/>
        <c:ser>
          <c:idx val="1"/>
          <c:order val="1"/>
          <c:tx>
            <c:strRef>
              <c:f>kpi!$C$23</c:f>
              <c:strCache>
                <c:ptCount val="1"/>
                <c:pt idx="0">
                  <c:v>Sum of Profit</c:v>
                </c:pt>
              </c:strCache>
            </c:strRef>
          </c:tx>
          <c:spPr>
            <a:ln w="28575" cap="rnd">
              <a:solidFill>
                <a:schemeClr val="accent2"/>
              </a:solidFill>
              <a:round/>
            </a:ln>
            <a:effectLst/>
          </c:spPr>
          <c:marker>
            <c:symbol val="circle"/>
            <c:size val="5"/>
            <c:spPr>
              <a:solidFill>
                <a:schemeClr val="tx1"/>
              </a:solidFill>
              <a:ln w="9525">
                <a:solidFill>
                  <a:schemeClr val="accent2"/>
                </a:solidFill>
              </a:ln>
              <a:effectLst/>
            </c:spPr>
          </c:marker>
          <c:cat>
            <c:strRef>
              <c:f>kpi!$A$24:$A$36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kpi!$C$24:$C$36</c:f>
              <c:numCache>
                <c:formatCode>0.00%</c:formatCode>
                <c:ptCount val="12"/>
                <c:pt idx="0">
                  <c:v>7.7961019490254871E-2</c:v>
                </c:pt>
                <c:pt idx="1">
                  <c:v>3.7681159420289857E-2</c:v>
                </c:pt>
                <c:pt idx="2">
                  <c:v>8.1859070464767619E-2</c:v>
                </c:pt>
                <c:pt idx="3">
                  <c:v>0.13763118440779609</c:v>
                </c:pt>
                <c:pt idx="4">
                  <c:v>0.10464767616191904</c:v>
                </c:pt>
                <c:pt idx="5">
                  <c:v>7.4962518740629688E-2</c:v>
                </c:pt>
                <c:pt idx="6">
                  <c:v>5.8570714642678663E-2</c:v>
                </c:pt>
                <c:pt idx="7">
                  <c:v>7.1964017991004492E-2</c:v>
                </c:pt>
                <c:pt idx="8">
                  <c:v>0.12833583208395802</c:v>
                </c:pt>
                <c:pt idx="9">
                  <c:v>6.5967016491754127E-2</c:v>
                </c:pt>
                <c:pt idx="10">
                  <c:v>0.1071464267866067</c:v>
                </c:pt>
                <c:pt idx="11">
                  <c:v>5.327336331834083E-2</c:v>
                </c:pt>
              </c:numCache>
            </c:numRef>
          </c:val>
          <c:smooth val="0"/>
          <c:extLst>
            <c:ext xmlns:c16="http://schemas.microsoft.com/office/drawing/2014/chart" uri="{C3380CC4-5D6E-409C-BE32-E72D297353CC}">
              <c16:uniqueId val="{00000001-1D80-4212-84EC-4ED8E892409F}"/>
            </c:ext>
          </c:extLst>
        </c:ser>
        <c:dLbls>
          <c:showLegendKey val="0"/>
          <c:showVal val="0"/>
          <c:showCatName val="0"/>
          <c:showSerName val="0"/>
          <c:showPercent val="0"/>
          <c:showBubbleSize val="0"/>
        </c:dLbls>
        <c:marker val="1"/>
        <c:smooth val="0"/>
        <c:axId val="123604160"/>
        <c:axId val="123604640"/>
      </c:lineChart>
      <c:catAx>
        <c:axId val="183463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02720"/>
        <c:crosses val="autoZero"/>
        <c:auto val="1"/>
        <c:lblAlgn val="ctr"/>
        <c:lblOffset val="100"/>
        <c:noMultiLvlLbl val="0"/>
      </c:catAx>
      <c:valAx>
        <c:axId val="123602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32736"/>
        <c:crosses val="autoZero"/>
        <c:crossBetween val="between"/>
      </c:valAx>
      <c:valAx>
        <c:axId val="123604640"/>
        <c:scaling>
          <c:orientation val="minMax"/>
        </c:scaling>
        <c:delete val="0"/>
        <c:axPos val="r"/>
        <c:numFmt formatCode="0.00%" sourceLinked="1"/>
        <c:majorTickMark val="out"/>
        <c:minorTickMark val="none"/>
        <c:tickLblPos val="nextTo"/>
        <c:spPr>
          <a:solidFill>
            <a:schemeClr val="lt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04160"/>
        <c:crosses val="max"/>
        <c:crossBetween val="between"/>
      </c:valAx>
      <c:catAx>
        <c:axId val="123604160"/>
        <c:scaling>
          <c:orientation val="minMax"/>
        </c:scaling>
        <c:delete val="1"/>
        <c:axPos val="t"/>
        <c:numFmt formatCode="General" sourceLinked="1"/>
        <c:majorTickMark val="out"/>
        <c:minorTickMark val="none"/>
        <c:tickLblPos val="nextTo"/>
        <c:crossAx val="123604640"/>
        <c:crosses val="max"/>
        <c:auto val="1"/>
        <c:lblAlgn val="ctr"/>
        <c:lblOffset val="100"/>
        <c:noMultiLvlLbl val="0"/>
      </c:catAx>
      <c:spPr>
        <a:solidFill>
          <a:schemeClr val="lt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3037238006563"/>
          <c:y val="0.13239406515505053"/>
          <c:w val="0.86037524074333904"/>
          <c:h val="0.84105231284398774"/>
        </c:manualLayout>
      </c:layout>
      <c:doughnutChart>
        <c:varyColors val="1"/>
        <c:ser>
          <c:idx val="0"/>
          <c:order val="0"/>
          <c:tx>
            <c:strRef>
              <c:f>kpi!$O$23</c:f>
              <c:strCache>
                <c:ptCount val="1"/>
                <c:pt idx="0">
                  <c:v>Sum of Profit</c:v>
                </c:pt>
              </c:strCache>
            </c:strRef>
          </c:tx>
          <c:explosion val="5"/>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B47-4C13-A4CB-C5AC2CC613A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B47-4C13-A4CB-C5AC2CC613A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B47-4C13-A4CB-C5AC2CC613A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B47-4C13-A4CB-C5AC2CC613A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B47-4C13-A4CB-C5AC2CC613A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0B47-4C13-A4CB-C5AC2CC613A5}"/>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0B47-4C13-A4CB-C5AC2CC613A5}"/>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0B47-4C13-A4CB-C5AC2CC613A5}"/>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0B47-4C13-A4CB-C5AC2CC613A5}"/>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0B47-4C13-A4CB-C5AC2CC613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kpi!$M$24:$M$33</c:f>
              <c:strCache>
                <c:ptCount val="10"/>
                <c:pt idx="0">
                  <c:v>Camera</c:v>
                </c:pt>
                <c:pt idx="1">
                  <c:v>Desktop PC</c:v>
                </c:pt>
                <c:pt idx="2">
                  <c:v>E-Reader</c:v>
                </c:pt>
                <c:pt idx="3">
                  <c:v>External Hard Drive</c:v>
                </c:pt>
                <c:pt idx="4">
                  <c:v>Headphones</c:v>
                </c:pt>
                <c:pt idx="5">
                  <c:v>Laptop</c:v>
                </c:pt>
                <c:pt idx="6">
                  <c:v>Printer</c:v>
                </c:pt>
                <c:pt idx="7">
                  <c:v>Smartphone</c:v>
                </c:pt>
                <c:pt idx="8">
                  <c:v>Smartwatch</c:v>
                </c:pt>
                <c:pt idx="9">
                  <c:v>Tablet</c:v>
                </c:pt>
              </c:strCache>
            </c:strRef>
          </c:cat>
          <c:val>
            <c:numRef>
              <c:f>kpi!$O$24:$O$33</c:f>
              <c:numCache>
                <c:formatCode>0.0%</c:formatCode>
                <c:ptCount val="10"/>
                <c:pt idx="0">
                  <c:v>0</c:v>
                </c:pt>
                <c:pt idx="1">
                  <c:v>0.26366816591704145</c:v>
                </c:pt>
                <c:pt idx="2">
                  <c:v>0.22238880559720139</c:v>
                </c:pt>
                <c:pt idx="3">
                  <c:v>0.33193403298350826</c:v>
                </c:pt>
                <c:pt idx="4">
                  <c:v>0.18200899550224889</c:v>
                </c:pt>
                <c:pt idx="5">
                  <c:v>0</c:v>
                </c:pt>
                <c:pt idx="6">
                  <c:v>0</c:v>
                </c:pt>
                <c:pt idx="7">
                  <c:v>0</c:v>
                </c:pt>
                <c:pt idx="8">
                  <c:v>0</c:v>
                </c:pt>
                <c:pt idx="9">
                  <c:v>0</c:v>
                </c:pt>
              </c:numCache>
            </c:numRef>
          </c:val>
          <c:extLst>
            <c:ext xmlns:c16="http://schemas.microsoft.com/office/drawing/2014/chart" uri="{C3380CC4-5D6E-409C-BE32-E72D297353CC}">
              <c16:uniqueId val="{00000014-0B47-4C13-A4CB-C5AC2CC613A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sales_Dashboard.xlsx]kpi!totalsum</c:name>
    <c:fmtId val="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kpi!$B$5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E75-4892-AB81-4E2E61FFBF0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E75-4892-AB81-4E2E61FFBF0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E75-4892-AB81-4E2E61FFBF0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E75-4892-AB81-4E2E61FFBF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kpi!$A$6:$A$10</c:f>
              <c:strCache>
                <c:ptCount val="4"/>
                <c:pt idx="0">
                  <c:v>Desktop PC</c:v>
                </c:pt>
                <c:pt idx="1">
                  <c:v>E-Reader</c:v>
                </c:pt>
                <c:pt idx="2">
                  <c:v>External Hard Drive</c:v>
                </c:pt>
                <c:pt idx="3">
                  <c:v>Headphones</c:v>
                </c:pt>
              </c:strCache>
            </c:strRef>
          </c:cat>
          <c:val>
            <c:numRef>
              <c:f>kpi!$B$6:$B$10</c:f>
              <c:numCache>
                <c:formatCode>General</c:formatCode>
                <c:ptCount val="4"/>
                <c:pt idx="0">
                  <c:v>2228876</c:v>
                </c:pt>
                <c:pt idx="1">
                  <c:v>2146360</c:v>
                </c:pt>
                <c:pt idx="2">
                  <c:v>2884446</c:v>
                </c:pt>
                <c:pt idx="3">
                  <c:v>1608506</c:v>
                </c:pt>
              </c:numCache>
            </c:numRef>
          </c:val>
          <c:extLst>
            <c:ext xmlns:c16="http://schemas.microsoft.com/office/drawing/2014/chart" uri="{C3380CC4-5D6E-409C-BE32-E72D297353CC}">
              <c16:uniqueId val="{00000000-9E3E-4F68-BCF8-C68EA43E1656}"/>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sales_Dashboard.xlsx]kpi!totalpurchase</c:name>
    <c:fmtId val="1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kpi!$F$5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4E8-42A9-8183-A7133E9EF74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4E8-42A9-8183-A7133E9EF74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4E8-42A9-8183-A7133E9EF74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4E8-42A9-8183-A7133E9EF74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kpi!$E$6:$E$10</c:f>
              <c:strCache>
                <c:ptCount val="4"/>
                <c:pt idx="0">
                  <c:v>Desktop PC</c:v>
                </c:pt>
                <c:pt idx="1">
                  <c:v>E-Reader</c:v>
                </c:pt>
                <c:pt idx="2">
                  <c:v>External Hard Drive</c:v>
                </c:pt>
                <c:pt idx="3">
                  <c:v>Headphones</c:v>
                </c:pt>
              </c:strCache>
            </c:strRef>
          </c:cat>
          <c:val>
            <c:numRef>
              <c:f>kpi!$F$6:$F$10</c:f>
              <c:numCache>
                <c:formatCode>General</c:formatCode>
                <c:ptCount val="4"/>
                <c:pt idx="0">
                  <c:v>1965076</c:v>
                </c:pt>
                <c:pt idx="1">
                  <c:v>1923860</c:v>
                </c:pt>
                <c:pt idx="2">
                  <c:v>2552346</c:v>
                </c:pt>
                <c:pt idx="3">
                  <c:v>1426406</c:v>
                </c:pt>
              </c:numCache>
            </c:numRef>
          </c:val>
          <c:extLst>
            <c:ext xmlns:c16="http://schemas.microsoft.com/office/drawing/2014/chart" uri="{C3380CC4-5D6E-409C-BE32-E72D297353CC}">
              <c16:uniqueId val="{00000000-1AE4-4B15-A9F9-EDA29EC4BF5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sales_Dashboard.xlsx]kpi!sumofprofit</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kpi!$J$5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AF50-4314-B918-FF729021FC5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AF50-4314-B918-FF729021FC5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AF50-4314-B918-FF729021FC5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AF50-4314-B918-FF729021FC5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kpi!$I$6:$I$10</c:f>
              <c:strCache>
                <c:ptCount val="4"/>
                <c:pt idx="0">
                  <c:v>Desktop PC</c:v>
                </c:pt>
                <c:pt idx="1">
                  <c:v>E-Reader</c:v>
                </c:pt>
                <c:pt idx="2">
                  <c:v>External Hard Drive</c:v>
                </c:pt>
                <c:pt idx="3">
                  <c:v>Headphones</c:v>
                </c:pt>
              </c:strCache>
            </c:strRef>
          </c:cat>
          <c:val>
            <c:numRef>
              <c:f>kpi!$J$6:$J$10</c:f>
              <c:numCache>
                <c:formatCode>General</c:formatCode>
                <c:ptCount val="4"/>
                <c:pt idx="0">
                  <c:v>263800</c:v>
                </c:pt>
                <c:pt idx="1">
                  <c:v>222500</c:v>
                </c:pt>
                <c:pt idx="2">
                  <c:v>332100</c:v>
                </c:pt>
                <c:pt idx="3">
                  <c:v>182100</c:v>
                </c:pt>
              </c:numCache>
            </c:numRef>
          </c:val>
          <c:extLst>
            <c:ext xmlns:c16="http://schemas.microsoft.com/office/drawing/2014/chart" uri="{C3380CC4-5D6E-409C-BE32-E72D297353CC}">
              <c16:uniqueId val="{00000000-E565-4F7D-9E66-75DDF6DABF0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 product sales_Dashboard.xlsx]kpi!monthwise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tx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kpi!$B$23</c:f>
              <c:strCache>
                <c:ptCount val="1"/>
                <c:pt idx="0">
                  <c:v>Sum of Sales</c:v>
                </c:pt>
              </c:strCache>
            </c:strRef>
          </c:tx>
          <c:spPr>
            <a:solidFill>
              <a:schemeClr val="accent1"/>
            </a:solidFill>
            <a:ln>
              <a:noFill/>
            </a:ln>
            <a:effectLst/>
          </c:spPr>
          <c:invertIfNegative val="0"/>
          <c:cat>
            <c:strRef>
              <c:f>kpi!$A$24:$A$36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kpi!$B$24:$B$36</c:f>
              <c:numCache>
                <c:formatCode>General</c:formatCode>
                <c:ptCount val="12"/>
                <c:pt idx="0">
                  <c:v>732351</c:v>
                </c:pt>
                <c:pt idx="1">
                  <c:v>339425</c:v>
                </c:pt>
                <c:pt idx="2">
                  <c:v>717926</c:v>
                </c:pt>
                <c:pt idx="3">
                  <c:v>1321068</c:v>
                </c:pt>
                <c:pt idx="4">
                  <c:v>935551</c:v>
                </c:pt>
                <c:pt idx="5">
                  <c:v>1013467</c:v>
                </c:pt>
                <c:pt idx="6">
                  <c:v>428630</c:v>
                </c:pt>
                <c:pt idx="7">
                  <c:v>670863</c:v>
                </c:pt>
                <c:pt idx="8">
                  <c:v>987360</c:v>
                </c:pt>
                <c:pt idx="9">
                  <c:v>613438</c:v>
                </c:pt>
                <c:pt idx="10">
                  <c:v>615749</c:v>
                </c:pt>
                <c:pt idx="11">
                  <c:v>492360</c:v>
                </c:pt>
              </c:numCache>
            </c:numRef>
          </c:val>
          <c:extLst>
            <c:ext xmlns:c16="http://schemas.microsoft.com/office/drawing/2014/chart" uri="{C3380CC4-5D6E-409C-BE32-E72D297353CC}">
              <c16:uniqueId val="{00000000-3589-4A30-A7A6-F94C1EB54567}"/>
            </c:ext>
          </c:extLst>
        </c:ser>
        <c:dLbls>
          <c:showLegendKey val="0"/>
          <c:showVal val="0"/>
          <c:showCatName val="0"/>
          <c:showSerName val="0"/>
          <c:showPercent val="0"/>
          <c:showBubbleSize val="0"/>
        </c:dLbls>
        <c:gapWidth val="219"/>
        <c:overlap val="-27"/>
        <c:axId val="1834632736"/>
        <c:axId val="123602720"/>
      </c:barChart>
      <c:lineChart>
        <c:grouping val="standard"/>
        <c:varyColors val="0"/>
        <c:ser>
          <c:idx val="1"/>
          <c:order val="1"/>
          <c:tx>
            <c:strRef>
              <c:f>kpi!$C$23</c:f>
              <c:strCache>
                <c:ptCount val="1"/>
                <c:pt idx="0">
                  <c:v>Sum of Profit</c:v>
                </c:pt>
              </c:strCache>
            </c:strRef>
          </c:tx>
          <c:spPr>
            <a:ln w="28575" cap="rnd">
              <a:solidFill>
                <a:schemeClr val="accent2"/>
              </a:solidFill>
              <a:round/>
            </a:ln>
            <a:effectLst/>
          </c:spPr>
          <c:marker>
            <c:symbol val="circle"/>
            <c:size val="5"/>
            <c:spPr>
              <a:solidFill>
                <a:schemeClr val="tx1"/>
              </a:solidFill>
              <a:ln w="9525">
                <a:solidFill>
                  <a:schemeClr val="accent2"/>
                </a:solidFill>
              </a:ln>
              <a:effectLst/>
            </c:spPr>
          </c:marker>
          <c:cat>
            <c:strRef>
              <c:f>kpi!$A$24:$A$36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kpi!$C$24:$C$36</c:f>
              <c:numCache>
                <c:formatCode>0.00%</c:formatCode>
                <c:ptCount val="12"/>
                <c:pt idx="0">
                  <c:v>7.7961019490254871E-2</c:v>
                </c:pt>
                <c:pt idx="1">
                  <c:v>3.7681159420289857E-2</c:v>
                </c:pt>
                <c:pt idx="2">
                  <c:v>8.1859070464767619E-2</c:v>
                </c:pt>
                <c:pt idx="3">
                  <c:v>0.13763118440779609</c:v>
                </c:pt>
                <c:pt idx="4">
                  <c:v>0.10464767616191904</c:v>
                </c:pt>
                <c:pt idx="5">
                  <c:v>7.4962518740629688E-2</c:v>
                </c:pt>
                <c:pt idx="6">
                  <c:v>5.8570714642678663E-2</c:v>
                </c:pt>
                <c:pt idx="7">
                  <c:v>7.1964017991004492E-2</c:v>
                </c:pt>
                <c:pt idx="8">
                  <c:v>0.12833583208395802</c:v>
                </c:pt>
                <c:pt idx="9">
                  <c:v>6.5967016491754127E-2</c:v>
                </c:pt>
                <c:pt idx="10">
                  <c:v>0.1071464267866067</c:v>
                </c:pt>
                <c:pt idx="11">
                  <c:v>5.327336331834083E-2</c:v>
                </c:pt>
              </c:numCache>
            </c:numRef>
          </c:val>
          <c:smooth val="0"/>
          <c:extLst>
            <c:ext xmlns:c16="http://schemas.microsoft.com/office/drawing/2014/chart" uri="{C3380CC4-5D6E-409C-BE32-E72D297353CC}">
              <c16:uniqueId val="{00000001-3589-4A30-A7A6-F94C1EB54567}"/>
            </c:ext>
          </c:extLst>
        </c:ser>
        <c:dLbls>
          <c:showLegendKey val="0"/>
          <c:showVal val="0"/>
          <c:showCatName val="0"/>
          <c:showSerName val="0"/>
          <c:showPercent val="0"/>
          <c:showBubbleSize val="0"/>
        </c:dLbls>
        <c:marker val="1"/>
        <c:smooth val="0"/>
        <c:axId val="123604160"/>
        <c:axId val="123604640"/>
      </c:lineChart>
      <c:catAx>
        <c:axId val="18346327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02720"/>
        <c:crosses val="autoZero"/>
        <c:auto val="1"/>
        <c:lblAlgn val="ctr"/>
        <c:lblOffset val="100"/>
        <c:noMultiLvlLbl val="0"/>
      </c:catAx>
      <c:valAx>
        <c:axId val="1236027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32736"/>
        <c:crosses val="autoZero"/>
        <c:crossBetween val="between"/>
      </c:valAx>
      <c:valAx>
        <c:axId val="1236046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04160"/>
        <c:crosses val="max"/>
        <c:crossBetween val="between"/>
      </c:valAx>
      <c:catAx>
        <c:axId val="123604160"/>
        <c:scaling>
          <c:orientation val="minMax"/>
        </c:scaling>
        <c:delete val="1"/>
        <c:axPos val="t"/>
        <c:numFmt formatCode="General" sourceLinked="1"/>
        <c:majorTickMark val="out"/>
        <c:minorTickMark val="none"/>
        <c:tickLblPos val="nextTo"/>
        <c:crossAx val="12360464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411787301860088"/>
          <c:y val="0.127083779264446"/>
          <c:w val="0.48302171167014618"/>
          <c:h val="0.74583244147110805"/>
        </c:manualLayout>
      </c:layout>
      <c:doughnutChart>
        <c:varyColors val="1"/>
        <c:ser>
          <c:idx val="0"/>
          <c:order val="0"/>
          <c:tx>
            <c:strRef>
              <c:f>kpi!$O$23</c:f>
              <c:strCache>
                <c:ptCount val="1"/>
                <c:pt idx="0">
                  <c:v>Sum of Profit</c:v>
                </c:pt>
              </c:strCache>
            </c:strRef>
          </c:tx>
          <c:explosion val="5"/>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6DD-4B33-AFDC-1B65E9AE1B9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6DD-4B33-AFDC-1B65E9AE1B9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56DD-4B33-AFDC-1B65E9AE1B9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6DD-4B33-AFDC-1B65E9AE1B9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56DD-4B33-AFDC-1B65E9AE1B9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8CC-433E-8E6B-645672A2F4B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8CC-433E-8E6B-645672A2F4B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8CC-433E-8E6B-645672A2F4B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8CC-433E-8E6B-645672A2F4B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8CC-433E-8E6B-645672A2F4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kpi!$M$24:$M$33</c:f>
              <c:strCache>
                <c:ptCount val="10"/>
                <c:pt idx="0">
                  <c:v>Camera</c:v>
                </c:pt>
                <c:pt idx="1">
                  <c:v>Desktop PC</c:v>
                </c:pt>
                <c:pt idx="2">
                  <c:v>E-Reader</c:v>
                </c:pt>
                <c:pt idx="3">
                  <c:v>External Hard Drive</c:v>
                </c:pt>
                <c:pt idx="4">
                  <c:v>Headphones</c:v>
                </c:pt>
                <c:pt idx="5">
                  <c:v>Laptop</c:v>
                </c:pt>
                <c:pt idx="6">
                  <c:v>Printer</c:v>
                </c:pt>
                <c:pt idx="7">
                  <c:v>Smartphone</c:v>
                </c:pt>
                <c:pt idx="8">
                  <c:v>Smartwatch</c:v>
                </c:pt>
                <c:pt idx="9">
                  <c:v>Tablet</c:v>
                </c:pt>
              </c:strCache>
            </c:strRef>
          </c:cat>
          <c:val>
            <c:numRef>
              <c:f>kpi!$O$24:$O$33</c:f>
              <c:numCache>
                <c:formatCode>0.0%</c:formatCode>
                <c:ptCount val="10"/>
                <c:pt idx="0">
                  <c:v>0</c:v>
                </c:pt>
                <c:pt idx="1">
                  <c:v>0.26366816591704145</c:v>
                </c:pt>
                <c:pt idx="2">
                  <c:v>0.22238880559720139</c:v>
                </c:pt>
                <c:pt idx="3">
                  <c:v>0.33193403298350826</c:v>
                </c:pt>
                <c:pt idx="4">
                  <c:v>0.18200899550224889</c:v>
                </c:pt>
                <c:pt idx="5">
                  <c:v>0</c:v>
                </c:pt>
                <c:pt idx="6">
                  <c:v>0</c:v>
                </c:pt>
                <c:pt idx="7">
                  <c:v>0</c:v>
                </c:pt>
                <c:pt idx="8">
                  <c:v>0</c:v>
                </c:pt>
                <c:pt idx="9">
                  <c:v>0</c:v>
                </c:pt>
              </c:numCache>
            </c:numRef>
          </c:val>
          <c:extLst>
            <c:ext xmlns:c16="http://schemas.microsoft.com/office/drawing/2014/chart" uri="{C3380CC4-5D6E-409C-BE32-E72D297353CC}">
              <c16:uniqueId val="{00000000-56DD-4B33-AFDC-1B65E9AE1B98}"/>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00000000-F0CC-4A45-9785-E27439ED0277}">
          <cx:tx>
            <cx:txData>
              <cx:f>_xlchart.v1.5</cx:f>
              <cx:v>Sum of Sales</cx:v>
            </cx:txData>
          </cx:tx>
          <cx:dataLabels pos="ctr">
            <cx:spPr>
              <a:noFill/>
            </cx:spPr>
            <cx:visibility seriesName="0" categoryName="1" value="1"/>
            <cx:separator>, </cx:separator>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00000000-988A-4B83-837B-0CC7D2214ABE}">
          <cx:tx>
            <cx:txData>
              <cx:f>_xlchart.v5.2</cx:f>
              <cx:v>Sum of Sales</cx:v>
            </cx:txData>
          </cx:tx>
          <cx:dataId val="0"/>
          <cx:layoutPr>
            <cx:geography cultureLanguage="en-US" cultureRegion="IN" attribution="Powered by Bing">
              <cx:geoCache provider="{E9337A44-BEBE-4D9F-B70C-5C5E7DAFC167}">
                <cx:binary>1H1rb9y4kvZfCfL5lYd3UoudAxx1t2U7dhInnkkyXwQncXS/kaJuv36rYzvTzWnHOVov8NoYYGKr
RZWq+FQVqx6y//vL+F9fiptr/WIsi8r815fx95dJ1zX/9dtv5ktyU16bozL9omtTf+uOvtTlb/W3
b+mXm9++6ushreLfCMLsty/Jte5uxpf/+m8YLb6pz+sv111aV5f2Rk/vbowtOvOTawcvvbj+WqbV
OjWdTr90+PeXqyS57rrUxNc6efnipurSbrqampvfX+598uWL39zx/vHsFwWI19mvcC/BR0QIxXxO
0Pcf/PJFUVfx3WVFjhDDRHJE7p/5+rqE+35Vmu+yXH/9qm+MgVf6/n/37j354eLVyxdfalt1W93F
oMbfX55WX9Prly9SU69uL6zqrfCnr7+/7W/7Wv/Xfzt/gPd3/rJjGFdZj136h13+XX1N9PWLt/r6
6415QstgfiQ551j5yL/92bOM9I98wRnmPru9SvcN9OtiHTaRe79jpH+/fV5G0ra6BpgWT28nIo+4
T6nyOb5FECBlB0G+OMJIUinurSgcO/0nkj1gqn8O4Vrr3fOyljHX5b2ansDHiSPKGVgIsHQAST45
UuDhAGb0MJIek+YBq9ze5lri/bOyRJBCaHtCS/AjIX3FMacHow1cRr4QzHeizaNiHDbB3W2OCYLn
BYawhsj3VOEeggoVlFCfHISCZEeIE+ELQm6hwO8ffRv1H5HlsBW+3+TYIPz3s4JBaLNrfd3dK+MJ
XBI5Ej4RWLKDaZfEEFMkEhjC+/cfJ2j8gjwP2OL+RVx7nD0re5xc6+m6ekJcEP8I+wr7DCb8TvCW
EDkYIgwxdeuvHDv8ghyH7fDjRscOJ8/LN52k5f9RVkXxkU8oh6XJYYDII0IFwVQ8YJj/QLAHLPSP
EVxTPa8M+N11dm265Lp6QicmjrhiYCN8ZyOI2rvgoUewrvSR8PHBYPJLEh02zs6tjlXePS9Hdgbp
VQ5G+fqEVqFHgoNJfHWXzqo9qyh+xAXDlIi7DIDdP/o2xP+SRIetsnOrY5Wzk2cVXl5d6+q6u86f
MMBgdiQxYoQ9EPBhlQiZMeTFh9cgvyTRYavs3OpY5dXzSsL+6Doo0z15nYWI20iD75bvCO/jBQFe
BOXkHk5OneWXpTpsHed2x0J/PK8Y8+pGXxdPCRp0xJivpJTgpHYjizhiSBFwY+JHyeV2hXTrwx6X
47Ax7u9zrPDq/Fl5r4vrr8n0f1CQJPSIU4WhKHmXc+0DRaojopQvKL0L9w5Qfl2sw8Zx73eMdPG8
oHJxDZH/2iSdfkq8+EcM6viKQjHr+49joW0pUvmU3FWMfWd1/4syPWSenRdybfO8wv/FdZU2Vt/n
RU+w2ofgT5mAyst9EXjPnfmQKENVTHIsbxNl//7Rt+7sF+R5yCZ3L+LaA/omz6jD8uZrapInhAmB
kI4pYgxwcvuzZw7FjhhRUDBGdyhyYPK4OIetcX+fY4w3z2vJf3ETQxvlenpKe8CSBAr0mMq75Bfm
/06096FFKaVQUA/7Ya7daP9LEh02yc6tjlUunlnMT+daP2nPhB5RBB4J0f3l47ZZQgUiPjrcdrx4
XJAHTHF/o2uIv56Vr3p9HQM6nnQ9L46gEKygDnaXVznoAG8lICuTd0kZkvvB41cEOmyRv+90TPL6
eWHjra2y68/3WvnfR3OKoK4F/ROo3e/5KcmPoB3PwIn9XXjZ9VOPy3HYDvf3OVZ4GzwrYLxP8zx9
yqYutN0lQhSRgzmVUkdMSgLkiLvapFO5f1ycw8a4v88xxvtXz8oYV9dlWrx4ff3VPh0sMD5CWEAR
Re1HDFgXMiTBTNzxTL8mxGEz7N7rmOLqeSW3VzcQLuInbWZheQTBQHDgO+w7KP8IIX/L9bqL3XB5
10H9kigP2OPvt3DNET4vZOjt0u8pk1t6JBlH0Mxy4jaGvxMJDaw7B+WsMq4eF+QBU9zf6Briea0z
vhdGr5+4NwKhGzofCBiPd0uJfwAE3BSF1sndQsOxyS/KdNguezc7tvnjeYWPDzemexHcgNsq7j3I
/z6tgvKi4lwggQ6WF5U88iWBeC+chtUvCnPYKHs3O0b58P93gnW4gHPrz2+tsfeJ/5QXTIAzR2DN
fZ/M7nsvYJ9CNYth5PODFfg7wu7D0hw2x91te4L/H7N/H2YG/6BNr6EXuPnOt94hB//86vfXAya4
c+vPeFy3ujr9+vtL6SPgNqAdi22H2QvVO0SsvTtuoMcPA7AjAuRgtKUPCWgrCjDeAJiFK9vmMIW4
g4HUQiiQIl++qGrdJb+/BGqYwgz8Ioa0GeIShfq9qe33S+xIKUgnIN1mUKMUkOHdv+Dbupjiuvqh
jbvfX1S2fFunVWd+fwmZd3P7qe+isq1gSJBtHiIk1OGgSN18uX4HbHr4MP5/RA59xYth2GRxXAfj
kMzHUdaRFcZJHXhlNkKL/wfH/cDzwGkfeB48kHO2ZReCMnafV8TU5KJAw2ZmJgtmFn/r5yYLpsEb
wQP87EmEgpHcZ0F3RPqw8KAcWPOg3t1nWcEJpUkybAhG+SouOW9WbZzg04yQ5iKP4v7CzjQLC9JV
67jV/ldR1P1bU435aekzWwatl+MzNA2NF+TWsDzI/Vh/YEUmhyBVgr8WIsZnFhHzeRpmHq0MlpEI
slElcVDOxSiDgdY3XmRpIFSOr0qlu/6YyrTFrzqm0du0ICZemXSO1l0m2U0nknpj1JD1K2UK+82O
XnITizRa55Wk6zoq5rd+SwQNunaKw7a32Sq3XX+Zidl71UIVtT9pmc2rIE98EMXKKPqgFJrTgCTt
LIM0LmQcxGqSLPBiT4bNTHUdlEXmtSvrD/EYGKZJHVDZ629l5ukzacSpjGE+4N6SjSer82oSVxVP
82adZzQ6m2NvfpUSXr0dx+J8TEi3YRHqV3HafPTKJFspRC4zNldhxeX5NFodpD5JgrbR7Yr6nj6f
kiJZIWv7VYSECQrsF8naE6oK0pznG+yN+Zk3mY+pb7OgHFm+ntq0DoT0VDD28nVXZdlxYXzYKZE3
K4rHbsM9f9NH1RTmMbnEOg0M8d5Nbb+Gyr8JBB6TELoAbF2U/ilpcb/KGwqP1zoLEI6/VVnqB9xm
8I9kCiQa6hNTdP6qL2QV1IlBa8Hg4USUaN0rdDlYbAJba4AOhOqY5BdlFedrIuLPQwRTHZtCrVnl
hemALutcr9VWozlN/HXEkvcdzuIVGslXbqNznMvTts6KVYHLEDWjCtIhblbE0MuI5uOqLvHXTJTH
NEftqrRdSFH2DRKtfJNH+iOHX/pIvaY0+5b76XnZxWdxk+NV3kdt0Cft+1iL0OMmUFP/KonysKPe
eVLodNP4E8y7UZE5aKO2jc8zyga0zlhk3rQdf5169ceqz5rVQNkY0KF4hfzxRtgmW+ejFsd5CcbT
oxoDP/aroO8Gf2NpmgezqijYvM0Cy9RrMiXxaxqNn5PIfBhjIjacDAaUkacrEXlXEY3Pp0yi1UxZ
FNSeiVZE1uspj6pgFPGrOMrrUGjyMUc+vECkAhTB44oh/RxxFmaV1wWFoHLVyTpgTd2vSgSPFgPx
Tk3d9Wtt+LACw14m5eSvonqYAq8oTBCVANS8JfNV55k+iIy8GhC8aSXL874COzDUfPbjut5891V3
4ezOLd665S91M+k0Tu42If349V9XdQn/fd8c8/cft3uY/v7t4n7z008/Fd7U21aVcT+0lebHWCDM
nXTbcLb3yz+i6314ceLn7V6qBy7uBde9FOI+Sd3GH4whrv1w6v8IrHuJy4/P34ZVX0KBD0vKIYLu
h1WhgD7KgUGKoPMKCzoKMe0urFJ5hKB7AYEY2hcUOk6Qvt6FVXEEu0IYhc4fkUBl8IH1fv9qe/aD
POLu992wCuPshB6PYCYZ9Oa3Td3dkGOiMarz1BcnCV77/I3pHwmfD427/ftOmPZJ2gsD4WTTcfCU
wTxP04eEiPF2T9btlqz/QGywyu7wmfTyaRgruUl0q/W7QcwovorHuf62Y74D4+9nG3+rheyP75dz
rmweiY1PuJkvG1z6KEhoxnGAGCpJwGjbRcc/f9hDunJSGgO2z4a4EpvRUEUDhWisg3oSCpobP+bi
gZeBitlBG2/Tjh1bSL9FTeZPYmNxwy4wHlj5fkAZEueT6qox9OQsdFBObQNFgJ898IEXUk7O1CjU
9HL7wL7w5XhWJzayK2Zskt66oQfNvx3o72Twh3m2NcPdN1LpPKDOUr4ZciOHMzHRiKya3JDknOdJ
Ri6wzW2+ak1bTTJABcPtMaqSXp/8/AUfmB7CeX7p9wPPbCzDsjBt9E6WZWv/pO3so7POS3x5CVkv
Fac/fxjeTw//ftutXXfs18jS5NxMfGPjuG9XiqhQUvytyWk75EEbD30Z2El65/UQ43xjSV1DHuLF
ipTQi1li0K0ediQo4qnsCz6AvhXhK0i/vkk+pI8o86HZ4rigGtzCoKaOb6bJyI+onuoggizxzTLR
HUdUqCwVhmq+yWma3iDYqnteeWluV8uGdxxR7Q28aRPON0Un+z/x0LJgjGa5zM0pxw3pYsiahrR8
09XePG/Q6PV6LZq6lgvFd1wPGWOspiID11MzSMwnIUYWtC3gdr1IP8LxPYWmAk9jJkPtNUMYd5gV
QUxV/HXR8MoZnmSTV9Wm8cKqnqR4a4AK0v1Zdp33bdH40vFkRiGLhpGrcK5xuZli5ulgTHOjH9H/
do4fcGTScSR+nbPCkikKa0/N5fGgcdNvimHC6bpNE+YvfIzjQSirIwVrQhl2nSXdSSXqCm3mChfj
pkm7YVyGZOm4ibbu24iOpQobks9XuZ6SN5UU/tXPbfGQrhw/MeSjwgOkUCHxxnRTGC3pecymuv2Q
cwWLjJ8/ZesXDllk+/cdV5coWHko2ahQF2w69coZvfFjrItHFvsPDU/3h6+jdEKgHBFa2ZIxQNnI
Pom5bjbLpHcchu1lDa1+IcK+AAt0RVxumPVks1B6x13YlFZTMWUqZKbPwQaTGr3AoCmdFz7AwXPu
e7z1R9C+j8u2Om0wr4aNzuQ8vF2kILecI8lEDSzOReibJP1TKmPejmncTsvkFw7Q5KQp0MI4FCko
69KTbqajHyR5OaBlEBMOxMZ0akVHtAxzEzfs1JSkV0FmmX4sGm89z4H5LxyUTXEWo3IAE7fR1Oh1
FlMp35be3IuzuIvKfAPL36n6WJSK/mWreKgWZjnbQv0u8IoxjmQ9D+AKC1U0ZwksoiUsHHIfskbV
DRnrgqrL5n6VJqIpj/NxjiWUNKBc9b5HnbALFewAdIqEJ1XuRWEpPbum6SCh6lLQR+YH3iLlkHrJ
/lvyvhvTlrQ+VEBmXW9mHPVQ+YnmuThpfCqnN7Ep62+Nx4byhEERgr8eKSXVBZFKZR9VTjh/RJQH
PJFwsKyqjDf1kLKwkZGhKzH7N804Du0yP8qdyGmxFirLYhbGUA76xCH8vDbIK5f5Ob6dvTteuqVx
lXme9EMoBaNsZbEq58CmejKPTIMHYLBlH+w+wKTtxMmoVdhNQ0ROFdMafR4bDJBISILqoEptUwZk
Fk38pSlnQxbqzQE4HaoCrAz1LqGguBM0LTFlMFnmLXSx3AH4zOa8tULLjW053oipj9ezqL31Iv/K
HRSLyEdV1o5zaGzchXMloYqlm+wRJ/HAnOUOOIE/kngjrLPCjKTlikANch1NNVk4qRxswkKkVjit
55DAujFACf5QxeyxTO8h0R24YdFUbCziOYzl1F3YqUIQP9sEZwvnjRM5k8x2DdXTHHrRtj7cj/k6
ooqFi8zKHDTTpudNl8PoXUQYFFOhIG1KnC6TnTloVhWZVS/BrF5HklVObR+IHMr9y2R3oJwhTyOo
aM9hi9Pi2PhVvOo5m49/PvoWNgccOnPwWkU8mWfsDeHg8RtYCeb9Mevypgq7QYqFb+BAlvayr7I8
GkIKwH3nd3W2wazOl62QmQPZroJcZZjFENawW/cUTqqx62yqFrob5kAWd2URqTmzYWwK9iotSnnR
jMVC0R3EQiSN8hzTLoTmQ4RXmhOzksmYJ+ufG/cB0DIHtDyKTe7NUHlpqnQ8y7u4O7dRVCwElQNZ
qI96PbZZd6xtPJj3dECqeMO1EsmyebPlEO0GsRynfRv3ZISczc7QLuKfJn+qHpn4D+hm2wveHZxn
Xs6UivpNWyQ4oMaSoPV9u1B0B7S0yRiJMtWD5r1PmkACVvljtMys1MFs3sza84y4E52RlgS8F0tF
d9HKVWRVgvuNP0DRmGxHN8sVszXHTuaTo76JCgOjj5mfrKzKbSAEyRaq3UFrwriqgYwJozNy06as
OI7TeGGxiTpozeEMPZXGMLg/2zIspK9haSTGZbnBtomyq5ixozIqprzf8C4aghH3JMBN1C0LUd9b
9ztqL5OGVDVFdlP1cxUMSXpjsxkv0zpxcGpm3TV1MthNmScsEIx/8npDFg7u4BRFXNMp8bqNbFG1
NmN6bexsFg7uwLQ1/phBJmw3mfCTQGRpEVhN5MLRHZxKmnlx6vkgum/xhYH2yNtIxsWyFhVxcDpa
RioGI4czhhMcg7kCfsTa6zxlls0Z4kCVtKNf2ibuw4mVlQ482vCwGUj3ZVFwIg5WcRoRXY8lRNbI
FGd+ZvDa5Nm0WTY62YeT1VFD44nbsPPpXzgjl4bRy2VDu0g1U1ZOk9eFaeK9Bvf4aSJyYX1ty4Pa
9QJ+mpYSV7ILsyFRa5vwqzqP6mUGxQ5Oq9x42lfWhl7apSsg1ZxL0qJlk33Lvt6VHNrCQ2NG5W2q
YvyaTvgD4SUQPxe0b7CDUgVkDA/i9RTCsKYLZmISEUyGxstcL3Zw2sfcJjnTXQjEWPSRdeAHAmAI
4WWZBnaAatuCoCKqbVjWel7Xo/ycpE20UO0OSCOVtrJPtQ35pKdVWTYgev5Y53U7yIHFwZY8sGtT
vxIsbbyyC4FE518oE+OLwouaD8vM6kCUdKTTcP4rTMckSgJaDh+lShea1MHozGo/i5Lchpr3NMBq
/FS0alkN9nufcyeWsoGNQ0phbC8zV8xOF5yZi0UqQQ5C6yGK4o7G3QZFnrfysug8ndHC+oBLz8O4
aeTsEW8DxxC+KSf5SempWOZatvvwdmeKl0CermvQSZFUl3VcH0dlssyTIwedrBkmOkLRe1PP/Yke
yCvGl0VQ5ACzmXgn6gbWdqKMz1U9hpWOlnU+kQPLtOjGxFoQuin/mHu7yuSfy2aIA8nCz3Qz52BE
luSf9ehfqlks81PbQ493bWjbPh+nQXThZDJ8NU8dCTNLzXqZ4A4iaRWNW4pfFxoPuvukyk/8yP+4
bGwnauZFajgcQORteArZrYfENfPpssAGm4f21QITu20LBCE5ScUYcMO8te/LfhFw4LyX/dGV6WXH
eO9tWvFe12sF/eUlOmG+g8gkTlrWJlMXWgX8ioGaJsCtuFo2uIPJAcgj01RFZoOT5mQooN3e0qxb
NFOAKL2vEm0tyr0CBlcFf0tt8yVlk16oFQeXcATihFrlm40u6VsOY4+2Xzq2A008pJLSEUPZGKjT
51bF2VnLRrFQKw46E8P6AvJZmCh8FsGMsj8KkSxKsJjvYHP0LRtyH5A/0qnLVohFol4TyIDSRa6F
+Q5Am6FkEbAoujBmzbU39B+g+fDHoqnokrV6SpEWFPRibczXrc3TgMKJx4vyCCgIOXMx6SXUo0cQ
fBzf2hqdjX27EKHKQWhWSsRkQk2ocnpRAOFwA4dBkWUaVw5CbayBc2n7DujMxSXzilWmk0VJClMu
PrlXTTEtTUgIJ6uhxHqFWfZtmTkdgE7QUTCq7AwwAMSn2IxnqeTvlw3t4HPUXZQr4ulwwsUQFLVs
j6syW0ZdYC7XqeZD5ffArwmhhTSvq7l+LalZ1pdnygGobYjJEzzosAZ+ShEYq71XXo+md8s048Bz
8Ch4RWbBov301UAGNxr1edHQLgOpg8CTNKI2YS7id2PTnKKyXDYPXfIRUO5zkRVMh3PfJpt+iMna
K6ovy+R2wJnOQMHXY25CP2lWOZtel+qxtHOLk3+uqphLMxo8qAf3jdRhUvbcBlqK7KIVzRgMGbHT
apn8Dkh5Xo1VXnMdFin9q0jYB6/Jr5YN7UB0BBJiIWSkAf+9OemNxrBRhS1r1cGBEvseNyYJTzUl
IDjDH8reqwLmNX8uk9yNoWPb5BolJuQkZbAlitqJBZUqknxZkJYOTlkSx8qqAqbk6F2mJblK22Vr
cSYdjBYpb2HBDENHk3/ZofRNRMWiNhTsgttXeaGmqGz7SYc0KknoKdJd4nhIF5Fv4biW/dGJ7BHv
U5iJEZqnYNJtSNlCRhdzCUvlGHndaBIdVn2DAtTL43aIl1WHYdfDvuSdZtYyH1QO7vFVP5FXBR+X
YcilKcG2r8JmbaxDGcVVIOfpla/TZX0z5lKRfJglsLMp1yGG3XUUt+cadQvldtCpU+hOiMFrQyPU
hxTryyJvFy3imHDAGY2szOMm06EAzQQ+8MKDdirVMn/o0oU6mrVeVvst9G2SdqVJfmk9f1kK6pKE
EYJ1VsVRG8YpLbNggELFxiJPLFOMS0XKMh9oY9kEuPGncqWsEO+KFM3LLOpSkfqMiwjIcG04+9u9
dIa9hki6rHvOXBqS9SpV87GG6VL7DOXga6fcJIHy+3xRDQc6/PsYBf4s8uOxAt3HySBXFRTPwihi
7bI+AnPpRlNurdJl1ITKM3m76oem/GZ9OSxcNLqEI1wSxAbfa0KdTGZdxiILQEP8eFHAcwlHUo6j
Qj1qQlsIsoKdnnoF3xSz0D9yB7FdAdx4Q6smNEzGXYBnkl/n01jFwTLpnWg6plroYQTd1ElWB2lX
/jEWeFnM4244JfVQetKC3ivVnEwGmeOhqJOTRZK7fKOe9nRqiqEJs4jPH1AdxSdMqiZfphiXcETB
T3IygVn9KmrNsbSKsoBHtWgXPsDJfqEZl9dV04PmqRlOtVZ/JG2xrDbPXMqRzEsCJGDdhJJ179PY
XA55936Z3p2sN46mgRZF3Iay8v+q6gEHCRyEuVApbN/VtFAyV54tm5DqTP0loalwYvOyXzhlnMja
IW+cZsrrEJDqBwKoL4E3eXKzTDFkX3Y9edCjL2B03k824Lg5y6vHWEzfU9ADCxqXZtSmI9DrFKnD
XuRxFEC3OANnI9NxewiAH+cnZTMN721pilNqqCfCLklafgVb3GT7Fup/Rr/3ZSlOcuhL1idZXjER
yCKFYnw8tgoNcGxB1uo/hpZ4doWmtsqv6ySB7fMCEkuyxhxq7RvZ2NGuCwxVshVsPO7GU9t6KguJ
HBN2GtXZMK0wgmrCR9jmnk3HmGZGrqkcYcyhSLv5OG79xMBuOzLb45KQcV6bvqTVX6NkLHrbMeFl
nw3mbRuqmfh9qEd433XTzXyToZ6rVSUJzldikrE9iXEd++ewoR62aqF2Ju/hTL0h6InQp01q9Byi
2lfT8VAWPVv3msV808uBQQm7SHq2ioumrCGf9f1ppXRKZVDWqcavhirK/NOC4o6FM2h7WHGa96fz
7JWvddUjtmao7+cgi3Q0vy9wVstlWYjLfmmrFDZ3z34d+lBsCzjJzpM5XrZrhbnkFwSvxplq6nCq
m6hc12jIwrFF6cLsjzneHg4wsCK3FDax86SGkpUXkJj6y/yCS1ODLfMTZMFFEyaivIlY/j6S6UKl
q33Y9tBGGgsCcsMpBaHxi7OI42WVTeq4eN4DrQZD+SuEL8Mag8jz88AvcL1QJ05aplFMRQ4dxzAm
WRaMeftNZHpZxkodJ5/B3ty+kqgO7WSb17D9Kz2paVcu88PU8fKJSJGtiDBhrHN2ziD5hn0Ftvu0
yA9vj5nZ7bHpMu77vunrMFex/VOrdoZORKW6hWp35jmuUjx7FIwq4PSVcUNMZedAejxv14vkd6le
XdkOkZd0dQiNqm9Dw864Z5ZtuYBDRvd109hB9+0k6zBBPvDIOiPHAk4ryci3ZbI7M77n7UzhQJUm
LFp/VoGsWwo9dkXIMi4GI86kH5qqwGiMIUGA782Fk2CGbJOm6cIEweV7NXKIsjmGEA49Gr0CRplY
Nd6AwmXKcab9gGD3Mk+rGnaiFsWZoD3vAtFqsYzfz1y2l8ngcJaorsGTVVaeJRVFf8GadlpWCiZO
eiPHsp1LA/kqlLLG04hFNpSokwsnvbMOIbSwfrp18FlawtlBQxsHtivLZZh1KV9Y49GOsE4Ovami
NwmwzW/m0pbLmJ/MJX3BkUxw7kqWNyGcR9V7p7lf4RWKhoE/0jt8YHs/c4lfsB80ikShqnAuMNVX
TZ729SqSFWnWg6m9K9gR9trz/CJbQxaX+6vYh8XoceJxXi+zvssPg420AtkM8s9hahO1glO04ACK
MqmaYtky2iWICURnWLNsPVPU4ehVmcawI3xqpw4tq065FLEZWQ1bUkkVwveLwOk945ANLMhy1i/M
UbADb2HmUlcEHjBZArTl2X4A9v6XRa7DZYkVXTl1voXDphpdmdUY029zx5cK7iA7bmdsTC7LEHLb
44LkZ4SYZSWA73scd3hcpeeheIATRMKO9WaVewxaDcP8bplSnEjcwfFOMYaz3sLIarWxCYHzyXi6
MFS6PLFBwheHV2DRMNWj97nMBvpFexBuFsnuEsVMxqqaVXAUFqQrr2U/vyra+JGzXLbz7cBS0eWJ
xSP0GYWuq9CMJDnDhVYBfAn6sCyIuVSxIRep6nNahjRXdRxkSrVnibRVsgymLmGM+WNNRYXKUPIq
W7W+OskZnpbFAZcyppsqjiM/rUKfJcO50SVbyS7rL39u021yfEjxTuLpD/nUDxjiezGzFrJmZGJ/
UyAMR2sJWBhVi3Is6nJ34ECOKGo6XYSzlp9hoX5RyuTDz9/g8NSh26OkdlNn1iNoDcJ2LNghWEdZ
0Brb3wy0XXY2ABxjvz98CrlylURVEfqNiqC6Y9RpKbhdBCn4BuL90WuS2XHWIHwUJ7DGx6QJ4MyH
Ze6AuvwdX8xy4gaKHXjo8LSuUmj+rrKqyvpFi0U4A2BffNUPUQNpRBHiRExwkh5Cb2vYPLXIV0IB
en/0SaSwIh9abx3jeKzPMjhB8zWcGMntIunh6M/98dUkIiVoXIfI0q4JYBZlW3+P/Hq9ZGoy91DP
0ktN2/spOExO3tsOvYtxtGjiMORoHo4k6RTSIDuUfPk61dBfmi2uFvkc+OaGfc1U4CG9HKiqGyx1
9K6fvOZ9lfBlW+zgqLf90Yu0wtujOottYqAum5LysEu5WqR06hIcGyh5oajcAjaBUlndqkuPxelC
xThLOTt11WSntADaCpwrtoIdse2nufDr/pHxvxcr/umPqUssE4ySUQgL3kxYXr5pMa7sSZr3rT6G
hZglx3CWnjDrlhdjfe5NsCo4b2TWlp/ga4HZsRVkPpXMm3jgz3DYKRQdvTx/U1Z8JKuybad0NcdJ
NH+uoym1x1UDMXdl/4ezK9uWFNW2X+QYKgryqkbEjt1nt7N5cWRXNoCioAhff2ecp1Nxq27eEa/V
GG6ExWpmkw/7T6Ky7GHTg733fQdl1GZ1eAREKroyVn0WPnYJ+C3vxEVI4uPYF9rUKNiygH+7uKqL
gfx8HnQXhRr/temfSNpM202JJLkGxAHXOKcXQvKhbZLheeOCP6Z92t52wZJrSNwUiXxCd1Sc0j3+
TdP5HU/a11sCALmGxKHW9CqiTpxIAM5Wptk5ncyflC4ue+6ftsrVxbeukWqD2cVp1hDTOC8mSFdz
D9RD7VAhtGdY2svu621/ydU1mMzQLc62XJwiHdFDJpw8Bi3bT7c9/SoSd75ZUSMScdqmDHqzTfhs
h/RP6/TPKQ7MGv8ebpK47VexrOJE5dp/AKo6e4Es8P59H5LoD83Bf/uJq2gM1VPWpnoWB7MTQevO
zsvcl9uCZvu5d2C0/aGo/pdPfo2aAzyhXTcq20PbWyGOa74nQIdF8tCrUKQVEN23dZXINYiu7dA7
aRaJRRvTCEA3+hmB6Macil113CIIjqARMIpTgnGcJe5oSfL+/95J//IlrkF0jADLGcDBrUU7M3vm
0uTHqeCY+9N2k/FN6ALCLr/+XyVijmfTvmcRZDqg7Qeue/uFz+w2aiu5+Lz+99ON53Pf+2U4MZbb
IzDXRdl0yW3FCuzl/v70rUcrkqxJd+qzIjvqzau64P1NdRxhVwc5pjqRksmmTrb+Pm5ImU30xjW/
OsaexBKawXh0CNmh4fNR9elN9SG5xtB5KJX1hgtoe/fpA8uh301v6+KRawwdYIUXIVzIhuvBzfeD
MRaKz+TD/73ZLxviH26Aawhdk7Nu8yTCZk9ac9B6yUrPZXa87elXpzTmYmnyOOpPrDf6AajXz3Pr
bxOHJdcYupayNtrStT9Jn8rjyu14F8/yNigquYbRRX7H3FAt/akfhrnWXfEYscUcbluXq+O5D/G8
GjLx2qqs349p6j7pRYjbmoqwHPj7+ewmbmeZjbwet/lZyOk0LNNtl/g1lM53+96qFomUtGtfjusI
ZW+Z/yHy/ttmvDqfG9D5AQw/HCKzTSVQY5WmUBS+bc2vLtgAkR6zWd2DtaR8NbZ6mstmGfltgDQI
Uv990bny4FyInINoNYW0LGSzPEy76G/jQZJrNN1Kx2ZkM+G1cgFjz3dAAfxhZf7Tqv2HIHCNpcto
SCBO1XanxEdke4h7lYNg1EJsE/rtGB/0OQ+kZPOm8gNFd81VsxX5BglLTf1xXnk8H4JO2vS7Ynm6
nZqC9OymDjzJru5JyS0JyIrNoWf7cswbC5nfSNw2VyPXCj/EpSRIYc2BONUBZWE/glL5J/uKf9nO
1wI/q5shk8O8OXiWhFLEYqmYuDE+XTwT//uGz8VKIzJv5hAUJBqc9X/FS3cbfwjmJH9/eBS0mhtJ
1kMLxHzNXQdHhxT0rZtO4jVkIgD63PQbginT6Q+jyAfVpbdRKsk1YqJTqNgnna2HPl7ictdpc2ga
QGduevNrSOgezQlEYOylnbTY9tyTuFgPnRFmrG/7gavdPva9hSlpx+p96ShuSz+sY9XlNCE/b/uB
q5tnsWINW6PXwzp1+qCKzNWaZzeNPcg1JhT1Q040UeshuYjQuXyGbEDGbgL7w0Tp73tSsy0zjcXD
txXa3tJkcznBceUPMfBfzmp+teOzboU0wzquh3RI4DoikqFEx/bHbYt+dfVMAq4tMWnsYUs7VRZR
BDbhnsW3JVnXiFD4v4g4i4g9TIB5lfAjaZ8lI/btpne/BoRmTmuS0NkeIo4RXCZCe+h9ftvCZFf5
Yb+4ZAIqwB6gaJq+jmoXP2gc2G05+TUaNOSdm+2KEDmOVFZQNoc8Udb8SYLnciT/4dK8VvmSCcxF
xESKI21kvr12q+rV0dNULsds0bgFb1r/azBVs5EmSwYENLiKRfWW5m017uttYCpyrfelu4ZZS/H0
th37ugCSquKT/3Xbq18FMzHgCwDPuBz0rn3Vq3mojWpuizXXYCqus9jCBmo5bGLdjqor0hIKw+G2
YHMNpvIK5UZY3HKwXZDHxIhPIRnyGz/pVSQLncrChF7PQRcdq5TchwqQ1Ntg/5jq/z1Ojswzy4pG
HyIVLdUQ9FgS7W9TbgID+u9Pb7JMLslA9aG3c1eFXMmqgLT8bdffNQZsTTxazktbHIdhDB8D/JLe
hnj8k9b7v8T4axRYQ5xLVoCVD/mSgI9yifE6Tf7UI/y3p1/FMjjcoF3tOT9mEVrnW/RzkuPHmw7S
NfpLJGnSwNKCHaHz1chyCwD42W43X257/NU5TeREphAv/JhrNQLDOuy0e6SJHIvbzuq13Jc2xYrE
SfMjN0k58PRexjdeftfgLwhxzdaneLTKkApf8BDjbYBEco38goFC33Rs5sdwkT4SLsmqrCvcbQlH
enVMh1h2Nvgpq6HCdTcu+jWmt6kJwpf172c0zgEqIkplNQX8AQ5aj9nYv7tpq/wvyBdkhLqFjFmd
0lUlp0xL8K47p9ZPtz3/aq436mQe5DqxYzbB1Q3ofJPdX6h6f9ITvBzGf7i0r/FcfSR0VriGHpWO
zJ1ttk09Gxa37QE8VdacWxVc92RD8/8orv9THfzTj15a8f/V6mU+beC0NktUCrsb9yqRsArUByFw
6uSxa3Yhy3lScJApRzLjbt8Hv4zsPElNO3VEYT0IVcogNn/uGh813wlxgN2NMSCtoiSDDw4mhvGi
50dBk0I/baZxCT3vUcZmUS5BtlFfxoT3pC0XyzSKooni05U5n6f2u146tSZlJlivziQIyD3XHgU9
a+HNt7mlEp4M+wdIyLmtL3MB1x3IfPt+N2OZ8DWiWck9tNvFXaIFhTa9Qs/SqhK8ArniBQ2bxk86
VcgdBzYUfymt8I+Xdc62mgLuS8oVKySqbXNpfwp+3emCepmY8fuEpi1by31J4sSVeUHb7uvYZ4L/
VO0K7x0QOcO0qBJqX4P/cgHp3emgPHzeIBplKud6k4iagTjZHAJGNjA9TJvdVE2BnQYLQOp8rup0
C3n8kBQb5cc+X4MCL2ye/B1k/MeKUb3RpyFe+6KOe+JI1TE6IwsrVFEXCgK45T63dB6B3xymrq0t
R4nFKnRIdhhx2mUeF1YWKWXgjWz9qckY0kbEEqrWe3ytqevLpUBmV/Ikkqpe1Zh+m62itfNhZz/X
Pnhy1MuUi+ewpAV96+aUsWdiG0IeQ9MVa1vLAI5KduTwLoQiQqBslU9gaBT4XrrvNV6ujQNv12MM
VWNkYyqegrjzlOzux1yofmqraUMz+MzAQOIfk53txldyzOAk1hbRRQZSrnJ0EVgsAaAtKOiwdVsP
Ht9yms4wjOQhPVMxFl0pqOBHKrqxmuju1IIC1sOD75JZbuYhXo04uAUx6plO7Tp83Pe0HQtshyld
jwPJDVwR2y5LoRLbeVmjx9EVXwtLxumB7wFNoC6P130pnbZo5pe8yFmKDMpaQkjFc3glvktEAQtD
CKyI/WFMXYKudmyhrRYwZrZbC+5W7A21QHJSiKzFcv2RygicmWVjmf7AcpUUNQwN8+EH+iCFxKFR
2bTVZsgn8yzWuKUfAc+a1XHwDDQhPsVTfh/yKBWPSedE+NWPclrBmFmiKXuecWi7w6g7n561Sob5
cxcp+GgivImW5iVTGdfPsbUi+ZEN8ED0ZdNy1Z6c27b8Pl76bPoyOOrzCpr3MdjorSMJh7RzTuXP
xrpWtLA6FMWPnNBZfwa7PHQVpku4u0CVmPwTUH2mwP88RdnPaVi2cFap9v6jCPC6rXSHk/RzyLDN
71qRhmfL4/YYp3MxvBTLyughLnrdvZ9Ft4dXB45EGmESDd2Aor4oEdOzcXYc/xKY3HQPA52JP03w
vGxOc8qT5WGd4UBdDRn8c78WNM34r8SJ5hkU8ugeY6TwE+wQVQ4ub+sWAkFRvfehcPcwedjCHcSD
yBfJ+4zXWoLp+I7BYHR8TtqmT85u6ld/iOZu2O+4X2J6YnQX8eeYNqJ5380cVpva2wiaiEPMDXgo
cLXc7rdg8uXJxMHGZ6Kplp/grNFML2vOWXeMOzGx2u7Dhtjp8mLpjsBPJ8vTzDf6U0ITYKwadGnc
S7fHC0JJN+3uQPPJLm0dY1q1PYgBAsfHpoWbZrlHbGs/doXh2VlprWlpm2ihP7qOw32zHY2wQ1mM
SRPDHCgj+9lIZWxtXRpHtTVjmpSjDE5/JZbjDeo8bhPIGe54iz5qzQKL2siMh/EiyVNC0C6I59mB
mHbI9eK+pbC8pXA8a+HDXMEKgj4hXWp/NzjCrBpkl6qKKpdPn/0Mf0YIHCkFybOSiBD6s7NgyX70
8KdbmrKbLdsR74N201QOFte0K9Hx3sxPt24kf4NHxoILQUCthr+XeMrlQ2q7LgeYOGLSeRhdqvIS
3M8xP0mecHHYtpZIX7aJLcKD202LDuYO6yd+FzceOSKYbF0Hn08/RWVY+j76QHOxpHWX0TWqTbwl
vGY+hOFtiWH/e7fZ4PhpVVPU1LNLG/9I4Dz3Gidm6D+gi5x6UfYS3q9HqMa39p4LVDDPHl2I4piJ
HvedbZp8Bs476/ZH1caDqKawJLbK9MJgRUoX0/QO7Llgkvc2FgpkjDGz9rXfY5beTRgZD88TlO56
2LP6DA430BUvZ7fw5JwQbuxLbuZo/J72eyEfqSQGe2zslOx+EVkE7AQFyTZzmNqi3474y/bhkCuR
mU9UbF1zb9p+IGeQaKl8WpcUplgHhCNJa3gZkeZ3gFQyNM1NN+R3ZurbFthmkJiwR2BRPdx3g/X6
Tg+KADOcAkMcH4yG6yHcXf2YfsBvFm9b0tn9m4RoPDjpcPadsmqG/GJbRYhPTbU3ev8wpNSSu4Jr
cF3ycQRYVW1LEVVerxYub8vkdhBINpZUGCgU3SteN89fdufb/i4a0wyTo74R0fpRqTCN94DudgFZ
0Rj2n7g1zCigkRrHybvLpIbEFelmFp5CzDMFS1oVfHMuBnx6CM1SOII9OgTk+QXuF2Y5x7bj9m63
lOeXm3vvoAnQYhmNKS3HKY+hV9eGta3m3nn/jvBd8hJOYwU9skwhvsG61g3LS2yTYv4eFqOzoZR2
2/Ozz0i8P2fY/d2XwezwiMEfSabmRaA17t4XAot4H9Jh2euRrLm9w/0f6RaLm6rt4AJjrkXyZKeA
j7m023FzIlKfWOKtet2wZtv9PACB9zJsfddX2dBN5suuWZp/VSnzhYI9MoSqNVaKyPbXCM3U+BWq
9Rn/PkF5RXyb5SxS1FcQRCSVGtKB3SlmjUf+1sUFnco5Wj2uQrnj+kC2B8lYGuUbqw1EGiYP2CiL
fkBV3mdVjEt9OId1Fh/Ziv19ELGTtOr3gPmLYmP2OU+Bi6iIL5qhQi2aMZgUTmw9pZLldCvJHqv5
WXdzB8pxAvnOo+aDnJ6I0i6SJQUD6/swzXY/5kmfbS/JGC/Q38WclX/MitF1x03CKed1TjvypTBw
ealN1qAVUPSRpc9+1A07xsvg0hfMn8j4XgpmwkMyjPOEgJnhbAAWD6BacRIQUV2eGiW53qsiy9pX
D+RLVO20V9t7E9wMQjR4r6mrIGPYiIrxpNcvwqDHVHaqlfOBePBq5REUteRQNGQc6yVuUnyJvpPJ
U7bqi5MrNZfkpwDat2srXmx5Wqt1jpO1FGH3n4dCQjWpDArEv48a5Dby1ho6PS7jioyr6tohqpIB
qnC+QnTfSuYosZ/TFbIHdy11Gvc922Ok6QQEXm1LT7LInnu8QvxunUbLqjSncy18t44nseOof83j
xW3HlAmZwJlkgeRZkvWkqIkEErM0JAlHjsvI2XLJm8E8r4BO8bFSVDH5KEzjXwp/MUANSyAPpihE
fCjgYANLaIWUo14CzNrfnNyi9izomNuPq2yS7f24rEmFtvScfvOycXDidl12h3QNRpYCLJoJUzdY
Sw/dXWc1hDUy8Kpx2ZIqBMt1OcEMidZ2idO7FvnAZ6cYeWghpaRKyofZVF0CK25otuq0nKZsoPeF
a/2vDOyf4SnF0VGnMJjAn+YoXV5jB4lXlEDEPrb04obdopBfXrdIA0lud1ZR0Mif0EIHWRt+ogRq
5GDyPvmlSD9NLmoPIh2oKJXa7cMmJH9pHRT0a4FtXOX76qq0a/q7LMv440pbf98mu/zm2234wIlc
qj6m72S+qE/5wEdetrE2gJ2sUoi53OOeO1O2yHb90cPezd/RLW3fYGiu7+3gC15jO9NKhTXsx3EZ
8nsP+GL2yUUF+9BKB9RCDcN7Ft01im1Olg12bgGavO/iX71tvP2U55T6cuvVXgDKmWzO1/1FD+As
/R4gm1Isiddw1p1nk6KO6ck01C3dkuh+SzIQmkGfdvH90iUNfzbRbuxxA88/fgtUprTiPtvsw5rp
vP2GzFXNh9ymUXqne91nj8O+SfivtuMmS5fopXgjq9Txy0xWog+QafAjJAkM7c5TtHH5NergJTxU
ue/zvo7N0NlyzXukotyurK8WiRzFlQ2JCJGlz/3a/9yLnMyP2z5t4QdMqRzSoc4WOXa3xNnKdTmA
MDQcoKLTpKelkP3wbk9Q+x+mMSPqaBniTo2KpoVL+wV+d5iZSskLSDVD/gD8LEnqhO85PyegTe1/
9eAHqJfV2ELHleft1t2b2ZCYlhAUKTCRCkMq/TuUxixFFQzIZngwRhrEhW5kLnnSCkfyg0Cx6r6K
XPBzNmEqQYxy7GtiiIi+Kcy0UCbvUw6XQjShuwq7A8lS2awbortZ1r3eVLsUnyk4/fatcIjtX4yZ
eTrUOZsj3FfNmEfbB+rCsLdllKaMlNY2i6p4Q2T6bEKx+78y0P3lr6UHm+1QDLD6e+9lt3MIDuTT
8gqP51zsh3GDuuuJ91E6vVKcMkTEmCxzgfDU7QzNwm4Eff9uIHHn7ojoRKzqLCxIAeDaTmkLGfgJ
9QcyvmGu/KYvuQhsXKx7N9hlad2Ji1Ysb9JE03achsjyszF8zfHFAndLPady374JnoOLRDvBzTfr
xLwddRurqOJiTR76uW1oNWP2aOE0P2QtPgnrQQY06LJXi95mJKUzhZzM2xqgkgshgLl5nNp0Prlm
L97PJPUW2UEegn7xUspygZ9mCVJYuxL4ixXDdPSuyH3VwoJ0PQdiUKB1fGWlsW6KdGlX68w7ljjW
/bXB2qQ4BBHHXU3d5V4tWwOPibsGafZjD2ku7DqSKHLfDPA0fdCtnz7zAotQE2uzRJZxjynzm5Fh
iJCl+jg67QH7+oQ8IGH3FlfA8N050p9QAiT86wSJc9ZVOW/j/r3e8q6DJHSiaL+W2GQ5qQpEVY9q
LgJxLrAu6Z+LwcWhWnDgP4kkVwfZ9HTEUWvW+ylGB+MJ/QqSvxbjTsW92xb+A52YL0g9bEphqUIB
AZ/gEZO+H9O2+QY9i6GvW4Wg2A+LeLI2RmYWIDDizpIVXaWDh+EIEPTxXc8WIp9mS4x8WprVPKxa
T8N3eDbb39EsjKn3NcJnzHb2JtbsMtwRBe72PXNvFLmErdswI1cHrsnupXRMHUFW5rQctGuRGwC2
sMHsrtjRr0UkNOjv2OHZAdAPi8Ti0ukB8Xt5E0jGyjQHAv2MVjo3j2Qu5uiVMID4AApiY7udN9q2
VuKjrD42YHQ3Q3/YY1IM7DAUtH/XzvCGPyQgCsx/7Vsqtirq0Ln6BrkDOMgueWGyw9ilPsXW7NMP
S4965OTHwZTpgACqy21d4GLXpmv3s8iVSd+IW7ut8sokqHZYJre9HLZCRl/7Pml+FJfU5K7YwTL/
5Kn+bYW0GdJdPidIZlUm1jsOT5Ci4nRRv6ccR7YsYNlRwRYkzg6SZ8V/mn+CBCyCLw7Qt2wylDIw
VT/uKXPsi24jDv5xzxt0BiOuoIxkNKQ4aiQlyt3ndJp+SrmTBHEu64bxDUptfKjSpXPkbrCZ/4XS
uQ0Pi0yb36qTgeew5PZb+qg6l82foiam+e8Elhn5L5SWHTojQ5s/8mkRiB1x56u0TWb3uvCGaVCN
MFvKWtrGr31EKbrZSD3ih9xBUPTIt4Wm9W5DTA4b3cxWSrXuH6CJnGSf9cK3d1GUmc9Fw5JPGLfb
cJoa8C3uogmF8S7Vvh1oVkDQNwyb/ow1Fw9jIgBrowM8saFxkk3nqeN8rnI9KlfqqBFfwNTdyzkH
T0brzNGHZdfRK6Nuf6I8dMVxaiAxcpC5308zbCVOiZbxOYOPMWLeSMxbx9vcv+h2Ant426D3U+bz
2tgPboXE6zdocKA4M95l3Re0hgkr6eaxDqkbBoQFThIyIeNg4B8Xsf3U7RRJIkEroW2RZQx5BHlY
FqJ6AQw+P+RFi76Jg+M5fErYEvpTqmP9Bvn1QbxPiwkk8B0ODO97vEhJ+i3Ra4Ww7a0rF/TGyIsW
HcsqovE6n6apcdNxmJuhq9KMaffjgnU9T6NU6mFnLEj8hojMe5FkTr6QljkkbL4nx6LQ0XQHCCVz
79CKHg8IE+N4XPJ8MHXabTIBXA7OrYfJxQgi0IG5x7dAO6LR+aRRbjuAljfv7XsTdcNWjfmayPso
2lQ4QX4s/Ipy2CaVEtaQD22YdhyfpsByCBcfBM/Wap6tuydTgoSz68cHr7v8PdDLMxgC0HdEnwNC
DSRjzZcoAE5+LMCQ8Z/QZ9o3XEQmTn7ZYmlTBg8cEdAeMHLV43nEhKL/1oXZqApfCoT3QnTIzBEx
5aaqbm409MshXsSfIJFWsIo7qtfzPmUzDOrhmw3v0majRV9GOWQPj46TyyGMhq1t4a44o2JC8BH1
EAx3ZwtSBi/TabcSxxjzrt8r7s7mrBcbt/UGRe0YSEyVZsnblCFDqzfHl65i2UbB9bHUi7eeQuml
jqE333+RaGhkpRrXrvsU7wHRo40imtxTlqi8UjyVaT2hG7ZV07ihtVWCl7e39QAeV/yS6Xkp3sEQ
pN9KDxVofVh9k0+lT0OGDIbrxP6MFrgqlDmoHvwdvGw2duq8duwnxR/lPhskqPQxN4lkVSaZSF9l
62KIJmsUBV1vlHrvQeAXx3QwsfJlDrL9hgZmN4YWhbpFywGbekdSCF/zZoYZNTfNUzfFfTgnWbyP
T1yjT1tSTRz00nW3/I5z0nfPaWhGQEGaWIx3a7FF6SsoaoziTC0kOMx/Rq+P8G90yxHgIq0qTFXy
9cfolIlgkBhscY4k2ilfYqkuX4ii8KmThesBvD8UYOp5Rf9QVOBXWLOW0BxK0oeYpjmKy9xG410P
nMX2w6Wem7qhtLEnh3jt6iXXWhwkIcVcp3CksaKcF+W7I6pByR+aDPJrAF/Kiz0Y3NKmeuh6vt83
NmZFBZ5Iy/MaSgwxDlTfKMyzMQqd2nu67SQgZ7E6u0OTYMK0fkZuV6IPm4gS3Lww1DO2gTxm+5rM
v1mfCxmhdkgyS+BEDxGTv7RQEnwugQmZxWWqkCdmVSQXfqKpTv1+FklBijdoRiv76FDa7xp/eJ8N
GXKQnUwvOevl/jnCX8OjskssmdbjRc0aBelWhC17Xi8V9EMTTWJH8gW8LASmfNO2L14lBsXKshKK
A54J9KxYhVlLjmo1NoqPP3uP6hpwKs9U/HuxWzQjGWA5CqbJgm67wa1mWu4Nn9biJUfwaJEqFkP4
JTpMI74Ng5vEMWuzMXJYXU1GmCXTpX+XId3HWU45y/KjRmo0/+50lruitAmHWrNj2Vp8TNCf62H/
gv6//cGXbBVvOlqn6HVqMfB5t10KVSgW+EKmFdtm6BqDNqcXee4U5l7YJJkmx4Wh8KEH+Ciu8wNI
qW3uqoAZ0oRKt19Yz+o4p7Z4cBqTpEdk1wV9RFqUmQ+jHMRyz1ripnO0wsz8G4njJq7oJWc7rpOK
1lKy1EWPUwyBp3fRatYeMQ4y9BVHZjwe/KqK5bk3FkQXlcds+xgkUGRVERsMeXoiR0jMLG1kfxbU
6OYjcQbBf4S/wbCF+yjAXxspK3QN5dnplnjkU/CgrhK22/XOTyMndwu67O4kBQ3xG7qKeX7fC0wC
Kx0rAAAOoG7GS1Fjbwb0ti4dteg4L2m6VoSqISpx5p6oNj7DrDGHPMYxTgCtno99lGDeQ0eMeHwp
YbFWlH7edV4vHcuzO7uvPNzpbI/iEZJuqVs5enotvNKmlSfDY54sxrzlBqrqv1mbreoRiW3PjjLv
Vv7BOYxmatkWQwt2IsCpr/04SvrQtHIUH1yBhXnwaSHMfbzCUudpw7umsBz3IX8dVqba+31YuPiE
Qq9vtipekS3P9TAVCm3rDBptfVytOMw6qqD9Qb2uMQdkBT8KQIMvEsbsKxQMY5NUnEMAUx0URkFm
PSMBW7Cwlg16ecU9PaLxDDAORmnI3bj/QLDsIFfxvBPhE6YnzX7ccJKPPAT2iCKaRg9p1HAkdjSG
el16GeMV6SkeKNUnMbA5fwxyAsk1Sf1kv7p+5RCtECukQ4621bvvysTRnGHGmQJ0Fc+m2CqKxob5
pjZI1r9OkF0w6fEi9Zqgp7HncF8vlsC3oeLKOVF7tVwc5ayhz/nSZOM5A7nc3c2jXkndbl6Pj6mB
Tg1apDHmrZNf2Hrs0cRPysgkSXTEjNL2tSxajrJTz0YjQyKqJ993Bpv3hya0w/4ekgyZRe+9a5bw
i4w5aX9oMcXyHBNQHc8xur7zEwjai/0oIUmN3GbMs/0xySLj//JzPuhH79vIoMG3p0UVONKREv3l
FbOV3hiA/WabPa2xMq6yHsah5wWvMNRrSFNRARtPMTPPsguicSuOHGDSZ7nBGfhT7ERrnhYbkvGe
wfYuXL42a8B14PZ/ODvT5riNJWv/FYc/D+4AhaWAibk34sXS3SSbFClRMq0vCFIise87fv37oO2Z
MVs2OeO4S8im2EADVVmZJ885uTC6vZNG+gTMp+h+atpK3WHWSj3jdSWrvQjIrDMOSALpVuZPbT19
cJR21L1FUbSWzWI3LXKJ2tyeoFMDV5FJtKbzoZNjrqDsTmTyfdjOx+9yQKmOvYEZXTSVs2iuSrzL
P+ltK3r2XmQWTe/WdofQH4iJQVEyVhPV14WpQK/Roya8EbHspx1hFC/EMS+T8blP53o+VqsszF/a
ebAMipcmHS6XRa7zL7Ys6vHD5uGoH7piCN0Cs5vGJRuNNrC8nkfOXBqYt/ayOPKyi1Ea3NAoKfBg
IDdegbaaDNTKZHClYfaPCFcb20VYJKZgtuoM1K5t4o/QJDQyopGhzB9TmI2ci8zYwLvRGe3Q+SJr
1YHcW6r0s8Z9GbZN1bsJej/DrWx4BLpH77sdngGSIsBbABu1fwStWBPFtXrS19Q1ibI9GGJeofZw
Mamn7tzNyEMZDlTOhhX/isJ6GVp3mBhi0+yLsTeT1Jsa/MPJQ1VrNjW/1WOoHP6/dW2PPa9i2ns6
VXrvqTCCOlex+yb0MErWP+v8tnI1TnFUXzjxhv1GlN9zvcVMI/xQia4NQAvWAV6rEioX/xYOszov
nZEfMOqeZ1+10mpw1yU2P9CwKgffChF//z0G07mzkLUYZVGVXR6ozkNq3Fvj3+MznxsKmbk+0q7h
c/Xkow1okZh/U0JzbidUYXjohImUO45JFRDJGdXrjmjdvaPh/QvDKloGr5k+QGGih5FGZ0Jh/zVx
lfRXxaRU2Ah2bQ3gJMaUsQDSacTt3AHdUmCliupVysx7eptCtbGK/oxtdEYsi2jRzInSyl3FNNPc
T9ARXEMebDzyNdqP9OLsi7ev9FdkqjOeWdt0LDU4xTsMARr5qV+qcPDriDzXnziZcCfFkSQnK52X
8p0n/Bcky3N3ohR+GKeJMHeWzUyOHtuZoAFrfucL/dWnn7HPaib6dTJ2TJgjxVPWal8muw7/nnRE
PaOHkqY3RR2F5m5h7Icbt8tFMuT63/zwM4ZZr2l9WQ2WuQODDmikJm6ogTy+/Zr/6qmc0UPDeUx6
00msXaQqHWf6GLpazOn/9z59u+ofyHEiq3XYQTwXsRZ48/YOUybX6tPbH/4XK1TVX3+41WrFVM8p
yyWWjvjegSlNnmotgrlCtihqtx5gYx/QlZj13xrPp587wsR2NElshMwd41DNX4ym7W5SDXj17S90
Cq5/srvP/WBkuujAQpGxK2wnBoF2ymWiucJ/nhett74YZN78m9LQSmuf1Ol9uib3GivNPIRdMsTU
KlEcMJ3x+zzqjG52e0lK9tvd/fu3+T+i5+r2t/vo/vWf/PO3qqbYj+L+7B//dV8V/Pc/t9/577/z
+jf+tX+ubh6L5+78L736HT739+v6j/3jq38IyMv75W54bpePz92Q96fP5w63v/m//eFPz6dPuV/q
53/+/Pi9SEqfoqdNvvU///6ji+///JmWr6ZtAr7/Hiq7XeP3v7B9iX/+/P/K74/FY/nTY/n9p5vk
W/X02P4EV4d/7P70k54fu/6fPzv6PxySBgcFl6pLDQ7Dzz9Nz6efiH8I1dItaThQA025mU6UTEON
//mzpv+Df4N7rkVfUapw1H/+qauG7UfWP6hx6PbbUjOFyt/Qfv6vp/Lqvf3Pe/ypHIrbKin7jg9+
vXGkbamaVLkzjTtTYVeeHSa0lWijJTMDhaYCWNQsnsrazgJdys4lxa531Zq/9FZSkylnT5UGv9up
FM1rRtVdkgpip12CdsyTSRM4+TLCAPT+8JB/v+VXt7idMv+zE063aGMbhXmI5ImY5w5V+ojCXMuY
d2IX4exS4oqA44jOTewcx6Z5hFJ1Y3WD30WIxTKreW8g/Nlh/183YOC8xaOSzrl6VmRabU+AvBhw
cQP6Oo8eRDgdVDUM4qYW3hCGoYs+/XKIm8FNtXdFa1sEPn8Elr1Zv5qqBZPjTHrcGYlo8yIHDGN4
IixSec9455ukKd9Tw2wf9OOFGLOOlNlxxLkYyVrDrofm0WDlOlaHPoJIJfv6oWoKuP0LbR/8sCqv
2SD0cZocT4ZqeVRmcWeWWnkEmlUCurfhIwDdFLSzUD+itBu9bV/s6fG1F0NZLXgDGlmgUMG7WQav
xLSoWlvYbehFo3UXDuK2USCKxSEPcmmsX7uwu4CIZ/tG0oSXUanYND3rZd+ZK4388PNKNgKRY72v
NNsE7Zrmm7nLXjSockE35k/lqeTHE361necxLj7qq/zl7VW6ZQ6vHxxbglaKqlmGavww2E6upZpH
SYNVqh7aAQnRr/A8gb7b3guFgOwTRw4o1Oi8k0OfZASvL2yYaJWkLXVxCiPc2B+O16J2ZN05+LfZ
XZwHdp+nFxKe2UGA3/mRTsctkStQbyvMq2JhQ5cdrERpl7zQHLZ0Hke7Ae6iR2uZJa2JzKc7Y2OK
NS17WGK9ZzvCoJaF1xW8/cxOAouze4etLiHwqvTw5HmypwJB0AHBGs7RROk3oMJXUZyhzhzhF9I0
CTLZ03lAFHpTz/bFqEMIzaLLAUTYDQvr4rcAZMy7yjxacMFceEQUxwpfWkIlcKHfJR4g6be37/vH
d20ApwvLFAQkk3Gwrx95LxLghZHbZhwb7iWMp3RtnDB+e9CtVTteM/SOpxi5eG9//rDKuLIhHIs+
mqZCVn195UEUIWgXFokhhak3Do7tOkn/fxuzu8U7w9KF5iBa3Wbdns8kKqEf6UqT58D6stzLtsku
2zB+euchnlTg52+f2bICeoJGW/5cC1YVrZSgtvm+EvlLyFC4jTXmlG5EK432KJvcUSbOlhF2Wqmt
2WVh5i9aZKx39Qppkv4G587iMEBydLyCQjqglakecgqxHfxc4bXgB55e2veKpdAgt+SNmJcWs6XB
9rN5SN1Ry52dQhshSHJGZTNvaK/OxDdTwwoNcjUskoS/xkwd7ahKbi0dcpXtwe/T6AGVXJXZFSt/
auZZOaQRaoBaJJBPmV4Eg6A2dkJ0X+bepilcT/A2egjna/JkpvpdUa/hZVinsBP19KUVQ3XohtgB
rCkPyuyAIjJre5dXyUsbhfREKmJuo0swuxHTfVtjfZdRJ7yxzp+skTUI1/xzs9YrxDrnPmZxwOjM
uG/9rkwc5TDFowh00T9oJbt92qL3smTdL/VsdszJA6id51Jg48TFGBVtPGrqQliGXObnU/LURTO8
sqYRXmTljZcI82vZAtNGQyE+Qm4keUhWDuLVUgKZpy9UEJ07Rr3tFwxBdaO+/4g11bOVcXoyaOUY
wX2nRUDgngaaaRkHiJ9S2npFqzxIWFS+EbaO58TQ2UxbD73B6OIdsQzum5k86Qavg1ZA4ikdJ3C+
0NIojOJo5vWnVHPu6dwVbMO297PQjvckPzoHC9Mxcp1XU3btR4vx6G5RDx9IMPZQAp5aFXppN8CA
UWTeBc6m7SgWgmXbpJZnYzzdNPlLCf6Ju/l41fTj1VpkLznzYvYzlbIfYfLqdhMU6Em/RoyI2VY5
2r5Q5Q3+5QgS6eSAVBuZL2hs+GHNOq+2I3OpyK9QK9YwaLIXJVJYsbxZhoG8mMjqvExtzC/jRiMv
o20ANjRZfw6jlwoEGXIx0RrY0/aVuDrOsktdeDRQZ9fiSa+K/AOgOH2DUbE/ddjorGn8ZOlqdYgX
tb2yQnmv9jnfkfT0aKUDudX2YsgMbjqrhRaqcXic1u4ysWzU2oGiFObgh3HyZIfkjGak3+l27uz7
JX+iZcsQKla41rM1Tgu33UjPYTnv5ExXAuLKHnj9vnZIZOJGzX7bAgUrTNP0OxL3zoexyoo06vW6
nHlZQ7JlGwqfVxUbky1mBaGOgN+osl1qJuu6QozxcVIVJdCmMPFqm0Vb9cnT6ca5XbKYoVx3qcKZ
5jh8b2EO3S8DVJ4dlpvE63pmq8m4vq6gBAQJMiVPLvDX10ZeaNbMPRVIIpIeNgSkt2M1IadJszDd
zX1YugUBTGE2uetIk9/he7B0s99ecKGadyJvHmAO2K41py+NxV2HTfp0CheDzF56rIFdeyQSlGnE
BToLthIcdq+2ltSFnN6BNvIQKQbIh1byKbJk6Y6mdoDxnh7zys78rCEqEaiywFrrB1NUx9PphNCD
WTART8DUjPBSWOnLoobhrYD0VJAkeYmFVRa0/nqH/6NPPP1e5gQTXbByad90btcln7GkIuQpfO5I
rM2sigcym/tW5k89+dUWzkBDCXm5dXMKSoNJeKGmfEhn7i0ZrBtRWeuhyc076h28pyHduczSeUKD
mXo2U5Fc5pr+Xk3EW8JiJboSbMeOVcmb0zecluxl2xJNYt5tR4G0xF1fc2Ond1AL5ybBCtZV6QCj
UTgyQ9v0tHJbNiXtp1BAhKq09kFNDe1otilqligP2pWlwsiR5bdIZxsEE0Tt99ViElGtVQmIJtMH
GGF9MCvsX+gjIpiUld+yDeWQw6K97Le3MyusPHOtjmsE5RAYjn9Vr/PlKRInAJ5+YkW5P0FeYgeT
Zi2rfS/zulldfsPiTux518381O54AUMy1HREhnWnZEVyUzlq5ttmzfHTERFYw3z8dq4w0MthqC/J
c2aZd1obBkucLXudqUVutvAgtxU2r/xNwIA7k0izG2mUM2mQRdc6BB5EiJ1bjEQfe+TV6A4JxfZ2
u7R9SEp2OFMPhUcVVMJ64QObkargFH/zLTqGTVzuy0zTYRRV1aFJuz7YzrjW4QJRzKo2BzaQXLOj
ZXHXgt6YB86HaG9Lh4ckzYNhglemhPnyGXJEdZB0f10dHaqrYhhxWitlXzyldvyChOA+VNOFA6Ol
CzTyqLfTJnSIi1nPFghxQLmeJdOVLMVSXSafC9fo24yxQzDmIHc0O2zJYRrQqbuZIJL4JmYmnmFK
+C9NfMjrigNv6ZsbomRzlRhxf2FM9Fw6E/hq1uPZR9FEO2+Y7KCqnNBPaRi5Fb1sqKso1w5tvUZP
eCPSJNChY++g3oxuj4h+j/iIVGNOXqqmesCaqt8x37D4xvyc9ZOep/WVWmazH9X9J2jB0Z46J/Fp
j2kPqqHBZCqWkoxYT3yoKKGv66t6gLu+M1fKpLGKttSgHquL1ozlrTZAAJog5nkGU1dYCU11YW8F
XAZc7DZre6NrsbGTxqxdMgXxaVDy2U+lgASQIS4Q09rt4NisV2vLdqIt/2RvZV4l68yHYsj/2TTL
THOKYaUhBADDz/y5TBNv2uw+cFZTPbowSF3zyCBHgbYXFxkn78ITG0X7jHeEEvQjDF6tKXPkQHUf
CGlcwHdDDVZIF+7J6tJ9nWjB4p2b2Uw7r7U29ZLUCLl8yof1fJihDXz2WkKH1LRh1w7mZV6NXyNY
J89Z38aHorFDf5pDutvC+sYslCCNlm/DTPKsaDFBS1E7r8L83VWaPvdYDchpMiBWS4OYAFFMqNRw
ieWKRD8oDMTw9A720RgZPsnzrTJlHhPSSBPVYReBpQV2xDuN4mtlaq/oaVYswumzpk6XLbMuXDsB
lnQc5bm2WHxyElkgZk0g81EezZ6omzaaDifIuIuyFLVHqx5bRc/8MiJk4qFL5zLBlLRJYtXv5oJd
u1U+a4YSTV0JS8mQvGhz5ezimPxJC4k0VRkvn/XeoE8txcrIMk4go7TCF3xBK09odv6lbOiwGqv6
MApChaJ1DyX+UG6RNe23aKWlxEk8BKsl+31WkQTHc7PupmwT5FDDZW6qQJ07xXFDyY66yjkXERxU
zcRYZqzQbNUtv7VV9Cb8HV/qbFPan1gEq9qdPtstHK8k89qCdYuqlN5K5OyNaXpyxgGJRznexTYr
JnQKCPwlY8pga71s9zna6p0G+rDvLI2ykNPadUizca98gmf2oGYDObKp3nVIrVwoNaxQZNqXmhYz
F1KVNDRkdFvm07FetK8UkM1OHc32qlNF+3lQsl9TzjR4a/sGXs/l1BLUIOxl11BvlQCWkQ1E25Nd
b+F07Yv1Ohs48Ua7h2tk2vd6kj3VS3EkwZhvVxzOyAL167olr1E056iliUXdaCdeL6YE4U7xyaHl
iY3QuutFzneFd44kKY1vVbRgvyYqz74kTQ60TF7kBiuszlkNg2JXJFg80yKfeM6GtL9UetleoQuf
7otGUZEps9zEBl4l0eJNWRZ7i01cC2H6BVkTz0xa0cWABGML0gXVCtOmyL27fuXLkmOKlSE5ZYJ9
ftVWhzzSmMo8dBeak76USvwCgeihbTmHutK8QfWn+qcTvZ8pwrZ0p9nWasQyuYHwRJVHTkBxLYJU
X5QAHbvtGtuZWS4VmoKtallnACKJHtAfovahKjh6xmmYPkQQLCGjqLzscpvAAUHtcgGZdB01nz9k
Vp99bIYx8QpVCxTIg95My4f5H7oITqdc21flMWHOpgfbx/Yj29GOOKQT9Rnc586xvn4tdBnDnJ8d
D9RiBAEZTMTNiMoGhdXkLGH4mE8dn9IWL+qqqk9FOJbHnFPvtPqpNwOIHMklxeoLIATfKrc+Qlre
W464KyOOyS7k5Epr5XkDqkxjbQ5D5IzXZsMbWbLtDIxYnyimR68jhyIoRPVd65QFh5lTo5BR4OWq
8c2SEMYAI7OgkOg1MrO/VIY1IeLW0FjWNTAaLr9AqkCfS4IFa/hD3o6oNgy8pJR40nwn5hhmtXPE
MaHSG0vj7nT2OjP7NDbC+7cLf3Nr+JzX/RYyYFUT0lLVc0fSMR3Ry6YLNtElRSedS7ruff/Q1ICC
qVqsu1XRMr4Fbxlm5LpDwgqnLKu/mM0vdlPfo1VG7RRT6G5pxiBVJbCkvM/G6FZl8qKnF+hlcGka
/HiCIVRP461VQPgQdk8C3EefT0DmqUaSmkBGU8Qv1tyPHlRKhOVr6U9Krx0FrMhLq56L46xoJHTj
lpRKaqBe37QqEBupr+led4qKHm0rwvCntj8O9vdUwRmyRLABu3nLAuOkci1qXt+M7BBGnfbe6EPt
R4icjoBOo4BxRaAC525GaZ4gY2On7MOOmtJm3NdlN4BIWOjVrSIzv2AvTeAFx/eyge2mQaZ/p2H1
J6CY7dDMsAxkrls34TU0hUt9YyYiG/ap7Ay3E2t8QFLHKWQ1hpsp+E7F1qh6Y57o/tsL6tR0P1tQ
lO+OTSuagAGW9PrS7GxtSDK4R2jXRhculPRTOGQfk8naxCp1/XVQUxwx1BWvfzO9rbDA/uTUsPX1
WXt4+2Z+7KcYvAGpSSzoMe09H/MyiEGt4wo3d2MLAhtgYPRsadnNPZoB4y6JiK5vX/JHzN4AHzWl
QXtCxcH/7OvrZa9SbobDvgt1O8gbqP9NxJ+w/bmfu3aEK6VMfjm1+SGJxvdmHdob2vnHpy+FaUhD
0j2jaaCBBb9++nE7UtkxgH4fxzFc/2Q0jrHRYnBoODvSeid2J6aVBAlD3HwdPeEBhmd4gO9V3hiV
IX+ZjMK5TcfhYOnDB7gLcwA/znKNaWyCiSTNZyV3V7ldM91mWiy37svkWOqpAzJYUEmufbnrEj4c
x0lrwwnuEAylF/gqagiOOojglSh8qMD1oXBGI/Zga0w+Q1NTT9Xj8WIOpx3RvwnaqDH2BcM9L8HN
FLLX7EMHCcgzgd4R50B5NrQ2OVoMg8cVIYs+lMKEDzcqo4+Tku0PMT+IhfIEhWmGTNcMd8toi12R
h6kv42S6hnM9EqJNQfTFo8FNwAT8EubrJc1AE8w9c1LfKpqSqQtGcjlg5DCBapUZESnU97ps7IOT
cA/4HWys7k91b3yIYgwqFE7iK9tSUDcrq/Z1gHC+h7FvvoM/n42coMkgbF0D9RasbOiL56MnnKhp
HSV37B1olX1g5hBIQQ5CV3ZIUFoy0lQU6oe6aRheVU/IC9bFCES9vcAqM3y77ZFapsMIEaCVqZ/k
8bdcpMgIaPO4GSx6tu9oBIjKU9+2MekwyrbckbAZXr09bVtflfulmoyjs318WvUf+ljcmxJkb5ot
UDtz0IOBuZgH6OX2O5v7/OSixaJtPRaLloWx9XleL/WwrzXUiJm9ixnCy9B1l+34zmY+jx+nS0ge
tOmolmaez88iDTOlYmGQVsxp7VcjR93YjsA79Qrw1usNz0ax3rnoeQThopCrDU2SzWCfcj6jLlLw
BbRiGEVNJZuAQgOi4Yrl7xhlGuAM5ZOCa8tFhSbaM/r/K5tqa105Dj1tYdMGIoafnx1LwyTjtMAU
arBqBQyEETuIBVY/TbcLwmi7qJ3e3tOculfLKtvnhjV+fjuInroNr8LYdg+kI8IwbRqs5xMg2Dat
FK1i7RADY8O4NN2hMPTWQ+nXrW47IjhMCrV7nNU1vOFBGjfVTIcPyZz9ScnkummoWsizRrobGLTw
oHaCR9l0pt/H9a7I4vYjfgTdhdlKvk4fy2PDOLOjrKfmi4hAgNy51JL95PTI1CIIRKOSX7z9HU1x
HqoZL8TxZOnY+jnMSjprXC14zxoNzZ/dwK46Ihifd2odwUQeq/Hy9CWcIc5v1SmSxy7mBxR5oees
6spwbHC6lSEvvt7aLY4NjKV3otj2JaJO9rXaXcyreKnBvQ5Q3oHr8XbxE7DhTBQ6VPBkvFzXuDvk
jdWCtqz23prlCILQBYqZIgperSbILbiXhcCLaKxKBQ8vsfoYzLtRHc+7DD7azcxv7moEYW4cR5uQ
BJp1OOW3uFl9WdtUJwgNl+Y0cLOGmrtRE49IxmX/oFTl97cf58k789WS4XGS8NC/khy7P5go1w5c
wxVMeIe4syOq4cYo0/GYRNMnzNlCTx8Mbbf2muEm1hJ6mEgA7po1k9/wVnKVJE89hMKalztssxQt
zlWTReojnsCSUt5Zr/gU6ziOMAcx+ioxvUBPyEO39hCov61pjXYkRROg9rRHzL4zdo3ABwoieusp
VvVlyJdhh0XFfcHh72dr+x5JyfghWhkaAhd2rG7iqwDF5XVATGHvMHcnN3fayOFtwwf5KvCe2ExO
WALdYAtsiO1+30+zstPxqwT0bGJMHHr7sKBOQ+kSDm6RV8XnJNqgtIRtl2Heg27dRB4rEEZcEg4R
vdGI8NWWNbL0VYovg516g2prwdIOe8jrOJEI49M06g+GgpgOkvGnME6+T307uDW1wFXRKxLzI6RG
GKHat6giRBDndhOgVQFuL+Ma3/W53yN7tfcG5dWOIpCFPnLJ2cn1d3rfr8mbhDzWDlmiYTpb3OFI
ef3kljmJqQdZO2NuvsDssG+3vdLiJ+RNWjS+461+GgdytlRxa6YbYJo6wpbzxnGBcEGoQ0+EBbr2
U2r+B0D8+Kpet5GuazHvdDVMb2Krj68ErH6XSh6i4cRDx5MElBnBgUfl9svohMcpsq7D1ex2Gojq
bF0uUVr5zcK+HlPai/xdryYn9BWHdQnjOvTFxG5myMVL1TXrnUBru9OadXxmhGB3GHT2AMqi8ogg
zAqgkEe7GPrB52nM24+AK0wKQUl4h83Z6hkCTGyz5gp0a20CiPzjNcC5c0H1e9fDRTo42ULkWJ3h
urBKiftGhbpMJSx3NeNwuu12qE5z8JBi/GwiBfC7kWNGiZlO4JlCpjtcS9iFvZLeCLWCBY6M5ase
yhw4EjfjYxxXys5hmprXjRGKFh6kG0vNCmLwRTJQNsR7Iwf+ZLWwSBz91PvfTsnXq6WzrDzDp8Ta
2S0AaIqXx66tTQ6nyqh8abIh3g5tP16PCo7uPykWRCDznPGEyxtd2BWOI/pPEpCa3UCLwrkA37UP
8Wo27+wG7cfEEm8dXKJsFFYOhZNzth9sWgmNiKA9ghnrGFDThdM01FBMKuj35arGV7NjJEHUWbu6
GlqkR4QLK2v0oCrY/HJiqKYxSfyLMv7kDBxUKpoAX62MFgBI6/d1w1dJrKr9WHSEa7PcDnczbDl5
kvzWLKvHZQsjUWmGdLdZdBikPtIraoLUogOXVgmu8BDp7isUVBerZV/nY5ztaE6+oLKofMSEL5nM
H0XMvSsqxjdY52BYgydJoA0z3gxVe9+trHVMANPfjtY6I9Vq7Sh+AL3XAwff4DuNhip4HLvJYdT4
PmYJXiHCUq+m3uj3lbWdpkVG470mL8kSzpmhYFK7uu1VjFJTINRheSpX4ls2ss5XpMp+1rbdAQYC
Z09G2O2yuvmSJJmCVo8zM2+5oVrKysctY/UdJVb8FcnV7z/NWe9o8RTkbAqd2QoUzh/E1DCvN10Q
ufAJaSy6CwP1F5uFcJFoE/lAP+M/pM3dRdyr9rXWAJYMuKtdOH1kHzrJDi3xY/JVjHH8MnR6v6to
tNNf7/dt1KFd00Bsyz5EELl9TcXcJrsp6+rXo9YFw1JBgG1C50Ig0AmcHJlFvlqfrUV+K+iNellu
iAt253iEv6QHRDBWsbnY+7HJSVnQnNMTYrs7Fo+Prh5XUDgFaodMJy54/rGj9/sk5nW8vbvOywj4
NVDrqNkdG8CEP7/ezQU4hN6XSr9vbBZxBgfCY8reewbO52fz6SoGlkAmm9j8gdkJAE3BBPy+X/Ff
8gbGo/htOn9Vlu4GJfqvS58n70SNs/EiJ+KQo3Oi2VDCNKiSZ18MG8wIJL/o95iYdVdhD8cs6Y32
AhQN9sNk38cgzm6tQjjB4OepmPNlP85a7aLXHrx8TL6v+Ze3n/V5JNueAnmJRVFh86dzPKZGy5o4
ag0slaVfK9RTz7/1i7KUtkg+N++Qws9o29sjMMEDpEEtYlPTyDPJxCCo3sIy6/Z2Im/QOjKiRzHL
oAqNxFNpNLnaaD0aefoZjeRFrsrPbWIp2PdM14PI0KIjhFrNZH3n/D9NIvnj+b/dlrMd/tvK06xz
M2LdxqA9klG3BwKB2pDTb7Ia0LmBegq5tbgYqgbYpuh+YcppvesqXhFuPbCglOpBQ2nk4pWO5Ust
hMv86AVcXr+ZtL51SWq/Wd3B7NXZxy7qbu3lhd7pd4K2wBChhMDGNQ2UPgpiCblBIiXx+hIF5kbU
zSwVnzqV6GMUTB/p9K0dTY3m5mFZMGpeKXg0Hag1TNcTFpxiY/1OVSS2JPX1s9nI1yacN8txbOuc
Au1o48wIGrXen+AMbJoiT/YRngNTAZVENr23xDrWSYxycvtxVE9fEzYS6vamoociYTeFgMMr5iiX
tTowoxdpYTBurSasdtddhzDxmi4+jrg25KGoeBcC1Daa9vl3wFCU0Z+mBY/7XAdB+x9otKU/A4DA
WeUwSQAaCjIB2T4MAv0+XrRH20HYqSEFdZU82bWT+t6sPvNP7sJxWF4CsrsKoHAW2NJVr0cZNXsk
BZdi4sEIVkJSAve8vatPoOLZ95WogR0JKVpSf51FGoiDIWkWFslhCZEmpVWgLdm6a2RfvuRrBymA
0TNeshGymm2YQpm13MzgLF5YjJE/1fGToOudTFA0SY3BV+ia8nwzjBn5nZJ+N5SwY6tDZ9dzmCsI
WJR3joE/e2lwXuEMm8Au5g9k65Jmr9DWuN7HXaH5IjewCS7n2is6GjVzAWiKY8z3rcW4ZDA2hiZ+
wSn7nYj1Y4CkejWh4IIBAX2cr/5cDJ3EIrLeY2z6rOM+4fEYuFjeCm9a3rua+LFTISUIorO5zmj4
F5xlshh19OS3AsspehC7rK4Wf2Pyrp3AUk+LTDhP9KDWHl6gsI3oA/6RD9VcZddWQT/MUFH72tpy
nRvNehgp1agFMprZBdCjElILpPr0jqf9j+cod2ySugPnbyjV2R235iyLbmZrSWVJ9lVX976S0bQf
VFqOsL9Uf1Tzd3DWP+mRcTVWhOrQ1DHN852EjNGeKux89xT4LOFKN+hdz+KYYgByiIseClKEdlzL
hosORscVpcPdiWZDSakEICiqn5R03UO4lX6PhSvcIV27hI2g7RoaQLVOVza26FTrZv8gVloUJxpB
qdFrRG9u7/CUIZolJhSnjbFoiCG5y2hCekWlxwdjlcY+ynAMSEL9c96IFQMoeLA16a67wtPbxRjr
g93h1mpupF7K7bt5glpwogNWuaG60FS/bc1jK+m53IwNqBZ+1ZUZa9G6m3br+q6o6k/DhqVvpTc0
ahWZw+sAVdtrErcGYSNa+vg2K2D+anT8drQ4ehcuVsUZSF84ccQTTDMAf5MXXU6N7WO0kwel1U5o
u6FVnGJ9ISbYxEuCX7PRYU/Q9+LXExvYqLFzcyA4XxYwxG/ilJfwdgDcFt3r+GcTX+n3INJQBaDt
6y/SRgas5VZ2+1JyGA+4zvuF3LaEEY9XUetQbdhr8auBPxIS6TF758w8jU07u76gMNSpDlEQaecF
omPPgPVzyVj0HOJpJdr5VsugyNk55DG9cYwvZW0WXoIQ+oKR46qfGZyQswL1CwyRVmvGFIdBlQV+
XyxTzi5ImBLOJKLjr6o2XGZL9aB08JVOlD3YAJoCNSbELTdmQMGDWW8EOhNeWkqLaK8WGy0Gvzq4
p3Vy1zaT8UXNTR89+LEd8T00rRVh5iYTKSLnhf/BE8wV9dno0nxf2mhSMK4Q7+TDf5JZYEpHl0ID
4uFUts76BSP01jKd4mrfwOs7ceoKgz/oGiTKOmEbrn0+uVG2Xsxqpp4k/F6YfIFvV1+cmIurOqA1
ah2E65N6l2/xrbHuDSR/UMnrX0tI8H60QN+TOOns315iP8Y9W1hkFOx7Faj4vK04YKrdFXAV9opt
7JnFCwhEqMgWGsknAgfuCu9EvR+SZ8maIj+lj0l3hYN9u6U/aFliDUfSNqN5Chusdpe6l26ykd1P
9MXu9HoHeJQj8QXxAzqLYWPOjj1WAXo1D0HbtFlgov/A+5iY8/bzOD8oTzdnktey305NoNc3Zy12
mioZA4mTuNE39Ai2NmnE/6fuzHbkRtIs/SrzAMMESaMZyVtf6Vu4xx7SDRGSQtz3zcin789bPYOq
6kYXCuibRt4kMhUKKZw0+5dzvjPchckElP6znLL/4tvdX3HMPcKimfhP1w7kiQ7tbraf5P2pdYsz
wD1OpI5nh97xP5bI/9OOzkvys6266nf/v8DSaVEK/81H/F/5OeP28//c2s9fX138txbOP1/5x7/p
OX+hMUK47dMtO2gMED788W+6WDHpq4Sy6Hg5B+8z3P/n3/T/spTyKFEZ8rLL+//uTcv+i2sdihO/
nXLwb/5L5s1/KKZY5eACVT7Hi0eXT6f/D49klxujRbI0osdo6p7jwfNeFtco642sfHV1XESaG8MC
qVOautoRqJVu8z6S/+QyYuHxDz0U6/87w8anUBL0UQwc/v5PYspRJcbMyAkdVveWefMAAcsPD2NU
2C9DlvhnzWj0fqMXIRA3RngBlgGEKKmWAf8p2aH5qfZVFhffZcyFWsZA40CMJsmmwFR/M3ug4Ahd
7Q0JTANXKooXACTI7R1gN49xByIlaezy4MFfWhuNgZNER3m4NThQKHLc+b7XJGoRqs8HqwIX6o2i
MU8RxZ4ULFRslTYJJSm/fl4BWbcObaj0Z4XtbT2kzgMzJiNgTypp0NnDftKE5RcpCIFdkcXLBEmj
FtaqZ8Q46x9C9MsvK2vlC/e3vyfkZDz22dTdEhjR6SqNMzRB0VT96F2vOwxqbK+x0yPFrSx7owj8
2FGL9rdICQSupT1vzVQga60DyA9sVwARv86OnzfAvkj+cjCgf1hD6KOcNO3XePKN3QA05ZCWIlwt
o7DPyCmNHb/E3Gs3VJtqitugc7geI/xPh9G7U0vmfFfO0bxpnGY4zb2RAO9yoi0bynrrDoThrQfk
abvZneQ27J2Z8FDVv8jGrDc+q58NnV/8TISI/HAXL9y2M/QS0ZpmUHdi4a/W3JZsnleFMqZLxAjz
ZWAt9D5N4F5TiEGB7VAVtpWdbJuKOaZY2vFXU6TeFglT+egUhM6uQmUMl6mmtGJf4mzoRdkXTxcn
bgKvNE5eE4Mx0Kxxab+vrkjvS/qMTeZiAkgsShsgH/BEN8Ozk4m5x92g7oSmOQ8UQ88yXDL0dsUW
C8YtH9D85jSaK3cg/3MiKzoQFFibum8hn2dZ/5GkEdPprq9gf0XMCUrD+OEujUYYWs4PhSTNwZ94
nhIeq51zz0WpRVfc/039itre38NTi94XiMp3Oeg4XyKk5nzPyno0tbBuQzHqq1kbCw6VUW8mipsV
2vgrEQdwkBn77uuo7x/zXKp9njM8dvoQGPJCcV8IyHcjaJtbNifllSsmwv2VyC00cnWIGxthS9zA
+C5N9LGYfINqquu3vBSCT5MZQZlnZJr4xW8BnoZVkF+8EGwDSg2q0Ybfo1rjdlbBqMnk07F2DpVk
R1+WES4zVN5IrQo3WheG76OsMb21Jllgw4AwCVqopax5ZlPv2V0wEyPMRe4GIUcwjIBAH0AyqY1R
axd3UzEXAbY7cZxjF5O10OpK8IR4GjWgh5KFcL0sexbY8uJVzrxP83LcAEa0LpEXX30OmS195NUc
inUek1oQmeVwGi2R/JyrNqYS1MPaz+G0WP4SnmdY2NfFFc1HxKkfQLNWxxYZ7KWcnP6wlKPcGTRu
144/Nu4yGT5FYKY/7dpLjirtZdBPw/CzZTD0xMnsgcet2u92wzbaclM26RFdLJXfABJaQj7NDp4j
1+ArsDKE7jDMe7k0xbQBFQ8YsaubYRfG2bSjg/LqhxI2YbkhPS+9DFMNtLVlLZNGIKLiygOBHIaM
1izQvv3GbkxBbt8win7FGEhtxiR8EyCErg5JQMvaln5lY+HK+Zx9kDYEEFje8AgEmoWBjQ/urWvq
BUtaGF0Vpc6Ry2/E0gbGnDMN4/U8lMdpLuJvtVWiafKilvcayUKPQ8LPdks9lRHCcl+Lc1xn8kih
EzpbUftfM+FB0aEuS9RdQ18ePVIGPpyETIclrZiwMclibEVRui8dl7QGnxSK30mVzfU2XNr+t9vR
RIbj0n8UJFMFtaquZWy8N3rqgvIuxWQ+JQF1JsXC4tfyizvGsuf9X5xv0CiVv1JxVH2Q/J4TszHz
DczJPcAu8ECLFuUhtpETbP5kSMFpym/k/YzWHuOtow8qnUf/XBdkZ3yRrNANT1ZaOM9EjQu962uj
/ux4FT7D0C7fqjw2LsRGlfEqrLigt1bLdyv8ZXqtU3KDuKRC5y0ax4+s8I3T7EkdnkyHMAcF2Fux
0Ick9yeOSt2ff+CC4ulPJlVaktSqk1n9tmZbPnEVdt5hctM8fey7rjr0rpU8D8glnmM2T4qGo7Hl
w1j4ze+ogGa+jRNXvZeNFj8BX88HRr5yPyejOikUa1+4L9AshLaZBoZnyXOYOjrGHDE1z3YsFa48
fqqE2bv70ULc6XRGo56yUDXfWPs3Tw6n9fNcNE1ANN24i+AywFkkF0CtYBTri1hCETgyibZ4FWGj
3hNb+3Fy37rYzL1rR6+RHsfsyQDqdSLk4u4FzKKtmVUhxiHfbMz3ym+Tb5NMBzJB6wSmVpFHPWvD
apDfFRai8prCwqy2fVIuGDNIBdmikmfrt9i+hVtAVBy3RvQYT3L6yNvaehXGJJ6r3iqOvtXBqhG6
uoa5Eb2y9gRfT0AoYL2R34Jaa0rBcbao/nQykdFk9ycW/WAXmbpCTmVoYzUDK51pqWBuakRriBLv
6ONwfG21VaabLG2gVyrMPg9zVtj9dsGog33gTkVbR0Wlg9RixzZF0SHsKo2ZCAFn1c7xe2QX3cUV
UcG+mmVliURpPfIDXhNIFthFSrKNj1M+LvRyHXpiY9rGxykugKlTi3l7rYkE4lDNCuCVmFJ7farD
0nBIn2PCEbgdKPIja7j4SDlDRpwNovSFsoGmE3My6Ro19/veT13rljWsuRFk8igsFdurtBXtE1+1
kylzspaZBCFkstwothynKermbVzNUYFUsO0+6lAtqzCVM9x9u9+FxKVwHQmc0400VpXlYnGvlug6
LrPc9Q7PqBO33lmRBLVCQku8jLOqna/YPOi2/IB4+BlKd5WK7Gi7H6gmBZbgEWkJkMgOcX5V7XpL
1hrrxDy+G/Hc3NgLpVuRhdiWkJN5D3dQ57Kf4TkSYpv5ezLoCUrI/HyfhkAnMWuqvTQTjxWpGpsH
snfitQeseIXTqt7q0LTmW6dNuzpW1SIBRhfjLZax0eJhytMT+uTsZRzCeGWz4NjDocoPKfljtzGO
BchNBqFfo13AzI2qKX337s4mNkeA1/20c8U6hSVZIw3B0cvG27MJAUJzmYYrObKX+ZPsBtEvWadJ
PRFZFRZRIPXkHAjPq3eqQe9VAiZ+wMnR2NS32ZuuYmEfx2g0NulkuWHgh2GTBynGqrNne7AmrUUG
/JUnzMNYTDBMWD+GLhI3Z7IRbbWIY585bWIiT2LQlFiCknDT9iEui3A8Yks8t0glBeEkW4qe+3ql
jM4Tgi8G8bnxuUxh3+3htxtHOuvPRhg+wRFubGBxtfOvoXSja8apyO3fFwS0Ad9jLD2HM7Mks7y4
eUL1ZozmW03Kxo0LrjlV5uScsFZBEmVeuXMgZxKeVYW/JTlCWJmFe9WI1Cmg3YHJ0uSicEtq481Q
C2fIjJ5Pr/26NPcZxiRc7LJ5WiblhOx+bPGAEQ4NoL/oT0n02ePMKb63I5w1sAcoy6wyXw9599Xe
0cJAzRuEGVbNzRmFFJ2Lhc9weghbioJkEifBJ7TFBOFuR2VWrzXyzK3iomHF1qTbIgndCzFo8Zs1
tA+NrfodrNtun1d2h8Wc5ubcyig7ETPkcpDY+RCQwkDhFsU2hiw5PwK5Ba6el+hu81dlF19G6F1Z
OFSrzIqzdaMzc5fE5XQwEpTiLYrL6o78UVa/XPMGU+KIsOpaUX2tIDlG55hNVgCTjfmn9YMRDXkT
vbPLRAYDTs+BMJyYXmqZNnM8FzuLC4lcpGjGLEdIVUBYAZsXm/Dy+KATeYxnhTAnOuEUVxf2ktap
9HDdZUzvs/VSyxq94UiAjy5+eVNDnF83Ti81L9POYSK1Vt6MtazJcEJi23uMZirakJnoyesH59Gx
Cu84mvW47S1U4i4uyn3I234a5nu+mahaixK0xDU+5BKbN4+Godt8U0kdhIRa7BHlHQl72hN5sbHu
8AB35JnGM1XKfEPVkRyhMKOzsFN9ajEibWbF3cTYuxoOlltY+MxTrK+ObNt1kbXOhniqAHRNgPZS
HxZn9NAZMbSLVJofwqXg/BtHPuqwrgyUB8wFkWYZpzhq/A9T1g7C/tl6J6/GWftNlB9rvQwby7Ci
S25IYuAmfwyWMbW/I9UV78pd6icq4PTQh8n4lpVhdRBlbTxZ4yCfsqXJOCslgSVIq+MzxsX4EhfN
sjUp2n4CyaKFtmokfE5f/RJxI1eG0591k56I9pYbzOM/TM3dJ+b1YmRyPSTGCxxQ6LMza7568tF/
zrl70GzbLpOa/GcCpHrci03KLJcCdrwrXTqBtlu69dmMEaBZSbVRJgl0qCw3jDKf0lFn1All+wlZ
zdkUIIXWZDwZh07YAQhp42iKpNiW1tSTZdh3R0bHTxICtvRKfJpO+1DZ742pLwOJRgsR7navvmXx
dC0n0wpIOXwm12AXGaDIizYIM+t+LakI9yBUdErD9zbyP+BWbOwx+WwZbKzzNmuwipUwSPVQBH5P
ahLXTHl2ssnmOW6rg+9lJ0/GBXFnznJSbQwIQ3p5UGQICuesWmfgvgOASclh6vNoL8bh2RT4TL25
hLFAHMQGM0GT8XBU6mBKmivYddlPgVcfKrQLfDmZSrVJMRpQpBtBXKViI/vc3BMmGe6qzA1POsfm
TsoDOjiLTn9VNqmLItUOV552NwtQ30ObZ/k+gWswoMQs7IAoYZLKrUS+1rXbnxn5i1c8tgSb4ebz
t9KeuRizosD+nIWzN6y9dJC7pUvqN2Py840naFEWxdQV1V19gtQ+PhO0dMukuUpnya8HgQ3V9tgX
zVepCWYskOgVq8gzoVR75F9iM2wg+e0YMdWH1COFrhEas2LWzpfFJndEubb5U/D3I0tpyPq1C4r1
A89jcxgxdtz0UMpdSFjgBvLmqovyejs22typsV8P4o4DsKoPoQzzaSQFiw5H+/MjYAaXBA1Dtbte
QkqeWJitpsnkRw+qGab35OPzJ1hxVbfyXABk3ahaTWd3Dr0zluRLlJhMpq0vlMExSEP36PvPzPEB
corbnOSHAgDFFA1fc9QqnOxIIjfCbnTOMiJqgs5qqx3XprGe5N16bRvmtjKK6WHIRgL7XCMJuLmC
zJKB5XabiSTdyfTIq/SLwPMqXii32HLbfqnJfjBK6e87dwmkYZ0kyusVtdauGcdv6LQiBHBCZIeG
6+C5heryIML42yBwAreV8SYSX16LVPefhhR1wP9nW07Z4tJAHERDN0aJYjxrX1wq0WzqlE2dW9Xq
3NiERqbSRrvGD0ndGSVCsMg2yBPYeLP1VrBQ3aQKufhCxCY19LqtszX06a8Bdfxq5GqGmEGMG5bZ
djUXCv2cfVBxcigyvY6n4gW+C+Ul0PSkGcGtcoHvCrApDDf2eTl/GLXn8PYY2TaZQjIScuIDnmmy
ux279EsaksXrW/0N5xOlHhEBt7gTrylI5LWrBWz/HPyIbTExwgc4rESX7HSTwAJI7JxRnuU8aCwl
Gy8fSwR0abiRYBrIZ92qtqrQDVrj0cnOhm+e6ilJeB3LZ9J/VsNYHkO/84OkG+Dh+LrFwjT4m6Gy
ipeoqfSHX/ZHoh8ycgfJRS1qHagm1/u+Tuxym+u5OgB1GgA/KOuARd0Oss4abwhmo+84MpDPu+KT
lv9FtPl6utk1zsPml8uc6wWEdXWwKH0PMZOhbQmrxCBCcVUSNLUztesFjo3appyGa1QwbhmGqn4T
VkoMazoPEfZQT2ytGi856gTSmeq5PtsuEzPahhBq6qKeiaDE0Gsu+lItDgI9siKbgwIds2kNnWxK
X58NtyhXPjHzfFBmROppmGxRccz+qqlF8jpK7TzwnG3tYT4DlOvOxLEsqyo1mXodSNjytnxt99F1
jnHAr5FsK2GiEzAX9yfQpC4gg+nZD9Nn9tzxHgNCvSelIXszSibfjWxvA2kJ4IjM5K6jxLwSGsOW
NVlOnUwYSho7kJ3z+oncgXG1UCfMbLOhaRtNeVhq+GPNNH2T1agZHbTxQSWRc4EPlQExjw1GxOhO
mhXjG6rlSQvvjF0DhQ1zodqF+8GvI0Bw3MRlzISqkb9cRl1EFcz2rVSpfky7qLHgTzEP901gBCFK
0cy2o3eiSrNz55GXWQoY0NsuSUMCRMJ7XGY463Q/ERDwvU1JvegzIXcVlSYFVTZs2CqSzYQ0CloM
uhe4KbB4rAskwzE6j2o+kc5lvJFnSPZCTeux7QzLevGltKD6e1lG9HNVpGfSvqOTG9ZWME6WSe4L
EgNyRIolXukZehbm0wROftcgIu3E1rSTnnRqYb8liC8PVq+a311cUzqGTneeWhqm0hDmo13K6Iof
QSBOalN2oUCR1pZqrG2UDNy8Y13Iszn2m5biD7CPDX6BKcXZb6X9DF0qOrJes184+MvroES8H6Om
L4GfN83eJuq0gc9dEK6dQ/EBsd3UXH3usp6dZrwjogYmYdVsx5+e4rxY4T7MXkEeXAYCRBlmTuUt
bSq1trTzFWIz/YFupYo3+ODCX2GeFC+UId9SH0dCk7WPqGVebD8bN+N94DWAt+8XUkUyaueT1iaP
q2Tw5alyDLSxlJ+1TNzAqx3ktVEIM6JChRkxHmRrmy03trt6zR6BkOvZ9RibZTa4QNNhQKeIUL07
oqokrR+8TJBd2Gh338f96zjH4OLt9j2xgD6T7wYRy5bqYemjBEdM13x3Is+IV2boTnshB6dZD46I
V7WksYnCF3KJ/YPn38sdlFHKG06a/B4OPJ0eZ9v9nVD+kzlfgM5iBMVJoOV93XoPDc/JpVt3C5CS
oYf3CC7yNrjLTUXKf4xdT6+tMQcZ2ts/SwAdq1Ym4qILauMWadipS2fj8x67RTi9/93vLS9QdUzS
HOYSyFckoxMqURusiIAYErllBdy6tMb2MaFqek1zSz6QPdAEBCJCAdSeEdDYAYhv88f+LqPULKZ2
CPbOFoV65/XjXixMJbejvXSHrCuNh3HG08/n8RKjM7pbL1mvtGDfY0ONaJpTRvhkzRPAue4tcTWW
xjzDT11WXijTo+Xhy7KyzGcypLJTX+ony4YsA8nFJc1zso526D8D4XZOcVk+o8g2V6acdoSO+1vC
fV6qPH2YibRCeQNlTBOrZgHusFx3TSS9Gaiy7Xc2FQ5nIaNRZ9vDvohWk5sRjI5kOGYK0Do8zGh/
eIE4kC2/rV9n31C/KukytSTRak1hsfDx3v16PIab+Z4/T0ud1TsiUNJLH3fhrV2W5Tj3aNg9H+QJ
7JBXGalH1aVIQombVal1ynV09ph27x3ZUQrO4tGnLjolxM+1TbJJivZtHtIPOVYMWokRW2MeJHXm
ERVWvFlYsDy3UhRr26jyJ3hj7anpKqKLIhW/Aa1SQdZOlDS6q0gChcKwWO6miWtn65IotS96ojSH
R82u6RJNcXpMedc+Cx0m4Tp3a8ruvmX2MkjeABT7Z2uw2Ys1UGe2Xt0fo9EBC2W1B+RIVYmMh3gs
kk6pBlFdYEB157vsDJHp2pSOychRwT2CccrH6BX2m9ngYKYAIvzB03n5w2LWwPszANXiN02PJM29
9h4jqtywdxXn28Wf89RdG5itfi4ZhRn34fSYTMt4iOoyi1c+UU4fMmmNF/p+QRKHJd90mSOJYcYe
oz6MuyvnQtfwt3by70r7408iGOjrGBr4I0uhLJNETZYyyZjeOsOb7LvkOhqa13jO+BDYMU3xQ0i6
zLxa+oQyM6+F/5JbCv29rhaOq9Ycv02mK1+HGO7NPneZU5WRrEommY5DlCIgxmtENgXU+lz7xMJG
xbTwI0mcGuONm7wOOYon1lGUceVgJzs6aidwhyJBQF9h1lu5dgFWI5vGj9Qtf8ZwJNf93P+kLTfG
VZOQPWo29s+cgo+FG1AqeL4pI5EOK9dptPuEk6Linw2cpu4yqyqmpDTlB2HevEv8b7O7GEJ1P0i5
TIgqscNqVw+j/JVSkGPFdtTBC3EnsWXVDzhJCGAb2Qm3aup3dQJ8bMDVy9vuRjwojcunN8RKBAbA
BvZP5NMRo+3fJ11QgToxfvHTGXYlwjsItmkSmLp9UtphDUkMbglQA/dhGqb5pTeUfmayFuOgLUi5
HcE3ekZT9CtC6VTC65eiOnVJq964Vih/VFiMxq2Tm82xM/Li1e59BKBMZQPiC8U1n4ysg63rTayi
bbEWmKOH0cGpRfIaF59OdmwU983EAxwt3mcZk6Hqkd5248FvtovhD4fKruyrOcaffndHJSXUtKth
Gr85NRkgnRM1WyRZNwIJ4ffXBc4Mk5SJkDzDtYJig53ro042WWc2K2FXD2wEK76+sV6jusEdm7Vk
hnrLG6ZFcwMosd0O6TBBkLTcVZi3R4JZ7rabpQ3oAuNdJ4zwaajBKbmD+q7DPp63aYn5ziTn75Li
lttqRmBPThZm+SolseWFZRPojzgNH6dyStAHGvpb2Ftf+cLQIfND51q2bfGGl48TMSP2G55x8jjc
je+jVHmxbv0mRvjFxbCs0yX0TwljSbqOLE1f4sHsn1ybhc8W80g0rnHHJSfpz3cwjedYgHO5k2Xm
rsNF6Gc9ZxbYgmHcO9qnQSNVhA0ieeFIxnhY3O39pnZpPLauX0AcQRCAErIx3zTUo5Ueuplpypjf
F7NALpNp3JJc+0JnRpWCP2LvVbWAsZOOu2LOk82c2d/Zv4UnChHoflST66KhoZmTQp1kzVE7pkDT
ZnZ/lzyN5btrLFuy7Kddmog56PreDbK6bnH3WQmgss58igmm2LNkYMzZ11PN7GYmraIvp/A5HjWA
I15LfleWgm5TOidW09aNnyrJTMqZ64sVAsBhu1YC01tcGxkFUsozLDb39zyXRb5n+0IPyNZNg0hC
tec5C08Ps9SXaHGGqxjqmxEtm5Jp3qUhvP1AMhxkODC31SkqI4ZxjUk+64a1yrC7w+FwHVe/m0lZ
kOoUKxW3EsOvHOnArjfyMBDgvSKga0A8LAqFk2PqIC/m/jMbkfHg6TQmdxXJMnnj8/0+20261wwR
uLrYq6PAt2jbNBavtIOtlsb7GO9SsiKLULaru0Wa4Q77O3PjOIKgrUUMajtlipVia42nedHwQJty
+NbPYr6lM/dj3bgodEktWrWiOrml7LpVrSSXDTtz6v9mjpMnhGoN4+KU9EURcUL3lXlj17AD3sl/
JpfQymX2azGK5KXzW/cXGzj/LAd0u0Mq6hX9NlJGD9VpyVlo5etW484wWMheK6tpsbSV+GFTy9iY
mai/T37azytyCDN7pQmAPXEXxD+ZgdJ52I24RjbZmgiDSAH1yuLK4l8TiVkS0N1pxzxFBZlApIyz
YDIw/JW98S1sdfvdJ+lNrbFVmSemz9w2YyrTnyHDStoEZ1J7MVkpaAgCayljmncGQ9+SePkByyPn
Glftq7DJFEsaSUIS12nyQWDo8t7PJmudwTTnYGqp0+k1wBCmeLgzj55lE0EW2WaZLh+9uVjWYemp
a18ULnSJfApIbxyXNZO+fmd1UeUA0CBpLZoI+pzoRHtjPZPF8e8NTsZYYre47SMbL2vVJpXFFCPq
dOAZJNkvseHtjUaDunPM8ewabF57zqMnRB4GunSCqyna9S2XkRPYfR99xPBdXpusz9A6oFph22Mi
5jCccQ9BhPm4kbXWQ2pPzJ3MtvBYePXdemqxHyUSMZEbcRMk5cygfUyyAm5ItOkNyz6bQ17ilIEd
uioXFPNkNkLMUI0izdntfqdW0m/6KgQ436XIGdosX7Z4f15cZvvrxLSI8OM03bLfLc5Gbt/kCAEV
2L9c2XJxH0giq+j3tf4x5gI6X+dN3qPD8hvkmFz8BzOxiieWtP6zbTj6xgJb/bC9uDwZs2KvVprj
MW3dmQDCKCdUqoq9Z2dmy0jO0UfHHBqzy9AuF5HobIeSpt1zlaJ3wUd4BWP9hAQvO2tqriD1O7Fx
Ju+tKdp406WA7UjU1elrg17nNo1agr0bnPQNGAE7AsNbEDclY72uxXIhyblcl1k4ClC97qGLs31c
TPFRFgnjyNDzjqmUD3WYFZtBFF4Afb48MMvArZPUBW+Eno7gWpZHBN3MN1vXLdahN5sfYdmi+gCk
8G4o8eS14Ss4rOkWt1G5cUO6OCz/0aaYZLyB1PEYsydMUEMFyGl5f3x/PsHGZPKa6/Ihq8Z2XbbZ
QVDOPpYkJgYTTdTZnwvIeTRP4lK7fhUw9/vpdfWLY86nKGJh5BnyWDYFSxvTi4YAK4D5EbekD3V5
cRdNO8WrBd4zWfXspDHnlkerUgNu0QxNiCP1JrHs5i0nEfgCU5RYxcJGKtuyqDZZPnT3I91o1o2a
8l0EMyewjQRZx51zVpgN/LqsZwCgh9mGABmxl41BKjxyTI/5fSWvt9wc1Y6dpHka7PGrbi1mPV1E
EEkyMdrLWUU+cG7h6ejEfERPQLSkH+mXsY/0g1eGU+AP3vKExDLfLknISMq3yqeG4uJp6ud7ykNR
f5tBgxCuPujxpOFvYMq0vN9Ki/Bt7DKySxeaUibSYZPx5i/NlfWS/14m+bypk4qpAWbtTVYi45dk
DB7SSVaHInbtRytRyYMoOwblS5xjtp1Ef2M2AJBmYp8Mm6cEX8MgErmDpU6IrJ0PK5s059nSMTXU
8jQsM/bdOdM5uq3kbi51/J8YUh2iO63oJ0NCaoj0PoqCcfaY0IQXNALwKb3+4z4KejdDVFkYBcz+
2xIq+43pRvINfdpyZbYhthARkIi3fvoVG471NGvF5iCs8hdMIfGWtQDtfWnMK+HX7rM0LXMfD41c
256Kn8aI9fm6dob82Mdp9puA3PG55HplMTOH18ZvpEQ7kRcBxjtna5BWcBwKIXZNx11D81yatzyf
p2+MWdSFlRXZAhWZ8TzyTndlY+A8FwMNuFHN2XNWGT/SrvV2quX+HPLwGEfY0GIh22vUaOtTEjOP
WYV3ZlVWPXYJNzEQBhFY3zeLjYWFNEjGM+MTYYYUgPY0tDCV3Hq3tAwyYKRDFPBt67eNe/+EQqfG
RWoMLX1tOMQ3RXFAmqwOj0XFezi1TcFjS6tP68y0gG2U/TRVXfiU+n61jRACvJRh8sztSs0j6aW5
fkXQFi5RFFOcnbos169qipdg7omHcgxMDSubsnZDjZy9+yleylVjhPHH6LjM3Pw8nRg7MN8mhI+9
kJEY2c41hXPqbLV8lnWi9l7M9q7rCwG6V7LHSxuuK3Z9z0zD+gAH/l3dd5+915CcfiOumddeFcnn
hZDMwzgPOdGDMxxoO/GPdTYpZhpsYnhVm1XvkHk0E2zFXGFWhgVWG84baPetW+gHsp0eiwX/e5r3
427wQ2+HmoyaM0qMfcnq5rkbdU3H3MnAdBoyWDvPmiRN5ez9XgwluSmW8jUD5kwt2Ildkiuis8cp
fGjTob06YZcdY4s/f7QgFFxlrgPbI7e+OHCMyxjO4IBVbnjGSuY5Z9D/RSuWpqmdz7t4nLBp5171
JZsq3GoZ5t/yfr6jvJAMv6qc/YdEfXUbyzD9nvnd+CAFSxfmtIhhMwA5nEhp+fjvIvD/aSX8/6ps
I/MOePrvtPD7If1sP/u/FcHj0fvzVX908K7zFxp3ASMJRwKV4Z3C90cHr7y/LCKO8EVYmKpwEWJz
+Q8dvI143rKlINzDRkIsFV/UMbsix8g2/0IcLzyIRNhFLd9y/hUp/N1J8zd+JITKd/05RQ0BjzZc
lX/Qn/s24rUu1+62l6gmVuip5vfYVvpfM0vybTxU+6BEfBeTK/anv5e5d+RypAzf1FY52fh9NA1v
x9ER0S302biPyMD8JyYcC3fBP/zFPEXqqoNLFGQTxIu//44+MaKcuiGdpXVX3ZE6m8frAWv23dsr
cH2pInn2WA4HfQh8cjKJYW74qu/lLKy92fjpsVOxOFoN6Q/2MqRHRlXTBUfy8m/kncly40jWpV+l
H6BRjckx/NbWC84URQ3UEJI2sIiQwjHDMTocT98fsxaVGfVblvW6N2mRGUqRBAF3v/ee851bZy7U
fzCa/27h+eMK8ZX7Ar+5HWJg+ev7zUOrMBjDwi3isupT0ylY9yHeXEr2mmEgKpQVdKlAr7Ko+ewa
e/mkj6tfQcgQnTM2/i85jsVLTRY6Y3RKwD/d1A//vCH+x5/irn43AP7z7dEyQsDowSeIuB//7DAi
l9FmNzHBduTUd84Wh0FjJq7a9V6nHNnmEK+wo5pTOXjzFsO+JAQJsRXvGfDJDK7QRcN2b2ZG5446
2qn1OLOhgJenQZ5ecyGKdxwSMCYSv3tArtP8GKVT7CvTqsvff5Y/DFh/vecj/B88Qq7ncay8GlP+
/FmibCG+FNX0Vo1lemtEF631PLtyM6sopQxnEb3O38TWAk7+WQeaPnxZ1XGB/g+p8hzE1uM4z8N7
4E+etUL5cVsVlnibHTA5vTiHHWBBTqvENyGEpD4cp+PQpITLyfxdiasSLxFvsRi8u8Ea13Vt7iNE
pAeFJvBYdGCTnapub1EdL9SuSC1JrsicZJdWaDRyIDDb0TC/dUvtnTtlp59R0El8pKOnTgI6wXlg
uCM5Rbj2qatsemEMyaGENICc3/7+Wv7x4P52LdmQhe+FmK28IPjtMUOu0BeiN2LrJF513+Dbgx2p
7asQbo+f+ZeV6/l+NGD819WMxeQwdqX+xQSw++GrdkDnq2HqumyfR/jnJaIjehfYyFGYQW5UDxxD
GVui1JxPUlXmMx618zSqhMZ+OVswkwp5qxZGI9D42eGMtOfbqBjz3UAKzH+4cVhZ/21N4cm8Lu7Y
mQSPwl9vHBWhjSJSOtj2RTvd4dAhr5dL66PKbroH6rt41zqOixqmXPBSRvLEId7WK3BB6AMWP3oR
PSCNTkv7599/D9fL/NvXEF2fUThJUFQxNf31nZXSVPCwsJdojJVrr2t+pRPSz4GBUzhPN3//Yv/N
ZQAJAoLDBmSJjeo3t2HD/kBxPIgtWL7wzW5Mc32K8/9gH7++5X/7SH96ld+e0jKC8N17TNALL8u+
bMx1t4jnLUVHsDa7v/9Ev7mCr1cOExZ7NDtq5MF++evl45bMlXJbPB7Cc0/w1pZPqHrBrd959sWd
e5bdutFYM6A31A8xAcmbv38D/80lhVMFwSli/ff541/fQGNpodpUCFxm4fQKApUpV0Kz4e9fxb3+
mj9fUzy1HBwQqbGEuzYeuL++jMuSGzFw4RAsuou6ogMqG+tHNj3OZFbG2f1c0zSf9edVgwzR0Lqn
SkTFuTSAtD1tNvGIQHtI/YaRl9J7ejDDSsyX3lXtujAp0fWZpF0zpkdQru61wlo6Kp/2K5f/CZrz
+/0BbZJCnb0Sdu71XPWbk3vxF5Jbgi7ctmw762TMSIkxDAuWgML176/bv102kKLXjQ9TFKZBDIN/
vWzpkrhlOFoxytZA3iSmsA7MNq9+8brceX2CJy904v/wohwFf3+qMUmy3nBcYmUFZPv716Xxl7gV
wTzbqdTPDLCarSepQGJSI988BibBCkjUxZLZsZP6nZytfBdq437PpetA7E9PnH2uA/Jw5SXBQ68I
QWFxa/dZp/ZYd+i3JNl74vbvDUaNzNb0MyM0DegV3VVbDkgz9HwUxQTJLezthzjQSDyqchVnhoLF
EiXWQdvYu47RDC6ihFKG0AV0FOUunDXDu4TsH09VjxA4yOgBgsADdDGIxFj0j4UfPcm4Ge8XwD5q
+YSg1d/XSyU2tRDyrW+s8d5qc3enUX5skiV3ViRSVKuuD/N9SV+W1m9b5u+EiTmbeczqdB3P/fTp
lnG391M/Rq48eP77nLnkzdvVs1LTQxftRz4n/jPnZ5KBdREJkpvMktUHODfGcUMpup1oC/AFWYxt
EFng2jVddee3efHgzAHieJfkEhyYSG+cbnS/eq+IznRU+13m0H1KsgLmH3ScZIsIGqd+wi71wRRd
b7O+Rkibm7UqgydBn2UztB4a7XpkeLmG8GhORKD7j0k6teswM9sZz0mMrYH28rJ3S++AoWAkcMPM
/oZOT/zLaO+20ONzO41fOafL18xtih3Si2obR9O3KmVQVs39rh8HfEhu67y2OaFDU9GJCKN4A1vH
lCgQ4wXwgtc+YrN5neUYnSfq0cOgOuxyo6RgLCJ69441TPfdvMx7ZynFA7Lo6rPu+drGLoL3l6Ty
V4T0cS+vYiO7jdQjFhLnrW5V+U1n3r7Oh2ZgBDdHDw1e9EerKEfmPNJOBZOk1tDFnMxLKZfh0UvM
iLo7B29gdebZShO1R+Zb3FmqlYdl7qxLwUHrbszb63jftTdOW4W8cqAY5qJbouVkb0c/cr5bCQPt
hgbundsxhEv59vBMVcNjOpY/0BgYEqX4hNoW1r5Lpgdb+vulecajDMS3MvdtYs4JALd9bucaS0vR
/EwSJ31ubG7J1hszDuCRs4nawrmxoB3Cs2iHDRxSdFOzFI9hy4CZaAKIbURlIEPo6l+g8OadNfnm
pqKbc1+L6AvJ8Htt2wlCTIfQK3KVsvlb2IfNwZcacb+JKds9pjBjnyJU0Awn8bR961T/TcWAW1eD
cLofJaCYVxkVwQHXUrWPPdNscaq46KN1f9tVndh0cRcccnpYu86K5FZ4vClwpfWr39XWOeNdbZSD
uKwr6gsr7Hxoq1YjU/KCLT8l926obxErfHlCopKfA/roMRaD2vZmXBQpP0CIyxP+xohG52Qhdo+i
+wSK5NZpCFPzoOz1kWguZaeDezGyKvAMLhvGw9OxrMTDomzvcUwrvhPC/epN2uvxxnd6zUM1pLs0
1no9gnaY3UbdAo5NyYZjVvyHaF4kS/oyeClyfU8tJ9tu+YBN26+ZUOY7iACGDQKZjnDS/Hs/1uPt
JIW+y5aEBi187DNxiOiAFfl3aZnTKs7eW1xiOyTn9YaGFl0jGyTshEF1tqr8rikgwBgSfn56Oh9X
OmrzDQMdKDKFbB9cq2KYk1DaBTuv8l+9pCW3x5N5t03TeuOExb012ONFJgZFMZFTHoBE/L1JUdR8
YlU8evZMp8dk7ifCwfKippyTfqQXf5/3LtEJtJjyzdwF951LuHyt6L3hTntyMGSI2oeXPibMjsMR
FKQatyACf9RTe0odgXmn+FFnfrDK6snfaxW4+86yn5oCyiFJcedaTBBLxyZvV8JW/duwIFFVra6T
D0l5RnRQUoU7k5uB6nrpToMz4FwEskgwh7wbUUyvB1c7yFG9BRlAM19jgroRJUlc09Pqa/9q1b66
SZIbjh142PO8ODWeNT1YTtbuMrsGGdo06kYEfXPxg/YxLdDdNdjfv2d+13xfOru4AjayV4ZaiH5m
P7vNks574103W4ZIAutnVu4xdi17lEOM9MHT3rQRXeqQbLpL50JtoleOcgFrKePnnHKwNJDzZVMd
lScyln7RMrIo7HOp1bgbWhbvPOseO+dXkdJHWJGQ2T9HQ1ijH0rVg6tLcwlkEZ1UV5pTuIT5yfY9
g2ZhSL4BlzRvIzLIdeyWzgV6H4HBRD4di9TN9343ZB9RIxbaz327m9oofFPSto9ZGjc3uSfZblPz
YAdFupkLTz7Q2Rm2Np8WsqwRp4FW5G3ijQLUy2Q/u3aaPSLA8Y5dr6NbP5YjsoFcnqcq4k99PN0x
e/1UVctcXxA7hWfdPnCLbnHh/Ygqke7qkvPiKuyuq0uMbw7hreLcv4SBOfa+R2Rxd0MQJF6nbdUH
9b0uM4Q4ao6GtaMCGAJjFJ4RYTSXYcnEp8ja6o0puAAY6b+axBebBgUGJwMUZ0JPXUxwyZDvQRMy
CfSDCut/G7CG+fhXQsvboKpD3mF17ZMlJjzv81LG0y5UDChaj663bVColg4GvMUnWQbWS2cp0rUC
/8jMfznWkf0t8ofwgQHRBP2HzIM6RoayZO0nIEsHr2TncQIuu/qp7sY7q/ew9vm/6qi7gTYjH0QR
B2T9wZW/iquOaBjsZxlmAt09KWa0o869REMvkzUHtWTXJZVG+eaYdDtZTnyvcd7eD0MvGeVCFMMq
njm72K+DdBX2U3fne3HyGnahcyHNyT67g1Y36APm8zzP/WdPQgfDzjZNn3XNm7EwLH15sx3/jHAk
3RQZxjwXZCiqAzB2Hao4h2mMsndo8DxURLNnvrtxH95WU2+slfSaetvFYX1RwJBwtufTV6lnhpS5
ZykChSMmsQgs1ApXrPNiJZxJ4C/EYIsE+/VE+4eczwAygq8VGptobJNnXzkjX/41aLjXldyb1mNW
2ydtoEimQuiUkaX52oh4fuvCpcRG35dDh6M6TZJtjpQoANqVx3codqedW2Df9CiGGFcllniXLVtQ
qOh2B+4YkottMcQpNHN4rav4DNZB8eaJjmdctABXhb/bItGFaXE/FzQoEcz16l6ZtD/nU36pguWH
H+bfxsofUcwY94bcTXkYx+VtXNBq9EvVrgkF7CAtL80WhVa9iq7bje3C0WMiBUeZFhHmyCpA319G
463rdc4ONHe6A6HAWMUKaySAxK8fp1TvULBt8opISXbXDCVMhc6qN3V+Qv+tXkmnOo3J5+KHl0i7
z100fXfalPA5+SGK/o05iH+osN48EiEPBtauw7VvV+FtOeG52pB3W20a0GodShPG0JWtOox08XKo
SmsE9Fu6nJMiUaNu7oYnqy+KjdNEHiZh5Y53xLZJ0mcCIb7DxCJWi7cwPrSJkI9lPD8lc+UdGr+u
32cM4Q1QSwY/tJb010TS9dMCQ2tv5sba1lhhsJMbGa3QcJjPcYwmmq9IBSRkc4KnvCsPzova9dA1
j5HM9WGyHfnOdAtNgTPCrGhkDW4gRgpVqMegoOGywjqGeArjzDEUtX5F8MCmE0WT12JqRWQbNAs1
q50h28Bym/3i/8EP0FULsnaDQnXNMSb10Zf11k2ho3zL+b+/D8s4S7c+rdZt58bVLYgKS4CcR5OE
OijcY5keWHL9xsNo5Vo74n+jJwuqHfJnmoYv6WIa5i4heg4va/b4zGIebob1BNGSk5gsj06u1xPK
pk9SDJfd7IHH5hl2t8YjyQUt3/KAD3PczmEMlmJGd4fhLLLOduolhNLNXXEu0za57zh8bEVa1BjB
ymY/JsQbZmD1T5WMXsrJvsHc3PxYRplhvQMl4k9W87QINISjGsxjdk2F7Ks4eLxC0T5SUcaXEeX8
GZ5UsuJXyp/XpfCjkk36NOoK6xqHXOfU4VFhhmjFL+EyDM8hTlzMGEP2k4WlvGMINb9o22SkkSC0
hUve1x/a1Hhf6rQ4pBKhUzlk8s5ZZPs4dTMG31x5RyXHAUJxhfnWQryfqTG5Vy7qAFXSe9FBlJ0q
DmzfqjjzkA2NVyOxJIto204+wXHVHB/aKZwYyo8pQs5eYtXz6QzOlqlumnjqARU0un+0+zSknbJ0
5oDGBVZNOQRf2oH0v1ryOnvE2qce2yg3cAYsDckVVx0BcCXVJBJbmrKrGsrlrs2j+oDfM//W91X3
3uZA8raezeCApPfFjgnE0fnLCCkS6btxtj7kOrBiVUVhQ56hDUBmSu+sAMuWI+DQTAnBQpYHuzc3
affANgmS3FuIDGQjlgwiI/NqOXX9wjAUEkUZCcwkhEksbT3cFeH8iLox5OafChgOfARrpUj4+cW/
+sFaA8jttgwgwY3EyCg1tVUkLlYqsw0DV04hpBr66xab24szODRMbZvzHX/d/ixVgjBhmdx7Z6rw
FlkceLDdWtN3kSY5yDRSx7YJXORp3dS+zi5emg77svU47FqLGXER+z0rgzRoVPAcgF+bLYoqLEds
6gZ8TlAdCs+yvdcqSfpfk5sjQHDpHNY3BDMHiAZGI/QpNlngrpbECQ1xooidN5ykLeseTNwQnRzc
KAjXhXgbq7k6qCXyLuXi4RmyshapLkYBOIogciHLLEJdk0YrfT+AYGApWJZxRliaxemugheKCmji
cAtzR21B7hiX+EU7IfIZQcoW/XO+rIRurePciuZceHH/kk2EH2nLDla6vRrmrGj+tah4gajk+vpm
sZrqh3DUBDK/ZIs07LDYY/Tk3cIhW765td//SukDne1FWJ989PZ9THQPdoMUzxu2QpYBvhvins1Y
Rd2diKS565sgUqtoXMrdJCb7lm6YZD2fCCzcIJrKNm3SqPsM6exdY4v8g9KScjHUbQTgtUMZ5bJw
f2uBwhbbyNOnfEijhhxzq4ZhogP13rdQ2EvlJ2+MlHiupjKj0Muap3rCsZdcDdM77E0/SpcGlAZd
6Q8+wxP6mft8Wm6KgtzrZaEFht7KkpfMhOXzPM7DziMk5aTSyLkvREFwY46yCevUVPc7Uy/DEdaF
u1VWRlw2jqTum5cH0yFn+3qV+C0GVvg0yPkkTn/TLXnxveG4tNW6GQ48qvLURqPzoPrcClbsgHWE
MQDH0nq4xhpjgTYJOrgwZZecJ5IYHYfCgGr4hyvaiPCqRZ7caf7CIPbV9daLTQlwVd44Ryis8yaC
HLrzNUtoAyvwtVNS3kSxim9zX2ZfU1hJcmWbzNzR2WJnqDhYY4l0wxEtvUMbtMsQNczEFPaxTiBg
hN6v3hW6/3l9CYT1CKvjy5z6qdgG7mQXwKYySvuAcSbgJc9AaSAaBA4oH64xCSX48ootGtBWsegf
mYU4fj1F83A/JyEohEGcB9ZgSChLssmGGRFlXHjjCcTfcuxg8MD4Mu82vwUJI95nUoXDYh8MBjEl
S8QMw2r5iEb6cHIPTP897CJ9b7eh99bz0W8itmF0wvVwZMbVbOkuea/sTig8UlKY88SIOwtFGCaQ
PF/pssCW6izntK7aUxx00zoZWvVpypl2WzVaJFxR61rkNCHQ1kOCJtGEBMmOPAeWI449R1qEoWxW
GnYrW/JQuPM+6BZrD/QIJ3l3TY6Qo6vueteqYRZ04bEJXYnCgfCdJxV1wU9aGXjYAffjurRy3HFO
f6mSLn1wrhgDUIcoCIPROyfJuB6IUNiawJBNjkPUHPjGB1SQrs/QNUIPO6bxqZniN2154WsKaQnK
Zke6fLQ4tGareSPYe0kdQ48WTWOwiTiuvE1OkJ8qUVVrDgeKqNoJN+bUwuKNY32edVRAxbYts429
lGldTX31GBqqYn/S06kL4+yn7MiuUpDS1p5gjFZksn6pSCt8lnJcLlhsw1fm9Q0lUZZUycof0T5F
0m7WJT4UtIH1EL1GxOXQgy3dp8HUMfUsRhBKIDiZCznEyvMiEJlkY/RtMdVrv+ZWif25yvYYvvs9
23Rur7LQ1sgxBYaLOPUlxy0zfbCMtgPlr8D6Ejeao31Cps+RKXSEOrtvVbXrs3C84FayD5ggk4bV
NGo1ZZebId4SmsA50ivu2qZJbiI0//u0gSagtQhuSbxvD5rkbNT5S77BekcN1F+xLEmuHrK5eejR
XL04M0btzv3ImuB7XMZiJUjAxfoXkMESpMs1JLcL1nj6zsGYiIOUqX1RjfDWCGGim8ro8pz1xXOd
xi5ZoFP6q3Vc5ynsfB/2XpMcM44gW6udnkAwkKyTBPqiK20f4B8UdzM7KSP1etvLfLwk1iKfgqWq
9v3QBTtyYJsVDV3vrGt/3ItADbuxx1LDMOQd1659Ilve2s9JdSSsJdyPPrdRng6/BqqVT4PVCUPX
vB7NiB0A2Sn5fIrQClUdIaUgiO/gaYZpT28oCaGowU2Q+PWX9HkYx93CPNZra75jZl1b2/Q//b5a
TlJr7z4ahw4BGygQtbJYSQlBHPc+gbTY4G2rJSUQF6kr7lts9Kt2IPdn3Qk8tbkJVQq8IgfaYrfl
KUJEtihrG+c1UilrfK9i8YmwTe5HCwagqTH+YPUJHke7Wzd9cOsuw8FS1HfNAHCia9N7er8Ns4Nq
j1r/sbGE/SNVgDDwygJ70RVIEbRoJxpgL0Xs01awwzWDh7WbZTT7plEdvS5DBJ/71BJz+emBbVgX
XvexLPKWmBZHrmTWoNVFK4isTUUu24EFUQnXkSAr4IiPoccIGrfkSg81kyyOHuFJWMiAu4UCOShN
uGo8YIeRU+U0KSknBGiujxoT4KmayOXzmoCifZx3kjV3Y4cSh2OZ4VPBgPcUtJLoZ8giabfSlhvs
fJMPh9IY5dNraRDbWlmB7LtyxHs3gVX6nvAfeDw77PIbcjCePfR+1FoT3bbCoOLmub3mxgfbJQK/
uGNAQSujy8xjYvnJEx5h5JdjDBc4jNxjLDzAC6170wo3Y4A5aW0OOJGz70mYsCuGObcUMVpN/mxl
S87I0fHS+LtEUCpWjvBCTLiplZyCjPpkLfFU6/c4zovHWIbCA8cR5eXajMxHGNBityDoFWw/FGrd
wmQywYAqXbIfEiafXtfTOGhXEEIuuZ6Kp3HwWW1ZN/CP5Qs9TSw5Ah1IFoTvqi7H76ZxxSe+OeTQ
fjxW2Pc5N/fUdWu3mUsg14OLlcA4w4FUn3pd2nzVFIMT1WIC8OQxsro3GsXdFgU5dvt5CG/CQNDD
t0I0uINgtSrvIMhAhlXtvZcjpqzUd0BaKFoDfS/Y32UD/s+S2C8H68l3tEF/iefiUXAgOXPHpe/E
M7dUxO1K99IGcOB8dmK+koVddSinNmO6BIyzyuM9DLEPkEEX0c5vKP/mAScUxwzcne1xRogsI4CI
gEVwDHke6ckwq9ZVRrNRCvcqsnHGC3t3zQ5Z0CXLS1UhZr+6ZwZE5nJVLlP1tUygazrf69cce451
nULbDVHCRj75sTU6lgQxaK+f4qYeXuQ1JX7OPJrU4HrucgQMdlmcr4ajLQAMZwPAhSZF3yTJG/UC
ti9UaaB50EQfJzyVH5mT95iFgHaelqG3JYrQ4poVBdoLJymbbjVKljxgT/QLTC7jg7GdESUoZR7r
T9Xc2WUtnlodOxy06J9mtsVwROTvvbScvZlYcemtzuesEd3GTeblzYRUbdWaURadjYCb5T7oqjeN
kPoRG2Qid/3gmQ+wRsVh5HR89qGNvJl2cWh+MdbjSLSIdZOb2D7PQKzhU4ZcBvRgVr6vepnce7SG
flKbUoUseXKXTbKmUcH140paaehsE+GUL5Rw2abvuj3W9LWucHz7oJMYU0zFSzW0h25UoAcr/Tr0
VcsVlC8MkPcK3i0hfonZjkvXr21jUO2jWabHnVvYWhgpsq5kL0MTohKPMMQI3OS0rwK7+1Uv2R1O
GUwxmSFStSOVtmy2QaHZsmnkrxcoQCdcNOBC4DMAzU6xGrhK7pDKgzBpUMMEG19kP9zRFQpRo9KH
ivrzza5jequB3x4x4LefWC5tdFAuN4jOOlz0VRtPT6Vw3HndOkNxwBlB1YDa+BZGLv47OA/dfqRZ
F69t/2pU0mG7muoARFxb3A0hBMd+UtkNkxNGDnC6DnMXY1jubIJTVghwl8syZ/UB4ZkmaTqN3ENU
2GWJ3gI1vWvy/C1nVfy5OB3UNsQ1T4FKJvrEs8J3tvgsYSKcHoaCsdmEvnnLumGdysyFgx21jX/s
3Mmv1wEC9TvNOeZmMokcGKEpn2laOiMNXsqGh30g4HKjBy752nLH16LHvB9FS7TNYMzudeSQqxoD
2Qixka10KqDzc4ICSTK4Zyo4gkI6porTpm2Xx1p99gQpfzXFbK27cLRui+uJVy9udkGv19x5+JPX
TVXmDzm0/gOPkvdwlfS/+qkbbqPYEhtYJDX1nhiIj+9duO/Qf/08Z91Ck3+LzolwxHDi7Jy0+sSK
O2OggdczskrvAw+BP5jO62SsTZxvJe2Gm4Qp0IbcrHRTZ15wGZc4O4N3EUQJhPBh6OqxeRT57G1G
7JmrVBOUXqZ4E+kheRsbIOJKFdbw1mWpeHK4Px9TRfrFKL2BvsPSXARSrVXDHGrNztNvchZZGlST
f7TBuV/ZKCbbRIWonrJKFfuxD4ZvbcJa1xCIBKOhRtm2MnbOJ64s7JXrsobxoWQ4oMdu0p9wz913
MUXZvXEJJ2acaK1dhIrgLzyxjsIYFJAtwT8WZUMopGdOOJLYcmQz8e3opo2+W9p6x4L8JafQOxPH
9MANRbeebtK6Kof8IbWcioSuvLtWDj4swLt4YXS9V1S9475h8UzXaddPB27rluOjR8tUV1GKNSmT
L2Fr9+a6EZF0g5zezJg2whDJwBLf1pODJDusup8u3iqPnnsSesN9a1XmiJMsXBeFhddl0DnymRS/
7iP2YvXE3ZV9K2rlvOFmLTdB2EuS+4TcJU2y3Ad1U67bcKS+TAyhoUPp2G+oLoeXAlzjxo8qPE75
4oA17FziSaJAfsXYXjcqsYttHCzmCTuDuq1BVezYLUri4Lv+pp5tRT1qTy7jF+ePKnlcz17dniwY
QBtXluUN8X8QVq4Eqese4q2XMjK73p+WOxotAF/TwvpeSBm8kmgU3dQUSYfeSnv6sGG6h5qQ7aBe
bEt3Hj+tuHWPmXYTZxW6OijXqZPdYseeH7gjS47UfvfeBFP+04tLeumpXJ6ItZn0ylDvqI1hfIyC
YUPXeIW+kX/iZJyeDZlEAGrDGraCPQ39kzNX/Z1fNK24s6MaqLRxarRLlh63glrrgHuKCTqhtQ/G
S7H5WEHlwMNIy60KBjQqjqKrB7/xGcuUe5eqhoOIE9K0KV3N88yjp2TPEDNaype0q5CQgK5kCtqc
rcZ6CWvry0Pa+Vwpq700o5/srGbOrqfaKzgry15tq5vuIcmEzxCcpotlJtLb8kdNq3Xn+vn4VsCK
fBCON79hoBi2OUKUk9dAXx3DZHxjWXkLitI7G+t6PtBVcecVvnuqy97elxiCHuSQFetETMXnNCX9
rtWuve6qKaNUsVkdEFgdqA0zuW6VCzEB+Yc4lmHf7qcuWt4r2QLuGCAM/sSbznmsV7a1Kjknn/JM
yE1N/suh9etq08NRW0s8/+vWv0oj6jFiaZLqWBHVtuNYuO+8cLxRGHLAOTjOm4hLQAsR76rC6V45
jzRbsxOgWm9Hzzbnt4bzrlF2cZTgXB9U2PbbijQleEl1dBodWhp5/UvTrwlm9owyGec9x2hs+Mbz
4QPnqb1O+rw+tGCt6LDI9yhNP1EpfUV0W8GGhrsscXZQW7J12wf5XrXNF7BdGEsBTo+sK1dXu5kq
jL9Jq+lWdvJWhw0eZZadeQk3M5wjsKjGZm6cbnlk16PjQw4OnWM5qSfTOwcUQ+sQU/nB5NAOhYbO
JJgKDSs9M8iKRto9VY+3zLUOC952kmMOY25u/ZbutwEhf6HV5R963H07f5DokdVCmhjT/fwjVKYD
rizzcxRmxZPL/OtZ1FSMzZLRCq8aZ/8/lwYCVsfoHoD3IL+DQPXPlMD2bolkAYc761/+UMz9f+wF
oV5EihcjDfxf/+d//5z/S341/xaM8Nwxrei+/9kM8q//7Z9ukNj9By4Qbms78mJUxNeIg3+6QWLn
H8SWxy4id/6e9AMEr/9ygwiBmyEmXtuPAmbD/3KDuP+IEeL6kUDObtMdjP6f3CDBVQH6J4UoEVIe
CSL8wiAAfYMx5K9SR9qKzFR9ZzyAnWb9KgbA7zo6VHSbmcLNb1FAa26aU25iyEzIpIav2XW/AZN7
q8LSviQ4tbei1Z8DtfSqGKoRXUYwbiywwRRhbf1UKLs/hZNkfgK/D3IfZ1yYw4+BsooNbvv0UNNX
X0mp7kKFA7un5udUJ96aWLW7YDQXDMZflSofHFPDoJUCZHCc+wBhrE9fendM710aQVb7kTat5IQ2
zYfBGJrE4jpWa+T0kfXlgZjW2668jnMHXYUMsuWDtJJ4k7kEltmtoW/gQXRVGAhOOP2WGyjVwW1a
U7atVMjJlSAc85rE8pl64zuxAG+FPXBwnVgkzxar5zaH3M6MgQ5OSh9nxYiAIs7kYDIL/1YFznx0
CzAZS2KaDS5wLO8t3uQY1IOZMWALZ/zljPFdb+AjOCyaj5zTbTir6TZt+2JvekrvGk/XOcybmH5q
n/zwyCw9BPRDb1I0uWgAoBMgXA6xFXAEtEu8yENgPro5TvFoLu1a6alfu0zO14rR7I8Rb8M5CSb7
GKMIWmUcSDYo/fzzUnQjNU3zlTuD3rNnh/cdJvudlhAvxxzRu2M3EbsGRIoirVFCxW1301aze4n6
5VMpejMch1skImPx5jXmjRInXWsOhVT19BhZ/ljuinGrGpICaL/Q6Z7KX1kdFYfwD+oRwOFg4sfJ
/jEp7tlw2E6VfdOEMJT5qfLAxDs9ZQwfsiB45tiY30Q2XShQ9WABkq7fQMkrtjQ6JWlA8v9SdyY7
kiPbtf0VQXMrkDS2gN4D5L1HhId7NBlNTohoMtn3RtLIr3+LoVtPlSWp7tVAA00KSGRltO5GO/vs
vXZOVjaGp4WOg2wRyO2YcEFRtf1tWd1vPe5ZJ655z7xegx/aKHHaiLK4nVlUbAoFSWqou8dQgIWa
NEtrXXCF7p7Smc6vwRigCpYSE7cAns6F6kB2nbVYrbeZ8lgHpLLbFX2lnoyIZ4fj+vfDFDxyf7mU
KA4w7n0MFjHmrG4oJM7MwQj2WECi8JSCQmz3BUVvR7KY7CwipOiL7cI9M/FDALfP8nOAyWJbsZk8
FokJxZjX4DlS3XAVkrelzDue6EqIOc6Cbj+r+tQDRGZQz1t5TZ9vet+ltr+3agzcsNqfTEL+D0VQ
RFdsZ40DPi/y9bb7zSQHus+SoXjK0yxZ86satqMz8ZDNUqVXQS/C17YCExdmVnMDmS+6mqeRK3k4
eLZEYmqtTR+2P6q6LTeILcg/3JVv3cLWdxGa06bWdrbVYy/XqnOvCLLJs9Gy1QEqBTcnGJO70SS0
NtV+fzbSmZJ3gMQfamIbqBBlXJ7SB99IFQ/v2bwLMwV+S6A9T3B9dsoIYOF2KGGQtSAJqdEf1m7t
JwdY7WW+LYj84OwzXJooRP88dYH7DT3LOzT+FD7D5qb21qAFl5Vcuk+ojDmmXjNdN56TfAuSurmJ
qsaVq9iZLTaUprgNinbeF2Ren93SejaYF3eVO63AvJcUfehLrQbrx8Da5z4B/7oRSUdPsRxcupzA
EF35MUu9oKvf4algu5BdcfYYTIilucDUkFpZFhEZx4BKoHuO8Dnl9a1o/etQFBYInZWKwDAHrKrW
TC7Vgtm51kNIL6mZyJQwfhZu6iH2ru28SC/jHNY3oanSc0xykBmtv+ndZNgXtmqeS6PHBE1N261q
pp6ddWtseiLzmMBY5AzpnH4bAr6MfJzm+zCe77TDxdDyS3MDgys51ml/x3NIUJ4agj03nOgd5NB8
MHPxGOlmIc8uwBRUiDMsFWZh6ucgx/v9prSSG8SN7L6JyCBAuWCXk9g9zhFPoHp51kpqyqun2US6
FU7AkOKIHi4E6kOY+MXeaLP2Rgu87aJoQO4UOTWEnuQUTpwfJnSnTeDm5podzR1rpg+s4/CX01Gy
taEpgsmIiukBV4fsu3n7hSUvQnTgqgyf6IHkqbh8DShqhNCTkdlWBdazT0vMOodcvKXuNDhli9lv
bQ2OTYGHjMZ3EfXIy2k5to9W7f90uvRUjD2nr3nwx9jckqU6D9IPiGazP9+kfjzeW2Pc7zD+4KQU
6b2nzfrkkbF8qglibhs2jVvS+U8ExvaMOEyOPBNQQUTwit5A3WdQf1aaFxTZz8ehAdeT6mnclLlx
O7MrxTk8rXnapd/YZVBxK0SwbpfftJ9N4U4OEfjXgqNHBeVnac3vvVd9HzyYUisxy5ixzoupKKCu
h7a65EqH0SWJm/bkG8y+kbTuEtOV6ymEZliVg7Xx+46EwVyyFk09eUBGax8jGWGhhvjIklIVB1oF
3gzBKUSjzSa0Qm7ZzvtUWofRdj4LKLasGAFLJdL5/B+5yP6X9V7cFD8qbuBQ7dX//V8UfV7urabr
ctH8r6+7/9r25dtH/Jb/p1Vg//8D/O3i6/1mmw5XVV9aLEnItPzh4rtEnqj2QkH+t9Kv3++9wW82
l17+b9JKge0teabfU9Dub65j+PSv0nrHWUGR7e/X8su/3We7P/35j/FWuYSwf7330i2GZmzbEs2I
aN+f7r0NEWRM1jGQ5yQB6MHgnp29zunVRob9QgPSfZ5ipStxGHrcM1io+2XfbCoPcDxFf+nWBWmI
8FHi7jCNTPfckhP+20HHfYWZEqBE+XpqtwJzzRXFD1Q28AA0touVLrqtHMgrBwEz6pXeB46hykxK
QHKlGUGPjsDCby2+g6dujGy0E280Vj5PVmMaoX4mvv1ezxOZlbCx4aMLBP6csxIL1noeg/EuoOxs
wSK3rGgsbUwWJvG03WOQQ9kWA1zRC9eKgRVyXbOwnhwQ6dj57TtFz1KIiMgDe4WZjedLg6UyWUm/
MH7GiVHN2ybChQzvSdj3ZRza2K2pUHiBmWz1e98Ppw8OenWpIf+jSxclhwjiM9Dg1h7e4rQjYOQ7
BcyZ2k1ebeF2hzZEuVqPlWHc6dFtN2NhuUfThFwqYUlzjU9Ly11JclGPyrWmF8A/vsJ6YuEYsYyK
57e/yM60YGXuipVbgVeFJojTEqU6jXoW15K6iH0z28l8Cw29Nx+stpLYD+2piXZ2UMvgeVAY2aaG
Des2DwxK1mf6mRaPowmWcUVpSpscG8K+xhlleCTa0MyyC3Zpjiz+2MUT+CXVgrgI3bp+sUgIbTsk
On5Y8ZGU/8InqsctH8a+JpVIBVe2BE1MrYGgFl48mGdy0xFGMY/FGYCzZmOG2HXs3tD3sEV/plND
L1uWsX+A5XckKoWhoia21bLB3oU9QiRC93yLAMkFWCZgKWab5E3GzATeizIHODYj+8ug9x5oijyO
tTBrrNVhgFTfF1s7DR+61I+YpoZnq5bpOnPLm5bXxxpE5qdZFMdyaI+jjsq9yI0COTyw1rpMk62c
VXmKLFleubxs7gsW2UeXR9c6lWjudCT43CIK+oaw9vcu7emRsGkmsNEcQ/+Ee6Y7wU/DTDQUzQ3d
Ux6/VTv+tGn+2PsoTM+Jctg5y8w59JjIsIpW3FMDNh7YBKi+8GtvK/O+umePX91SDE3PGwzI7Uxl
cLrSsRF+i3L9kClWLJOiU2nqgTU2noeXncT/KgmqkNQsyW67St8rtPmHBj/kjtUfiW6I8Ds3zO2t
XbKgMu3AXA30xyWm6k8NhdfcbmOjoaHC6R9zAgFD3e4Hbcz4HhzobC07/nMY5+zo5knBwk4g0fP0
rxxrPzTtOpqGexyGZCg9AXam/tH3FJGNJlJlaGb4GZVal2nnYTTlXQautt/E/A3m7qx8sU0w8Di1
Hu2B1z9QqUVk+szNeG/2ZXAR82z8aPEfwYqsr2vX61fm6GL4CgS+vUz/9Ep13dMIvW5GwW++hkIq
CkoDCDRHrEl6RV+70+5DSfBPJsrDaFDBoI5ZqZZdkRPhYkkxeuys88mZXwRf9y5Nw3kb53azlzId
T9zd0B19MT5kTvXg0rp2RcLOA+6S4/ceiXP6tmaElLq8a9GltjTa4AWCIAemF4/jZiq0c4hJm6Pz
iqGHRGdJY21Tb7GZcHoP0Hut6SkhaIb8F8IADbKaRZmH4E2+9kM17c+6oarN6P3mijSf3MUmwHpl
EkVxs6G4ADN0VwxL1hVEyey9onFrh62Ohq6IJP7FVizI8Nz6B14JnIRKGN3WmRr/eQys6LPOhjFZ
/eGp+ren1R+fToBC/vx0cgwDWcYxPLZQXiCX+PAf+l2BpjcxMiZmcKuD9xyaY+FuVFJN5w4r1jcc
cTZnXJUgoMgGNyK4ovKxRIHetnFufgK7CdIb0k2myfzpUMpuYdvn0sxvH9+VyWNqNEavXtMUh3xD
Y3VBkaRvxkcHG+J41nZODrDCefbUsVsiwWmUkkhg4A7ONTVS/glnZXaJ/ZgjCv5it6J1kbWQslT3
LqSFh82J3eesm2jWYw8kWbwKx1nhR/NHCtzc8RSEWXccR2/a95zv13Mk9C6Pc4ygEvnGYRpk0EH0
9y0gv5KNHW/7UD0FeBg2LquqxSgM5KzCTAOBGN+yiTGJFCrPLQV/aVXZMzbxMZinA7QEfJqrwRyH
fA+Sg+iY9o3h0BqTU9x4Nr0uBOTwbfYDErHnTVddZ9nHnHkO8L9tEDzMXJqLKgX+f+rkpZNxxB57
Ymxps12S1NgnSoghqyE1qzODMzoxnQtnR7nOMwl2iW1zMcATV9gBwcPKZtAADcgBx2TkP8R0caw7
53uZTtdDoN5wxrNhrdOV1Rn2bZ2+D0N7HwjTv6nM2Fw7gog1RUDdfWxkAZV2/OC4b2BNMhrOldEW
B+a1hCyBw4CWk6XoPdYfomSG6JNbUlxEGQzpXoYkPnh26Bx5rNBOo9z8qfVqtObOwaQwez0c+Knu
hi1EbrFimi1f0mlxvVj1O2lfZ93i1FiBwCuRCJLq3HiN+YA9/8OrbH1fMQHQiNj3t52Ci4yhNO4E
3gACe8dF3I7YEtEz+plPdv1CsRTbSB/vv70P7AEQ3VwzKHj4fvUzRUL4CAK2Fm+T5WavKizs+cEJ
ly7Iie0AINYgal5NGcW3PrvLW8Ix7vuYhuiR9dAzmeGMfx/irKPs0cWVV5rK2QfCwCMdswq0itR9
kFKoD0md/CojGvBglbpnpiEDtHdydIKcDsOTp+P21Fc9m8cwKUlpFH50b2COBS7KedOQlVsDmIs2
rq2TresK/7HJbJMdvnTfuNUydtGVHpmHEUPVVYLVmD0vtQUGxWsiux/LhqAj6AiJHbfNKLXLcphj
a5sLR7flsEMOxW5TQ3icSNfodu6bNY030W2hiE8wWaU89r153lKJ3dxPVVo882ixf/SV2x+4eqHt
IgTgu6Y5ibxkauGS8nvEiCmYOf38xIff0pvlk+uk2SmbMnlb2cXACjsIXvoOZGJS2GLXtGF0Pwu2
9qS7CU7xZWSP5jzz221YrKxmOzeuXB9TY9zYTkXVDBGkOGNpsqBm8b+GVbe1Wut1qpkWcVmMZB+m
LCVakXgvUzj+HOpeGGvTHAZaNsodHkYeXbTYOfssm/T3VmKlWIWalPmqK/3irTPi4cGsc/slxHVe
8xsd2JFGneXTf+YNtL37hfw+Zw15eJmKV1Y26T2EleCt7hr9aNq6vMHMCYpRlxZtE9zCnYOdYoze
AvKDPGdWWb/DG+h+9K6dHkCqqWYr9QzwxukzxBGTmrMR47Gavht+K25Hoy7o5AxTxDyrDLNrYafN
ye69EUOMNXwaaEMJ77nOf6b0vVWrNLCEvK4yC7NCwl77xerHCQxNrZNiXYu2Rc/hYfHqt23xgK8y
A3AX4hcGR7j2u94Wm84O8XsCE8WMNQ5Bd8Wh1+G/mQZNZVPYFBPkhtH6jh45ZQcApPH7BMc2XEOR
H051OqtVY4VFu8ozr5uvfe7YBonU6HrSHC87OSrvk6HXvAkTt7+KU4Due9gp85NqYwsxUpndwYm0
+FZ2TnxRbum/V9pUD4PJCEWbn1iGJxCAvAgi3oQYTVEU/IbXyBpWpHszI4UdE2kGzD+6GKMVzFCW
EL5tRxdFrulRGYk4Qx7isPcMOLRLGlD8VL0NOLAr0LTpqDWcW3wOcFtlLodTM4OenWMp3yPRTd2O
l3zzY1JRdjSpu8jWVdJEL6WG3bkj3Bkde+aNnxCy6KQoorzZUkyDhNUknt6GYsgG6PxZ84Q3cMYe
W+pii6kI5uTCn94GdDmzWhAdfTxZPKvrDlfBGQxfcM/Pp7wdlcmtE/fMK+FqNB5gxSWuGLomqFZr
6teCpDzWMYq52jUGGAA7ETCG1hawCwtOgE3qOHRppV7F6zGtaV207To594kVHRohO3BRLEMObZmw
H8k9SpKoJmCds47RKmnBgVRMZy1eJ1Yl3jdKsUjBjzX9jilraXvVlPiheSkk7W07aQLiLCb0ZWrH
F8swHgahmsdiaHC49bqszj3VfNVlyHR8GGbLeXNn4fFXU07SBwrUscF+s6211b1gUe5+Evj3i40Y
K/+hMnTxMNtp9IQZlydRNiCkFi3lA+vZ82PsnWaZ7bgIi1NUBfRh9rUgqxilgkyWjL+1g2tdTaVU
LfnHHCUW1Xlg1Ma/fouluj17vh4Qu5v5nkocjVnI7o6eO/ivnmnoh5brlt6YWoRHRiU32pla5seS
+yblRs1UbOaeVyc+k6nyzo2ZU89tIHzgtxomIGGjfBsoPjj2jYGdDSYWaw9vKlZ2a48B82TNDSym
thG7cyP0RbRjsYKmPn54yFufUZ2TX+xTv2gB9w3LjZVz4o1xlmwqI7y3ZkVH7q0UCPHaGT2uRen0
RN4oN1f8iINkFQRoqdi7Y8xTLDIWVjxvbFyDwyw3wqPnKZ179Wg7eWpu7FDj0DFySYY/EmChTNNu
Tj4GQmI8SNW93+sXGlnD7FyIgn4ILJecm3CVaMjjPJfXDdmK4lJneGC2GFarZK8bm3yV4dFlkAfc
iqY6XlIidCnyYs4DGg4aFX3M7dJi4ePs2voN+AhuDyQ8MPL7Le7KHLYzgbhpuhrzQURHvDxtvA3t
Ci9fwLXNoBzom8aq8sMhvHc0RFA+O04WPwXl0INRtowRt7owQTPYau/iAsB+zGpnFmX/M8O3yUQs
8U6tk6LM8bHR5bWZiGDulHbEnkdSswmyiTmO0thNYS1RRlpGMhZHnvNhe1HXs2yoncc5MPNtaTFE
RoF7Bd/L3k15Dgq6C2ZwB5Nxm6PObCyxWAfweE7rBEb0fUef+0c11xZ8YJLLuaEnntkdnmoWQIJ5
UcnkfkaU2nXsVZ/xEg63eWbrx6omlsvo2KXcZivjnHijvwnKOjx1ueFcDbzhHyfF1b8V+XSIPEos
AW2VP+Edl2fHap1HXvbchFP7ykw6SXYjVC+RGuzrwjVnsummPsSO7I99FGNMV7LcW7j7Os954E7e
3o2ebq7p77Rv4l5Whwxz7qvBb+49lCk+i8FwdgNBfNAsZnZT92Vy6TzqWgPM2nFXgDUZLXSGLrSg
gtjxt1CL/GA79ZYGYbnnbjeymhQRYUinvVG1eg2wvO2brBv3oLIhJFRNtmHfzPV09p8DDqxTGdfj
0emSDxPL2qJWZFvZpri3pcN9wOqvrDhMDm6k8uvQT62NKuNkHZk6/w69qDzNNnz5gP3wsvHsDhV+
6oNKU28jlJ/u+H66nZfQpIeBGo9ssP7rMc5cIIe/7NZZ25EgY0tr2rBD3D8RiwTHbzlykBwpx7O4
di63NF9W0S2lz/a4dngJUbDlkqOqQbntsqn3jmMhQTn8nS9E/gksBALKo4UL0iBGBBvnwJ9wjG0f
Nrog5nScWpcMV6fe40CO8109sOY4+yxq3EtGm5vc5nMxspusmP9cP1Vg0gfe37E9PI3aAhg8TFYb
7XA4o59JKALNm0tawd7YnXCeG2XllyAI+cm7Mn/xiTYgSyyCXDHSiUoZXYmLiqnxGflD7LRS8gFn
l/hoY+yc5GMx1Rmy9wCzRsmLSliocsTZp8BIEAX8gTB/G/FCSWJ911Ru6m9QYgNaqYzs2o5VuyHu
RWcI7qPzSDsGTt5W3UOqnghca3nq84jHId2UO6nzF0tWxp2iNIm8mb+2FtHSW+RLjKIomYNWnJBC
ZFa8RXJ17usv2ZMqOyRQ2E3GT4xdyAGW3XifHvzBi3ay9h5nu/nsSqNpaEHilr/Klwu7Vk5vbaKI
XWPSg8wNYsnrNP+63ZtfN31qy7n1668JIBmy6cMpW85OY/DP6decYKpKHkhl65Uivmft5dc4gZrk
viUziR9ABf5RhNa3yJn6Y63biDYvfvAZ2RCqQ4KK9dgyswxf44u/TDK4BZ2Tu0w3mILmfRhrFW/9
medzWtFAltIZ+SGX2chfpqSYNrNNWxfOnn00GuWiiK45TcR7/jVk6WXeSpfJK1hmMGuZxiaBvN0Q
UZ7WaDmMa3UAEuDBxUry6lh5/UYW02DJNympn3O34YfkVLlzq2bmy/1oQ/zmnzT1SxvWbvlJX16f
bGMIMj+VxE58+eu3ifUl+v/yhoW+xVbCciz2EyZrtl9llx7W9CBjHicJd61TLSj2qUaS6F0rsyOL
VP/Y+C0MYeqgoPC21dmHvHvDcjlhE+aO+spVUYOaRiqSJZcAuEWB9HjP1APVxkYnfcGAVw/EVGTz
YI/A5AEe2WiAyYgVU58p2sEvMXYw2kdzuDH9gpBKJ3X4UYrFHZfULq1/TXZnBQ6UHu2mV9I1H2oZ
n0srvAS5Nm8gGvQowFQeGdED73F5axTzicGMkIGA1M+JZ2D3Ra/D6guz0D3ESeMMK+VyQeXZYRyG
2ssv9PIYF1mZg42vwIkeTY/mn2hIg22kexwLlaxGtDfgybccLg2pFPhGHTcZtXHQlsGW4joato7O
syvKoQAr9GaL2bNw6/LT67tmuTBDuM8ddbEIcT/RQRBuKpnijnTmfBM0Gk6kmXvha8xW4VU7E4Uh
Y1G1O6Dy8T4pGvwztJt47CwoR6epKDqUvsNbjqyly/fXuniii3T4LMIg4PHVG+GeSbhMNppYSbqJ
rXYJ9vdDcMBxH97hMo/fC9MO9wpn4Dak7fteo4ygFICag5Y+XOWpP2I6TsxbpMWZVyWXzjwN9DUu
a/E9KKnT5MOBwxB+eZ8l6WJWhvP3zaCMea0i6a8GPCjNssmJcTb1PNJmZ9hN5CdeB8tMHrHMWgC7
ipL209mI1+SVOZr0mN7NnYKdQYv5tcMpRZgHN0zFrgHgauxdvNhMv5UGFRmrjGwb3Rf8ZK4Sadj4
GpQb3lCiZuzx4hq8r4NU3tRF9UAssd4NOQIFjimeRHPc2XeuaKPTCHqIqAeefXiXklThheaAnsT6
skQyv/ZJptI95RJfeyZjWTm1qLqLD3TZRIUk9wikJlOabfE+vJtfW6uA/ZX1tcnqpCN3FG56T/nX
pqu0BKnPKhmZPhNOb5oD3Kx+xcmdJwcosWZ0O9c1MdvlOfZp9yPBUqktHzjTsm1LgWxjVm9xjqyY
DKR7SuCiU986p6SHHfPYWI3iXt3YSxKAvpRlk51m6SH1XRpnJgQMIFkEo64lJahYg780Xb3Iu5lj
voA1g52moscsSF6SdnmDAO+ZtJdcNeE8U8AWeLvarPrlq+52DovWax2zIupE5RywkXZvf31Q/YmE
6C9QXl9ySNm495ZI36/HFImaPkMS9Y5B5NxGwZm+vZt6uPv6JP8tR+c/tuV+rGBFFv+yfOR/X33/
+kd2s3/7xIuH8pc/0IcCpuOu/9FO9z+6Ple/r3GX//Mf/ct/+vH1UR6n+sf/+ee3zyIpNwlWheRD
/dGbaZn2X9o5/7Xr3or/+A/+ts92fzNMadH4wAvO9bBm/r7P9oPf4KrwsdkmU5f+9Te/L7S93wJI
jiQqXP4xqFEuZr8vtO3fTI5p7Bmm5xCu42H0+3f+Dyy0WS7/ctnkmmMYLLRNWh8DCJnyizf9x5VB
zIo4FvCL8N9UeBW1wEnSszcBr1T1fQklf84vfhLGYBOxr5frIZoUjhiVUsMegyHtVi0LiXaDx9Pc
QU6anZUsQE1T0NiHyb6aUJZ9RsQtD1b7xwQfblwJsMdXTJt9Tj57sSQFQ3KEGbdNnbK72Elp3QWd
6d5G1uSyLhLljbaC5IixTZ96y37w7bpb8xNkuK7NdlNVljqx7dp1fk2gZEy3jiuvgGusvbrvN3M7
zmugn/CRl76BufWrncfRtrG5XWylQ3d61QSnMBLm7SC6aG/P8ffSTJLrycohmorBXc+AsHZEgj/p
SXDgUnYfPKP9fVZzyKsOn1mvw+lIaEfdzZyQqAwAlwOs5FDZ4BKgHb95WvgEmIx2l/Y1IaKAz+kn
7g9sbiYOKf059/Q+M/bxLErFrYvvCLbEOzVbRxHJjSrCZ91gMm3yG0KZGzX1V4UNkDM2sMR5jfiw
Kx94kJafeV7vO7aSq8ydCCGzTrFG+RgF8cBpmc5bJ0vCDRiXCidp+gyCQm+V573w7L5JW5Mwu7cZ
u7FdJ73mgRs1/nItGa6JXrUrqzGviqKa9lNi77VgK8Kb85K1NSyQWXeshCM6ryE9vU+j+ArhG3ez
dC1CC45Fzbfdfy86C1WRsEb0YYXQfuJU8xF6iYveHO2Ptu3FPu8b/8xw6F1L7U4/20AhdqCIN6uq
A4BEUGq8aePsjNaY/LTbkfbvqcYsuCB1oNyw0kxyxZoNwAjdCPdmE1xlvSrWkDcpwJhFK8908YQ0
KfiXrMJEOLrzvR9Xd5ln7EU0epe5SBgieZRcJ41yqYjJQusSDKgAiTN95E6qd77Ivxdgu0+d5x6F
lc8GKkOXMTsAV/OQy6+1gUjTuP5O4magLljOaygb07XKvLMpbOdeMeGbN4ypECyXrvaGa61IaGC2
swKOXEG1zxrESkTXecBVd5UOfLMbKBy871K3ZzjmclsgOM9hQf1okrp8wyK17ltQxlS9yaKjTDUB
krRh62wY635oUCZqqEHRtvOgRiHZxIm79swq9DZhHpJ0iVLTpmdElLFelVFLya2wk0IdehbHah1b
WQfJJLOT+llkKU4Y3s++mjdZ4S+FS4vB1xoIz9w6capYpJX0jF+HTZyPO187iFIR1XL+AyRPpzpm
4GGrn3WWzNwRU4pgdxB5coLEFE5yH+M+ZQNrCgBQTkFE+V/E/F3tY+lOyy2poalDcbWKgWYJv/us
MIYX6wqICfXTEKdjoHGB892woumZobq/ClRKPSe637RJQ/iBK4KpcXUguJ8bK2sQ3BZpjiG4wkQR
OeRYc35YHv65littz5fxLUsN3iHMiNDWCf9laVlggYjUjzEkSEg7+TgCOWZ9nl1cdinpbkZq9rlP
4Tq4Bc7Eb99G/uJWrC21tULiPmvD9RHipoiCq33Rs9s4uk2r8o+mFX2yC7yM1nqr8NmY2oNJ40ng
kUFh1XQflLOxpaSVT9jX2UZhU+YbrWMPbSvUJPgbBN0cW6grLOs70kx8KgNbvY3kJkHgxbphMwXf
chX7c3osNHUqPqWLDnc6yuO6x1R5j7HCz1+metOVwEF8Z2wo0o3zO5maHHtJ5GJ5KNUDd8tqNwyd
/4oDhkWLVPb83aSAYASqgMrXl0+haDd1UG4E/NZV0Q7q2uXjIhkogyA5Ryi83xsFvURyew75iQ4Q
ddduNGI8yDGinqc2N7ci1mG/j0YQBMtqoB23Vlnm4zWn9tOgbO3tGHbUQ0rQQN6HOX6lXe55Puzf
zqUxprTT1dQqHDJOnsA9w3MQYcXOs/gh98z4U2DsRCZKii7e+K2dPLZorAMwyxnxGC3MozZxSDqo
B1GMJzabDtmo33WcQgGhiAVHih+5EDSiel4Abum61d1wUQQdzrbAtzNIrU++7O8mfArHEHTNne/C
VejyGZrTbHhU5+X6tdNOfVcLA/UWz3fw2M35dDeFbZFfhqCq3kvpYGxh134Mh8KDoNSz0XLDxLwT
dNuRkVPBGRUWkVuZqf8eWX7/nBPcbDYtJadUccmeVQaiov/Tz+fmpsbe8hOg8Nivcbbgju9EQ1eN
JyZkMOlSS+ABssVpv7QIrFMRG7fZMLj3VWW6zwWr9X2CXOWBKQS9dGOWDdWjJZEMQXL4sYqaOlp3
5JB/QCOtfg6eGF9Io/bQluw42LhO0VZMkYqIe0JQ/oxmLE9R3oniBAbTfgRc0RQ3Za2x+ZNGtfHI
JmJIt4ER+y9exYy0TrtA71OQ/9aVa2b2ZyXaAS6c5T8aVZnflAmVfhQvht63vDWd73PPEwQGEYck
Sk/04g7CuLO0STIwn3LK1ycS0j7r10M44vo3I8e8jglNHgfbYqUTEfHf4LA2BGdExT5/2bA1aMkT
NFURzN03HWPmpuaMUkMddUQs3SifkU9EwiBB82vJTDg0+bRqjaBcUw865RhgVHXVMSNZu1nKzrlr
0yF/IXPOi66KIjlsC/Jvkph74NE0UkIEo5C1V+FRJJZoKRgyeP5htXPLO4oaxXR2XDpH7wRwD3YD
VUpFEX0JMJA66SEv1zHfOiiVPELGxoeDq8mnhGsftYET3SSlYLkzlONwZ1IxH12B33aMmzHFQw8i
lLbvNW6Se8DTtQcsTUzgTZrEqZ9QkNa6cGhwzVFdrQA6dZnxloddE6xH0x1OGQ7P/aia4BFxyr1L
ubngaAs5913dLAbHWR4CB+BQbSXWgedZcQZ+VgBQ7/w9AD7EXpKPNDKn3XzT4QTE2ddJcZ3gdyej
wtIbrQlU5ocm24shewKN0UuDkAxyFIn1e4M3/BrnULhVLhvpDjXqxTehkxVLRjftGrVGYRaQz2o3
YjESxRHEWp4OwLugBE0+gVgKyPxsT19PihYAxphfK9hTiRE8tpEnrBzXX+fJUy5i+c0elW7gkQvw
ChUOIo2S7rrZpk7TAjNWKL9N5gD9r5omL9oGU98/aJxQwFkmnwIoa44+ecxxWIbt6GgUAWhAhzwx
wDAwf7zVZhFcT6ydL7NdXRrP1PuO9ne2LXW+asvZuana2t+UvXPdzNjOS0s9Ri5GP7i+4fUonPmN
B0b6EHlW/ln3FO00WWM2O9BWrD1VG5aY2LzmMwJ1sKoqJzxGuTEe8qHgAVXr2MOVnbQpaNSOhGUj
PYOY+FcGhQpq8ihODO+7g/8TkGXU8zmzu3bdqKn6qLsJu5WgUg/SXLHkvCFv7XqZB+GG7jlIUX89
Bi8mqH9X6/7jxLOI3n+YeKTuS6OqlD7iw2/USjpde1XmIn38738agnsBfUYuZn7nT9r5MBclTAwx
Hj1NopIGzChdNxMh1b/z7Szi4q/fzvL7pXVAGkyEzHO/fjtmICzlB05/nPuyf0uXJ7yrZiaCaPKp
MtIiS37kA1VoK1sVlv93Prv164pg+WkuLVOSTgosTgFe618/fTJGmahbqY42occdtezqwfILGDbL
5WAYu/zObyQGlOr/sXcuS44i+Zd+lXkB2hwHHNjqApJCioiMe+QGy8zIBJz7/fL0/09ZY9NVWT1V
Xcsxm0X3otuqFALkuJ/fOd+xl/dsqUD/s5sYBSEmdhf2z22GiVHuuvEoFfv+db6nI6g6KquhNU2I
uIeAuF7DUMaU5ndd27JUVe5KtFXDgdo4/vmv79ufvxAnYYEDgW9GwtL5RcxdLTtx8wpq0Eqwhspz
aFo1ZbXphIykRp93fJx71vGffqgllGDa47EzVSQw/ngV24jA1UgBGx8ar2fLtdhL91QDxqfUXZp/
pANdbxkfZgqfL8i/yf5VB4oBA5Y5GvFxWlNjj7n8Y86MoBBz/zff6s+/NIvH0sGYzUwcW+L1///d
L00WHZUbTVoe06GQ/R2g8ogXJyaZ4fDXl8/8802zHN/mFMk2UTK1+uWmxVlqa1hN+bG36ZJMALHt
iHcn8Rn1wxp2GVU9XejTHkhYjBn4XUZYzL73TJqur1u+4efurzapBekZeq3AR677w/bnXvGv/9Q/
XRPYIzxaPsIOl4WZ2h+vCR5mJiCVl4LyToR7JJLW38/VzGHpH38OUZ9rS9hVScIc/sfPUVjSG/Bv
8H0iDgO7Fpx2uosjmAw/P+cf6X3/Wcn7g67330mC/w8FXywqh353R/6U8Qax/qX9vSj42z/wmyjo
ef+yBD8MkuKCpRsv0v8RBS1y3/zPSknEbMd0eNL/LQoyH3RplkGsU1L56Lv/FgX5J5THRooyVxwp
/j8RBb2fE+Z/v1Ncm4S4ZzF6ZvR7FQgdvunvf7jNqPKu9CGy1pFpP+nYXnfDkpSn2XW73cjxGA96
8Z5kjBWR0733FKntLG1n4LDBf9lh6ZvqklR29qqTJAWvv5J28Us3Os5rT8dLJ9uE/UGr1KtcJ3qq
pzJX5yiDcUQYvCmPGV7FkLHQ+upbqvqxVm7/mqwum3PbYilRLjYZ4QFB8TthbO2GMpNJeLgR21E+
DN3U3NhdWZ2Q3nhzXIGU8bhcHTy45SgcBtl4U/edvtG5D9maXEz5hCS2iiMLiXEjNB+0dWyN9TBR
iH8MrKNnds9NWDiGc6P8avzcpDUV9trwiLQ27pK+RLiDnyNnmXw2LzH/bquawfPlmtoUdv7yw7/+
/DYqKaoTU6+YRKjKyAnr1t7obkjPotAuprYKJjrELnZCibLaT0ZdMZ5hl7V88lnlAg575YUeA84g
IoOohGgBLJPY7kIMnO3lA7b7iDN/Gk1sCh0CFMDZqILpjKW5TebMoSsdW1UdRC4xmm2cjNmnDjzk
UU1OFQyLlV41E85h2ZRZQU1m78wWyTlq04TbVNjCCgqq5Q9ycFqMj9aPpM9hOakE7zugers9aCPj
tFP5WOe3cy+4u8ngS+yRhAE/d5TlHhebAsOlF3XQ0TX56FTCDcAStR9Ln6MmaaqSwoEj37caW867
2Y/qhDIS3yBL0CjlLfJ5ssv2Ai1WO8RKyUAETi20sZ+BxhabDJ8YsEutnBOt2sshz2afxt8SNjRJ
w3jrYE89IQe7ZzyA08npeyRKp0Zq1Ma0N9XgfMZYBoSldJA1CJVMhwpexqeUvhhwUez1JLH72b8V
uE7uakWBwsbNvP7itJ51dhpXHoV5NWMBs8Q10604ZkmBMF5rVVYcTMOnrTgeOG1l/jifIfs+FmKN
PvvQGk9GZl+5qoW64eidkx5oJZepMv3bduBC4UwrvW5Tj2hn2xK9m3Ao7nYy0VXHIdGMpit9vlut
Y4feRLOW6uQ+XbCCGxWJTm/RNEGkxo754mdCXNEuUlWxa/rReGnsdsZlWZ0Eo9oAXlC1cxb7rgdA
OjPJCAqflHzU2q9RQo/DILugqlwMpqubnG3hTR950XwzaV24LVT72LT1Dz/tIE8Rasp9QiE1mn2/
2tMdAOud60A3NAH5biyIhxXe0OIugoLKAdB1ZxVMUmblriHQxkh4BilTdWvICNHtEccH5wSyYEsi
jp21XSTWzl/74uy56AL8DMdnNK7yYoiEo49JZUhug7v8xEAzgvWIrwf0szASQqbG7H3GWJeVuP97
Y+RxjZNvWcmauGM1waZLgWaP+2adkyS0Bi4OSPeczEHp0YAQ8A85gpl23EMOxLRunCcHW+t28tzs
A80V65apjcBT2uGx6KlDKhw7FKMtUMkb82jSbbAdJyHCIrYLslZrFD27XNoruw5nZu2gK8RY6LGG
ToxnATM0e8qRBvpU9HrpgcQ/erpdP3sYUy30yHa8KaQED+9G2X0kvSgQukp/ANsj9AaZVSJ992IJ
Jkq196llTPNmJYXL+HMc3nGwCIaYCg/tuGbpYYmoVxmqDARH0bny0tLOurGYZh78Jm7fbOwtPA5L
C1h6wtvD6GOf2+X4KHKzfSMdljGB4cSzkxC7wm7grMX17+61JjGBmdwevsYzAXp24oc1dm6or17O
vcjyt1bGHQXtM/HKzHjkLJodNeSGhwXf7Z3qxHqHd64IvbK07hvQG+BkkUWWe9Gn6U661vjMpOoK
157oM9KzSyohq41b0ZWivrF4mu4mWlcIJLHCb7PBN0/2lL8z7u/fqVfNXpp0qC5c5uwTqSb7MzEy
zulNK2ZqzfIxuovhdJwpTkRIlPEKwmzowUJ4vU8cw5OXpFipKZqomtuDpLzJidRtE6CLDRHK9aY1
YJNtfE7uj+uU5YQwivUxAlOJfxe346vnzxb2SJDNRWIzxMqvLOYhx98Ic0h/NFkyHM2RuACCjZM+
5nbMU3b9bBcK7X1fpjKIC0RJadbqmzklS6iimKXPK+Sytcoc5kZuznAXbLrNz5DCrny9OA/Hidd9
3TaBqU0VLCsGlMTvHPzURlyR0MQ6TiomDiM7qbdpFOWv2CbX59725HmFuUbIzW3kCTw4KUgoYeYx
FtZHt4hsJ8wp++okXpPt10rXz7M54suy2XoQo29a9wx0VV+k1y3oUqytTlJ8sboy5THO9K222/jO
qjvgx1Cr46vJxc8+T6ynhA0TYRn7JS6rTy4VXhxpmnR9qiSbN9SuYjiJrlUvV2bx86yhblL4s4Zp
1IFIiHPrDk5C/N0d+jigWoXg6CJniKSdjbEZY+68VzAoX3TrTk/4y6YvpARSFl05apfQiWAw4Wqn
fnYXnX/PLfQk7I9MvJKUkUHRm++Y3aU6tLqxIMsz/plZROfY8Gh6d/RprZ3xzY/ir5DcsZIoD1C5
ryGcjxycDVwpjflIHhAMha6m09JEt+j8DZGpRpMTmmip0fUiH7OWH8lh8FPnhlileiQ4FW2MbpCh
Lv3+6CWaTYezZt3XWhe3qJrcKMx4R1kbTkhrAWMUpgwaHK0mC+zI6RP0gY79nuDVClQEi0I0PTNK
ycFFYI7D9Nfe5649P2f1auxUBk45y0uFFEja0a0c48mjJ3q2F5C0Qnqfps4pbukyvepBqX41l0Ue
xxbgD+Gz+qPEGx9OWVcy/BnLw+yW/puyCLlGpqo+xk7OwdStRD0mpZZH5PgG4hWmplp29J2JBCzm
sATZmDQYacgfzGalfrgriNA6ciiMAP1bGLzuS+aWkAAQDSn184gvzCN5rM0yGulNXnD8ZidJtDGK
xHRewZBi9ykMdbuAJQ+6aa6+FmMr95PReTfEmvoQvnN6rxb2USYIucDtSX6u2oWREvlXGhj8UTMi
hdx08wcFMt09qI/bwbN6oil1h6/YYDsAam3jLio7N31Jwd4wndl0pjvtl/ZdPsr8gH/N2lTCsCFw
Z6Fw0/PSJ1+R2D9qaoLcOAYPU/XM7aHNuw9VXdcwq2tBt0xj3LAmgjqRdJQ8FaAVaZlb5pL0yDTA
0XH8Bmuv6qfAWnrjwcO7Ld4nehLcE9i3OSQP43Pvq9z+wSarAk1NnOCFl1QTzmQSvrvOFDcnmm/Y
+7Ve5n+MdNuZwdryNgLwNz36uePu7HVYL6IzIEhqvJADITl8RMyG8BydO7gy7OZwbYOJ0ClD+Njs
os3UOtZTnpnxoej6ji0lOuDU6xvLqdUtK0IPNyouziqWY4v32krfav6JsyyMpduyz1xv2967gthE
477n7Kwfq1a2Z36v6A40Ey4BjIrxU2Y00I4XV5ElNsxeEB4lG74nJCaYdme4Cgif5I+rqWSzr6c6
fgd6WpytDkvU1iykc2tR6rbLsoZgBZvVQtKPoar7jDZOte2KLoLKA8Ft3WYNtcv7eBVMpTOgw68i
S5hE1HWvN4mwjVNMatGzh+5Ykdy6Zb6p8h1M2IsE6kL3jbAtNmBW6m5xeBUfdECbXwHneRflZ+77
kJjDkVmvwYABPbfaFnGSJbDyEUCAvoIXQ/SdmblVtdnsASaSOycH1ZPkbZf9jKq3gQzuBXbjhBS3
wACp6jYDmgfOZdFRG7JqfRnTK/ZaDtUuwaId5h7ejzmFxC7je6a4Pxqkk0NUVpRg6KjbZoVxFHWC
izu9xVUCclXVxS5nSPooppb2H5p5wsgh6p8J0kiQaUPjesTAc3vgQqyk+oOyYm/IX3JSTvlDMFPa
pTCrpJqJnGZsuDkiZ4QkfGPnVwm27ynfTkn81NO2g/8vfjbYdmw4Dk5Bq/s7Tue04kzeBSGo2RXC
OBBMngMOI1+Zh5wzR4M7dcgC+CnvBhF/7it5EwuOZsjDGMQHV+3WieaQrEr6o5sVK95keMGMV1aI
MRQ2WeXIyMAe+DspriBbiCVhytugyOVO5PMXJnG7bkgOPX6OHR6Au3Vws/vJKuDzJmK98Nuzw9qC
LMarx9xM09IyEfWlddJlFz9ENaOGn+SeuBmHfQNa50r5Ve2GjgcrgGFP/MUDBxnOphMxKHRMCOE5
IVrwogOWN5f+rLNaADxsh5zr67XADQDPMrmx7PFgG270MphyeAOBWGt8uzkHFt2r9GaG1lPviJ+N
n0jOFMlexTWhIEj0X3orjm46tU4OOIZ6w4bGeWMwO8T7HqqO3porB5yTsMz0QdUxySfScuuhnsW8
4cUhXuOyyx9JStdYglpb4bzI8u7k4lJkD+qBDBbuWL/adv9oMfoMRe899X3m3LDAMLBKa4/i1ebL
WqcWJourFWDWUGU7f4/rb/wulyGR7E6FdxsPFt6bNYLlmYg6f188T21nev2IvtLl+ZlfFmQqqlbJ
UhVJWKhZhfPCq9phWneUiR+fNLG9Q++hEmy8xPT3KS2hN2bMms8qJKaXGKLsO62DaZiqfij3BZ2c
zx4bF+idqshplNHYgf+/+vbfWPKwJ1+dav935szr967/X5vvZfwl/4MI99s/97+teeJfQtkeM1H3
6oy0r1rsb4xFz/mXx1RSwY0xrSs9Bn3u3yqcRKATvuDIK13083+rcOa/HFuY0mN84CHuIqz/E2se
GtvvNTgYjixKysewSUrlJ2Ln9xoc4kzc5AQEQpSyLMCzwyrKwG5HvzOOs3L5G63e/IUdAHfVY/5A
js3livh8kT9qflrOQJbxCoZmhgMulpn+bls2jVwmhweqDKddwb6wYYrqC0iMywhoSmOqf1nbiKV3
lNZzRg/QuPvdbbv/7Qv/Hmrwq7n+598lPeHZyJAYHwH4/EGL9LsO1WspmBbL/HNPO8HOnOA+4oA+
yN4++fhywyq38Hen+bxLFkSYQfzDJvvrtcEaSWQR5KaFz/+Pf0PmEfuc9eCFdcoMFwQBRSRmWj39
9Vf94xADbYJPsaEKQYr0XVrmfxkCuVxknazaCy38v0TYQLO56YGpF5WI2PH+5sLynP76fDmMDC3u
OJZgHqQ/fie2RAQbtUeEqXRVMHs0/GAhkn/zKb94jq/fyecX4TOFEDzD8penCneT2UxO5Iac6fga
Ge2XtDY8jEX67R9fPLy0mGJ9vo+n1C8fBN2AK3p9fKNUQIk09A+2XviwrPKePOvfDFf+w51CwGa0
5Vu2I4Bu/PHazYON8tXZbkj7k9hSXU2SbZTZjqN6vp21Ovz1d/sZIPllLfAlNmDLZkVgnfrlXqWm
Z6+tGwMjMsDftGPlQxaOxAPIFnWsigQXQdkoIBGTPHDCpmRPFNFXTq8lwvrcPOjMa0OrLMadlSmi
9sJpoFxYXr4jj7De97Iu6p2XlH5zHOi821oFgeJNW69Xw+jUTNu6X83d4FzlOqHVp7Yo2t98478R
cP/L3zm2ZsXRXLAW/+l5nBAuJofEfhiXoLK0Y3jHZXQEBWbOs7GUQc3G8li28Q/Xor8AD458IkXp
/c2l/k/PK0ZogjymyyjF/uVKtxpp2sGGEuY55iyagm9LRF6gpYn6m3Tdnz/JF7x4gPRaHm7kX+9p
UlNX7WvfC122j9t58Chprgr0cXof//rx4cn88wPrC0ngWDLuJeL18///3SS2KUzLcGXnhhitJWRC
I0WWkPO9FGp+ADgBrr3BD0KAnnLVfsFI6IlmGynoU+x45+kAUBLCNA4ASGWDox4HKu6+OMRMDpPS
fU5B17A8+l1vn/t+rG44KaVh2SZknGuyHqBGmFVum8EEL1/gTRT+4h3qxFYBmvcSEonDltbSrkXG
k3NHw0DW3DgxNhNMQjDpY5pBL0OiHRrQTfZ4XdLhABtnCZQR0n/E6OQLe7niaI/+tL8Gig8Lta9w
XhqYtk3vvkFhsO8myRdfO7vbGhGmH8dvFexXGV1MvZDtRcXL6Rw7Jk7acoIzqZ6ch/oJoRM211DW
XziLQRxOmpKzHoLMtqwgbLjluAQlKZ5DKnr9aIi6ufNEwZZ7dok3Z+28UtoJcOethqN5acckekmY
RdP10njf1NTN1Qas+ntm6NcSkkhMeLFS1O+1nFpa69Ytkl0jroEWoziUo2nRxgNa8QEzATFtK0E4
4oTY3a0jxTNxTxFy18BY4OvA4Brpm8MCSQ8J8ZX8hI+B8xOr1HL2B5+bmWbDtcpARoO7HTgRk/Ce
xu9smbgmk0WxdkIarcoH87bp0fw2jN+HIzbX7tXsyvGFJCuGwsKpsUNG+Nhe2LYtMKhQnp69vLCp
+RIUWjQN/RbKsc/NqIp91QiMrGns4cVvVl79gOtMesl0bhOGyZBHDzKmbqT0uN+AjLh8uPKdLxE9
JruYe8siNJqIq7XjvCe1pD4bXPa7lTRi3Hgcru9G4nRU4IwZn+MNgopxFg+KxVt7YV6RISC+oEr1
+Ytl5SV5bqG/NY7mO7iRwxPvj7pDWGUjhJg3UZbCFudU4FfKsUD9WGOyqRtQOaCkRA8qOvQkGAwM
0ajCMitQRRR+8V0K1pSfEG1zScRpQq5scDasB8VXZTlUk4Bn5+xqt82x9QuXtneaOsdIzBci+xSN
aDv2w6qC2rMVWVHsvDK6zYY5PjhWBYx6Lk3+3mRqQTEkHsc0YhKKyapBR9NZTm0wjGZzSnynvYl7
HMpWOXE8TZcAr17yJAXqJgSiPuj42w74a6mAaXr/4Dmi4P7OxS7G0YZUvGb8qUk+qACXpfkyWh5j
sqX5XplOs08HzvFt0qC9RWSI2aBCADLMawgYy942k+OQbszVgQTtUavc5JD2MuFlF/AxjDfnJTkm
JdMYjb9uQySr+ILlBcWXGMDBs9rogxYhB66gnqZPoxb1DgQAJWuuBSiZ2tP9tIxJaMy8hdmKtt8Y
hPZkHLvlAIq3CNuOmmDUGTMgnGNsQH0E88gGcV5N+wbDt6ZQd5ggQml7M9an2Em9m67ycP4VK43F
HbFErHxQ4Bai8E1rxnc0Fcubtu39L7hgrWe5Oow8sGVSlBa1pMPKNjpgT6kOCQgQ5N6UnwJVZyds
duMOZvAINsABVnH1GpJ8PHmVyLa89Rbcu8PAEXotL33ueHTM29MKLfba/KBajUXVyCH6DLpClmTj
bTnrbWc1yR4pen2UjdtdakY2X+eUFVcgfWx5zadh02TzfTdW01FTeXktiUeqylb/WTX2ShJ1MUgb
uOsl9vUbSG8VVt21Tq1EwonVfZQX2CSz/FgkhTrimMkoRdW7eB1H4hmeEVSWmr6XUwkgKKuRRPit
Gebb7DfWxc67yxQlMJiZ227nSRD4txeTpl/LjomIJ3mA/pDtnLyaggqW4qYzQZozekBFaNvxIeqg
/ASt7dJs1EMn0KXxY1ZMxifXeWKTtIZgfOg+qvgpY3YKydE7185P80Kd4ac6bc9Q2emkN416u7KC
hwQJvpgQ0hjF7GcAXCxAMfkXm0lIh6shSVd7P8uJyRSD2dtmGqKHUkTF3o1iuis8+2JXI+MKz8DO
aylU6WloPkd+5G3dxay2alnvldN4gZ5o0NqoeVJvpZvMe7SoJXCbCH8jYFvw5nZpEIGtlrJ+Zl82
f8KYYx1yZUVhS5EwkklLo1RB7Z7ZGP5jwvd9b/1pZAY451QG5wpxguW80TM611C5O7epIkIAS5uN
AMa5IpDSV/c+Z2xFvIrF63VM2u6rNCSltY3rt8MRPsjsBYpGl23frT8WmYJ7TBU+DHf4UtB0dORf
tzIUnbuA+QuTWvTiXbfkD9eIg2DxueVH2IQro3rc4X72LoXVnCQp4o05rCsjhqnZZRSKwDmj1MdU
Hj/jqb1p12i+c3P7ZZSp2MW+8WzRH7y1eMnfKwMZslsjDdI9MUsyZmriyc26HMaL3TxKJR7dtGsO
FWXTG79fxaHvMn2inMk+kEpn1I7zllV+KMEBk6cMx0bKMK5y4AWlaexhuwuGqjJHRS/k/VBTilsS
unmvPLvbN6D4I2PRN7iq6SDo/OoHL6R0D3A5P6xKjM8xEU3gwbMzfSck6tgo8/CqdQt/myp1+lNy
ZwkMw4MmnlfFcUq7HxXT2NM8ReYjhKImaMVyz5A2Oy2rQ8WYjxkVuooxvoxZFv9gSgOlgHtzBztc
HF2nof4F+/wDzjZKy2A0EgkfbmEixQHRBcCZnmaCQPQDMNMo5pCKe8oYokbv+0J8glzqbRly4CX3
xpn+AAf40dW3fqIKD7jiLEVgWgzmZ6nxHc8pNIQlxQ9PG0M6becMpujgRNU3OUtAGfRJ9UHZc0V8
pfMwwuNztJPK21DWeIPw+bbQ3X3By3Y751X34RT1cG5qC4aJCU2Fs+Et47FuD/GkY7qnnLAQzXgs
yPBllfFSRleUyrDW8b4po/JURYXeJ/Uc7+JBgXXp5h5K6VSFmF7mw0zZbLkU7bNdJ96mpA5sRwFZ
+9GU08qbm00Bw/Aq3VIONmEhZ22mFiemKIJaPnOEJtFh62bqwByZWUSOrO0M4z10g9eaRkoax4dz
Ikdi58u0rxLWbaCS9T4fKMCtAJ7hB11DEtuE+yRtg2vtXuQKIulaOfmJjT0dcrG+4sWjmsZWizx3
MZcvnTawSrvlfszEt1Klh2FiYpkPC2kNAtwHq8L47ZkEyz1rtg996qxhTh3yQE64q+C+gFpiqEaX
t3fCc693kpnAwYLMPRtYOJhZ7DhC7comrkO28rQ4x36MuKyjMBmRJXG3MJIrrnBLJ3pzC5CeteDX
PC0URer1AOj0eekxXHTjAvhvePG0HO8TGqO4tO8+c2B2m8Y3L61epJVdylQ9xoBdNnTx3OWz+z3O
vreTh3H8WjcgUrR4NUCVbepT7bjnFDSCIdcByNTQnfPWOLc8QRhH/CyMJsv7Vs1Q8mNJwouSwJKs
e2ippnhdrQ+kuDzwGOBtYb4VQPWwtA8OzZte0aVPQ0WHct+Vz+3qvahG85/mS1ZHn+eK0jwzf7el
A1arsFuE71YHZZE8J3gOMJs8TR6N5bI51r19bSopby2V8bdLpoSqHqf9MNLv0TN/3Uhj0Dsbd9cm
aSSliYSgKKF60PyqjkzYviI74KBaIIs0gDOkuekbeGCNTqIDodzxriR0fQd2sPtO+YePaAY/EeL+
ibmtCsZoAvk/RV8zC7qm4rj/1JOLYTWOBD9Zw1HfkpWChqKD+kC4ImjhoJ6WLBdbQoxkKpJZNXvb
gqqf5ODvOybBO88kBuSX5UVefT1dObNXqcE5WMVkk3DkiNBNkEAHakzymC+spcbPJcnuI1NRuFJx
vzm30olmuI90gt3Z1pRulWw/j8UadD37/FKx+ywyCVI3Ys0H+LhtLP8hWa0L3RivNAljBYrsTTlz
32OjFhvt5u0xSdaal375LEhrbdsR5wolz2/apMvKdEmMpNVX17BfVS560rq8s5e646a12UstreF+
IXXwMiOGgmtw8gOzZfNgU7ixryMaK+qm01/ScWA6ZeN6HxBETi4TJ2Z9jYGjaGJv67afS3MYQyLb
fFOhJ8o3xzvHZMDDzJvmasDAP9wlse7SamZ3B5YmWGCXBYY/97slE5eSM0ugOf+cqEtic6QAFsr2
vu05YDi117wl1/k6pGsmp+v62AxxFUR1s3XG+NZje3jXNcZAomRFy/AjdQFadp23zJybUxML1SpF
SevqnAXE8Bp2/9SeZ0R3GSGLAKOPoCTgavqY1PxEPpqjS1mzl2wnEcSVW32b+VInt3WZ583cUmkO
NYUVxhDyvhV0RCbiGDO/PBXNoVwAHlASJy9iafJ93A2aGnvPfumYpb+Q2PwezabcSVmOYZJb4jUf
cwqBcTY91vXYfp14tu/71lOXJbVq8M0Eees+YRJVzHihcr+7dYZrMBgZB3Rm4gJ0TUkLT+zmS/Z9
jElERWp1iJnrCzPlMYQt5W1zqysEpdr1cIQaLGhVYG5DJcEmRvH6FgGj2qeNuVC1x1ao54gc+ppk
y7xo9kqYjA4kf5ydLpU61W2/vA/rsuPARJ8cP99AdMxNI1vj3NEOSBPqX+5BnGh2i1l9goc97spO
fUoQorZjwR1fSeEdMFtSAYaWklGeRtef7NKLPbftUQuYX/40B0BDHM5SRXsDqXDc67RlX8nw/OJP
AxvckkyGg6txN65RcqzXkVrMWaqQYkHnhs+h9jOFU7I6cjxEYMxOEUwONBdix1bKbp4D2OPUSetz
VmqTsFT/MYNkejOz+HPprvmlmRNaR9L1g+N4++BPDcUnMSnSLd3LXWBmOMQgET9L6bzysQTTW/8I
H8fedwnb4c4G6ME8zKGxE6oyN6pNbqUw0IbKtrNw/ZH58YsrQ60gMxx71G+XVVUHlDrSq8qhz34d
4pb+DreqX0fNazrKqn4DA58YdFJxtlo02TS0ivK5Nmi+aP2k/qKzxHogPigYJtNNniwcDSHXpS3T
dP9rkxf+A3ocFhPDovXRrpmsRqve9r5rITAN7hn/SHsuAYHtlT9nx3Em7lw3ERUX0CxDgwY47Cke
ZHjXTE9LsgCtdFrYRp5ZkRMr189TZ4tDvMbLG6ES3LNatygc6quL65fNgb9sGRAQmIZSfpdbVNJl
VAyd1ZUrjitbH3n8Pvm2qmFml3FzmGMrOVPZozE8VekNo9M0x3+HonqT0xBAtfBgjZ8WLewPWkKw
TRkrLVnj5JJjtNTqvpmUAWV7ewJlu2+HJP1R8ZC5uOYWXUNC75entYBESI2k0UZ7z5h7WFokid8m
5Qx7A0Agafx+fSL4zFR5zHk7LvSPMDV5JDXOmum32beCTHag4TrvvHmO96KkISnrauc5ysqbrB9v
vcJsT3h9gKxkvDv4rebrhUSjv9eU7PAt3LUbNkkJULUnNPPCB7XPlB9Ub9l17TQrDEdlnwVMlN2z
g6MgyHGkscx5ffleV7V16p1C7ldIk8vOrprowOx6fGbOvj5m0dg8pZllX0ThC5w3Nlm8EhDiQi48
3xLYyw9m7ROI69102DVrhE+uX0zWxELw/oW/7xWb1adQNXYnY5+6FdXVdnKtK+2HKGjcGC19aaiz
yTJeBiB9BlpiVdPlRCSn+gsDaulc70n25LL+3A6FB42kdIwCH2NUhgOX2jvz/k6AOcv2IQILJ8zs
AZt+EfpjMuMzRryofQEZxxnu7dh0iPXw93TRiGt2NCBPwnjAqE33bcTCyxwhMJypxZpRNyHdZ7s6
1fUWduzWN4xuR+O4QxbJb7KLE2taspvuxW1SnewSCl84INTqi+IodfBHT27bNur3k09+yl374YEj
JXCnrCBgnhhqPzc1f1WfvE0Lbz/pDPPeMDOMqOv0QZEsrVEzPrRqnV5w/h+aiTYvlFpo/F4k7glR
d3t667BiDBRw5alrH8qexsIlyZqT5THt76k0r0aapGyQIlueFhOrWFLsUXWGi9tp+XWu3CuFQhdY
1C2MvWHfihFHqaj7G9tth9B1HXLfcSu8DwBbfjgssn5F/qg/4YDuH2Icl2+e72l8wx3nYqS7wBxb
kPd2DhWBEGxQ8OvbCeqS+iRuDz7h7TsH1Bottn4efUWDZYePXl7flD8tvDZrHgSHDv9BMGSlkUFJ
avBCZJXf9z8yW5jzXpgYAECJz4wdSbgmrJlW7T/zLh2cTfLTWwxJjWNwVkXteuz9pQaaXwhGqh55
AYIMBb7dTD9naiS6iSny3FGxsMOkwMQlSo3PC90Jc57Sj5MA6OiGqXsAjWWHBZ6GO2QR8NRV5yNf
dCh6jns1S/s/jdPN3Mj8rs5YphMpYH9ABCypzMJpPd4RPcBTpLvNZOk9JyA6vjFoD2v7XPaz/1zO
Ew40DOOYZjBlFDvXXN+Kcn5dO/IAdp/Ja+id4H5GBWfdx9tqSdNTXKEJMdAhC5oaL8Rl052fol0i
u2fbNFnTUx3NOwwVdtBXnLqa2NE0bfkcZkfbQHhJWuvIDhbLeorjfQ1Ez1sRwsfV1u5gHAL97OGS
srtpAORnJEDdmaoYt1UHsi8QdKRQhuf6ySNBN+eGTV91lFpV+z5N6kda4Ar82r2iOZDaTKbUCB7g
RtZB9v/D3pksR45cWfRX2rRHGQB3wIGFNjFHcIpkksFhA2NywDw7xq/vgyx1d6qkVpn22sislEoV
GQG4v+Hec88tISEgtpVwH5CfEMadhjSRWLirkigX2Zzg0ZuaoOFp3KUoUTBVM9Y0B+U+83vNOz3h
bmNR4ZQXMfdaLB1Ldg7MsGRwM9fiY7Jril6jMrCc+YVFvp5XV4/etByWab+MkFMRiC+JQ51SyPOM
PbK/jOuNecmTM6bqWU+RumYjVd5kSATuWXyqo2sL8UgQVgjO3jEiUi0MObQrnbX+Sz95JYUMCIuj
yQ1Hfpc0Y8ZpLkO7zsl5t5K+LOqNAXbyUxZSPMKzMC+BmVRfqSpmGn+ftLCiNm1WDHViknbhy/Sj
NhzzGIzTeDDZjBDL7AQhgnSj5d4p3ddJSXXnENzyI8OWycQ0DO+6sZTPnSF6uuMuzN8SQMynKpf8
czH4jCEyg4YJj3jTE1RYOmTNO15F1LW03toqhB/TaDhurRctgMmAaYRXtyHJFJLZbmTsbPidF4g8
+qss7PLCEil4ysO8fDF497dGyycPSqRIjy6V5GEq4vkpAAbyTDgLryb5tfrFbgz3jSmwfM1gPK/7
akZCIEh9w5jM6Sx6tS14RIhzlJIrpUSZq6bxy55huRnMbdaFiUy4bT1JEA4hqRfDyaOjGM3pphkG
/yWxFjq+agHHTF58chkzu+wxdIWosgne8Ct0vABYkF+8QgeAJUqXonrOiIunAIQpBH9iF/bOA5dX
8dkXXXl2gTvuWTYYYuU44Fso85BYpcZrzLgHfAIyCmY3ZrDprUXQHSKeRseBrpljH+54WeVn1mWa
Li9k3gUgh6KksPPq+wTsBwQcLBw+HIchpLQJF7P1kB3lMHnHkSThUyzL6iOhSKvhq2hRrxMyN+YV
sHRYET4mho1O8/KGAwMIk4z55uxqaso9bfJor3u7posucyfJt0WcpdTZhDW9W0kzfGNgPZxNM6i/
O70qP526y4gVwgszd4H75UvHuwl0VV2HUhmEeVu9+HI6TfiunQ4SUX3ZvRRIT56TpmnVKhOqcTde
XAOvmgYpgxXcZ/fAo+oD7xPyoXWgHq3QYM/xSgateW80Wl5CPGwfwG4uls9UtGipSPqpmhOEc6EF
FNup0/PcDdNb3vqRWjfMTiG3zYCBFKP3+dBqxnoOSMJ8RxvAh4xvgQLDcKvZPCVRLfMNFHSTfcMY
xLfTqB3sNWxdOSPCAj4QjPSrKOH+wq3q6N0w1zw6OeE2GehTLhu4QiyiK88wbyDSjaytis6+Nbuf
AAvoImvHVeFb11RBugmb9llaU0Vcn4Ie1QPXuI/4olB5eq18bFkQTlvgipDZ1SDhMsT59E4m9sBw
JasUpHqF8nvNxnhCLTsMSbsPMB0uWUXtCCrIL9zXrvTdaFVR8iOIFsOjq5ebzXeBR0D1JlyqsHyU
rdOPpknnFZtjvCa01rwn1Ej8BiwTLDLg8Qebyxx7ZI+jXvDJZR8NSEdGlhr9uTshFbGsa0czwuQu
kI27F4Bzo41igv2TlMzCQ/AHD5bue2h+hNIW2yoUOZsOS2FJkVG8IJOt5D1oZXYkt2PBUIXatDbK
NDEyZUH93kzQMNajtLj+Wd1MV+SsQ+UZtPs812wdWGLQvOVNkKeHJkvFR5Jp82pqZEGDO0/Wfurz
Yi9SvIIZyCMCqVkC8UgWR3TvLMoUy7Sz6zPOZAfZcZu0Qfs+JxXW9wpux1Oionwz9FQTZVR9id7y
rxxD+qcEtRUZi8IgM0HSrU1N29xMU2ds2NXS40/pDtWksSLXydrT25TRhq65+qo9gKSYTJKYtBUH
LTkIbhvm/0OUk/K0tltjPCS5FfU79vbRrmjlG96y6d5wE/kO9EOTTGJeT7ZVfnSOSB6FivAGzUPp
M/yV9TPY4+IaX4h1m1WlcR8a9p8JMRahxd9LXggXRgXFxY1xVMpFPvGLYiFKTVVVERlQ9PQsT+mY
z8oto7tMVzH3NqXqXW8ZyaOJ8edPCRH/TC6BBIUtqK1shDd/0PfMtuF6sT96+wlG9B288ubQNy1b
BJO1vRiwdQb0ZCzGTTihA6YUdg5dvsOoZMGqat/TqiXLxcsZdlYmxN6CBVMxumI3UMazb7atcxEO
grFM7iqYKzlZO40ry9MgF1tXG9+2ds+qwmE2KFBqZetuSGfOFSpg7vrMYLCd2nuyOI1VjDpogwoZ
DlsD0skcnIeRPNqVM0zWuY7d96Qgu8NQvT7UBgd+UhaqxGKzSKVGT6z+tdbE/kcZIdxuQvjEEl/N
MvgPIracR4mPT1Kto6GkbzDPEsNVue6S6VhYSJaGCW2G8Nm7W1M3XcUt9g0/21IFLBqDwUZNHfpq
jQETSk2Xu1uY0f3RLFuwpqMBUK2j382wxJJGmhyKJFV/Isz5iTz8w6MHzRfRp8d/os9ZlHO/PHox
d0nV+42/N5sKp0QBbzwjgWaMrmZD31tj7256Luf1NLXRyTLN7pONV3dssGccBgZuDlEEvGJL9F6B
buNff8D/KNsjAFG6Hs+l8lGm/uHzDZnhuZab+/vUYlDFKjL0r00oQ3/yr7H8f3z/+CJRPPIKcLT/
JC788iFULIxlG1T+nvXnlHJ9K+MwDE23GcfM/WHTwHNGpsQHETgHawEQVEwROm4YjKdXaHb8uwxu
DbIZXpbKKfI70Msm8vlgNrYyNh8qnbaXf/3RWH/8bDivTQtX/QJd8Zj9/EGmWWf1zECCZw/bEIfC
bJP3SZbbuEqCdGEqR/Lip3elGZcvMF6tNfsfcx31WXSagFZtEDNMHw5c3t+JIv9BJPwJN9WCHe/Z
0vyX8FSMBG9ax2341kS/KrV/+ct/YybI3yRQfNMBTaA833T5dhFh6L/+xTN/s52fnAsIKjwAy5/8
j1obWiqn6cI68U1HIQ/9X7W2pX5TPCWAVCXZMLT04t9Rayvf+uML81PxDZphUY7z71sutF9eGDNI
kBsl7FmVLFm5jhZ6oYE5Bwm2QPoIHK4IaNg2qcWx1ocBz6cCTgqDdLRHY8Foy/WAPPK6GCwANx15
clwlJBvS4Wff03gwHnB0RMdwLPuzmxfRVZMrM9w1jsr3aJv8rRIVHXzRRh/MiGdorZTz0UbDjAcA
T0jXHBbQmYOswMFmFZKwGtsl15xAjW8uXkkyIefv2CQAOhuHLM87D7IAJPgubpqryKMVHxEH2bsJ
KizcuDEkYVBlEzkzhT3Ut4TMEXyMT9X8HtBZPAO5C7+XNgBz17STHyy0wxuyqEjmmXDB/ghLqIxj
BA1J6655G1AsrX0rPToJnFfYdBANy8Qit5I80OI8ti2DjTlNtgXVIz3LiDdHEx7EoIMw38beWVij
0cfE+FRK1/qxZFLhuS87oi61F2Owi9z0x+D684jYLPM/QrZbjzb56hHROECvV7FiabfBU1Zs8HST
aSJSLlMRc3gkoX1K+ALWHRSjtWYWdTWWzWUCnEUApM3enATiYqTyAyy1nse6IPhgTrEEma666dyB
dVQh80+Ehqa/b+gqDHJzelQDyCDba+JCKDCdlq4uz2dswH6vQxbmRUiUoIGjFKvTEN5ob/BPI7Ee
LxHFIxqlLkPv544x/l2hqKRJq4ueSSNHX4MdNzpQBxrcsfiS0CAOnr9OEQficXWYUK8YTvlXZeSD
rc4is/uommKIdsIuMV3Hhr9XnZocGIbutLWrjhg8JtPLBpzHGsuvsM+4b+V14HbtQ8QQ7C00RZSs
mPrV/pUOeRQZ+Y3Ve816/4V+qbTwLSi0Cn7SVK9Wp1EVzih20n2SFM13CFM+dYJlBJu5GvzrhAnX
OUdXBvO8iJidUIs1UBKL8dKigoSBhoPrs6vINmLNidtc4sj64dYuRuURWcAKB/Dw0OIPz1FE5t64
anQSTYcBr7tBEx4VV+CLV+6Q2UjT4LIhkxmGC81Lde/ocj4Kq1je27Q+EC4EF0BWLkhQ0/LNDTOs
EWkshucfIS/X8lcDxKqyybL6YMZt0mxl73rHHsjiOSNWHFmAzEa8TvVkPsPHF7ReNfoB8m/5Ar2u
5KcWk4deUdRM7VuzGSxwvl6IUjUCHRJACM7s+WUIEROxeWB/K97L3vewckJf/eGokR5RWnJ8GfsE
ZkLH6JngquEBsDnLAk8Eh9SR9qnIM3AJDgAuJuJxtq1J5WO+p+imQpS7W9sbllgnCITKRMK4EhOZ
aMVUFUSMgJEg9A1c7hTt+blnRJxZBbqAHowYAXZYdVMsKIHg4tus6AstQC0xQXfXhtW1BMjppgLY
EOb1JpoXAqecY9Na58OI/w2XAEMUO6rjTywI0SNAiejKTNlpbWstYBYY0h6eUfhjMK1tsag56rp7
yQWiP14RbVgr8LG82nPu1OdqopvdFWjl4BbMFdAXo9IsCRwOlq5zu1tUcSjuJvZWR5237XNrEhJD
5s9HmvcJsRIN53SfZXCkfHRIW0RtCDdnv2ZdbSc3s2fPBSTDsX+SQYjMDDL2i9UrRHqFgy2wsw2S
tPwx8Ix1zioCOgxlyTuBc8A8cv3O7lMizC368sRV4qTrMMnqD9w+avHAdWRHFnoYbuKOdShetnBy
NjSvCZJl5IzRGrg1kht+T1dh+s4i1BpJaMELM/32c5JtqdfDCDh6ZlEQyj4/NHlTnwI3Lu5yPilz
RezkHG/yIUs1MwXRRocy1/YOK6E2D5AL/HadkKqObjNDz0a6CqtwfntTthsezfprZCB0MrFHbqy2
ZftDYczhRD3/vTB43do5jsdNhuQXKlBrSvYfnvdNV419mVSJR9CtU/vajEr70W/6GnZn4p28JMPX
HylNAqhH835Xaa+4wyugHutJQefwE5fHR7V9JnZTxThr08b9DTAQd16TAxtefKsz8w0rBevLrEFv
XfETggVxe4ds0MibvBcNnqfkgrLbG95bJz8E6EI4GAbHfeBsaq773E9uB/ChO+FZajMGdgTF0mhQ
s2VGbERrZhPWzqjL+DqZAvXE9m4ArTvmd2ni4wKxa0hDQxmf6SjgBs2WdU44kdYWkZaXLjTTx8pH
DUXX81LBn3vQzIfOaTbZmy5NxKF2cvOBfDDj007KkdYwtLsNQWvimMAjMpY8tuCBPYI6qzJ+KDGF
n4NyYnk1FViwe5ysZ2Yx1jpkPdqthwl2zYr7bo62sQlzeKX52OhZVCLZX2XeuDwJmahQshbBbkQo
RUqTSrs1QvHhgL9RHUmeiA59NszvWWQx+0dy2BAXShNewoe6zitGpNXgxowfSaerQvgsHQjWIGbw
ptw8fgu6SW4ge6b3nhrIf65pc50+Kna1MWC/9DwbK/AAXRyfpiDhp23t5kaxy3jNUB2R4WfZo4ea
P7WyHaNPSbYqDAMkbR7C8ijWDzUTiUNhNNGNn5rNVmNU5Z0LE+BFZWqszVaKveQAWpdEOz4g7fa/
SSMTkGjBR8AdTz0XwsvQvs0k5d14LWLuLScCE7MyiG5DNkffTdlVZ6vzoZfqEBmTGfakfjrI/9fY
lq09qSuQFrzRuyVOKNRXRbtIdsDSZjcuYpc3QjKDlw5t271Wlv/V1Iwnl84XozajHuQKVo3Ojv+m
QajqhF2RneNRsotB5s1gx0IVdGhajcxKE3QGLcthCAjq/JxWhLswrGYBiHTaEm9uT9G80UkYXVzJ
ZmU3+F5p3I5OE13JMJk3uNGDYC8ixXyTEMVpOPoB8+mDZiX/1Bu8kUUe9/cqrOs9o1wLu0SE90I7
LXibzuB4cAsV7vGy6heCz8pvDcBqf2OHXXzqarO+ciM2qQvaNrlWk5iuGxczAcNyo/tGATuQbcRa
9DmCJhqusqFfGCQs/h/o0OonYSfV2W9J/hjdZr71OpdYc64tOW6cmjDqVdPEc04yi/oopazylY7s
6dbokQr6VWHum9kfmRAOGlB6q9z3mQGitfCbpzcd6Wpaw26l85yq/kcCEsHbAf7qdgOxJ4ekm5GX
p5od8M/fspYKuYCse5LG1INIkDcPOJyfeDkRmsMzrM7egGI/qvNHPL/3GWaXzZiF7bVPi8k7G7Dg
SGUPBiJ3iJAhzUhvCmHzxQeB6z+RWMANElSgM9fQQ+H+KExCl8QN6msfiTJA3dJl7ulWNzQvGfvB
KXuGEIs2xYWH9J5OMwKR1HCa9Qj77xbE7bJnyfT46sUsrE7lKHqo1L7FRDoqbAvoWBhOBw2R7j3I
QrTQmJq4rkhWRCBcEd67shvPv0U5OB8sbq5PA+3DZxgiakdhnjIE72bTazZuzne9cnoR23u79ONH
8kLtHZv25Hk2jPme1DeCsokB87nbov5iEXBzrwhRgADXzec5FvpT/Lx8m4BVJB88Qc9DGNwjyWhZ
CHvtjSLD8aEZCBsAX4jBIe/dt4jATSJmpReJrQn5GLg2RnYgRba4I/yXbNQhhMUdxaTdIwxw8C0A
Z0nTQ9clS85K3XJo1CXx6VlnO89maAGn7mrNHNaMm2FVm2b1Lo1aH4j/im/Krim/xflQPzX+HH20
teMfsiLF/GCxV1uzCAuPft+1emcBBsF4QULb0fDlbBxTlmcHW8VE+5A2i4VpivQr6lQC7UFKdtdx
JPJqn7qexvRitck1LUF8cJvBPlSjWacrgs79reVE1KFTj80jwnZUbUSV42VMAme2WCkxDC6gfZ3y
PIEx0QOlwb4VWOWZOOD50GViqW5El+wds2Xd6hTEXg+GZd+HPJkH8MvFD0I98tely8YO34k823RS
GN9NJojnHHrTUzrW0zG1BJjnmgt/7YhgXldW6/AnPaK8wbDLq9acquvSD1EYEbFZgjXOyuQtL7Mm
wpobh3d2mfMrMCVSBLIRrPit8/OvhqAdweuS74cmS84G8QEsnRCyrxs00VdhNIJVoK80H1Ap+/eL
NnkrvdmWBGl0bnqV1D0FSdmL9tRCbLA37izlRGqvW7GDIUard4oYxUEWJculzGz10OiWr4YyHiXJ
dNWjsDhpbqS3OHXZZhTwgMB3MW8DNsJKS7Kn0YBK2cIgmoY8UqzS1sUJ2SRkAgPdQzxhyOgKERZx
4mk/f+QexKR5HHO9lJF5tVVd1KBfc9P4CFKj/RzDtLxBcclJYkCL+VZjPnzMnaWn0EQmbCCQTcXa
9KzmTnaWuEaauxhJ4OH0hOoeC2b0NZD9fLxIm6n1PmfHfTQA278iu4uhjrsov2CeoUwVAFjCJ9WN
6D56NUD9/jlk+88w68+GWQJX8S/zyH8Afh7emumtAMX7e6bQ8eOvf7F+/zu/z6+U+s0BLIzl08Gn
/CvzUzHZwpK5zC49FxOzyb/nb/MrYf7mYfnFerMMqKRQrEHastPRX/9iq9/cxdGMvZr51vIn/wZs
wFF/nPdi/Sd7EX89juV/MjtNLe76NI0KYh4N7w7CwaCQzxT5rpiT5DmEaPHChp7MWzcDveHXDFac
UXIep3V/ALrpHxNElt/RC0QFpszEv5SdJ57toVC382zKx9gJsARhEzlONG4/ytgQt10TjjzdTXhw
c0dhSSDtYFrXlpYfKSnZeE3rTt8iA7YfSLyBzREjbviapgoYnedmDzZysg2nGL0twLFzWwv0zIAd
mXq5+TGsWGe7VZBcyCVpTw1X6AUqTXIDcX0Xg59EUUIme5HXwDx6cnySRCPtUVFILCICKpEAMUNF
FlCXORT3HLrhrQ/Wbx+3ccngLs02Atn9VjBs+k4RrDiME33bwXjeYAzCUY1ca4pd8xqiWHUjosg4
jZkpdygF+ltpEwxLyZ1+77Wpb0oNJChRbnFb27JFUdNaVDJ1f58VEGd67Zsr+Hy0vp1zG3RNRj7Q
iNaekvvFaqRgalf07FttuTXsOr0jcLYBIgCriM574uLT85ufcw/B4EJ8DeF6Y0cNbcGsMowx2jk1
0rRR/lVfMLwrbAS6qWMUGunwYuoxvOg+HJ6nKGgf/KALPtk+zAgAvbnqV6hwKSknk4vvSJJF3pJ5
HpkvOYsMNuygnSq6RDW+JlM9yF1KeXQuvD64jr18vPKJ89g21UAgi6RoizckTfobgj4miWZVoL5F
01GXyDzn4trru/zLmkbnEPQWGiezJHG9acviWhAxD/vRITgXXfxG1rm5bmP1NY0JctOIoYbBAu4G
SxJ5wkahn7Dpo+f0/O5J9Ul8odgON21t3DMUrK6SfrC/DML7VrmJT5pKpe6YjYQTdi07+Ygi79Vx
VHBTNYs5dVTBlZ0JZ9MNxQLMS0rLWpI1IPQw43VuWEwn91HpWZt4bqfTyDzgLme1UhopKRGFtQj9
w/4at1Lx1rQd+zFbDocw9qLrZqqWoWi2tcMxOJRGiz1YEKf0bSnu71DlTbhC3PFEFgleWNG4HtGd
vfGsYie+hFVG/mQ6DK+575pvQ0DoQIS+fYPAyrvCkdxuYh+Hsut8i0ervhf9mK/9LuvfElHXF2cU
0b4pO/FS9VUIX74XS2ERKIsUKeI5JKvkaMP/tLoNWzZVEAVleEUlsGRyN9WdM8btGTFI9RT4DvOj
KEeTbdc2Ckwzr1CF4icOenNKAB9KiyVyboWkOOXizhYOqB1yefh5TdKiVr1tDRdaSnWC4DchuzDK
m0ARfO7qxL6LZwrHquisLaV+c2p71RDCApsPu0JVuTdpFKLEDjKwZaTtWJ8eC+7PjunGDbqqsdkM
eU1hheI6W5RxFRFMbYtlYnDN4TFukLfu8a+Z2RqAWKo2PhrTTU7PRCSzSIhTEAvRqSt658YuFKpH
JPI7TFicg1CLTWdTEf/jrYsEbAFjsT7ezcrwbrVn1fOqYY31Ao+A9S1DevTxqbMEhkxzyCyU3psm
vonh1JyaeYiudTyWzwDqQyRHKBK+jUZffLRQJ0Z4X6H9KhsHt0KBWeKFYnppVkSKYlYVVC7pinxa
9TIVknYzMoT3yObEuSXkYXhG8TUXJzbewqVSLKejMZhOsWdyKqw1aEGDef1olyvtVOq5Y3jibf3M
a87mQiETSAE5tNkjcDAC9CSvShcjOY391KFWMpk0FLZvvLjRyCwGmgDCv8lqCcFxXeZjhzi2q2Yt
TKO+HbIET+s4ajFuQ9ui2G6NgezICfon3kTbKb/Hbo9Ba0ARQxgphr4fJp0f/UnnuhECQMfW36vI
NK5UM+e7Lq90s1RjgHATAs+/m2GKnhN4RPeCA8F11mR8FVTH3SDjbdpOEThQg9Gn2ToBApUMnVAo
hEMxyBDiBOfRPVqWRpzYshn4QkFWPNEstHs6lwmdjgSKt6J2zu7jVAVP3eC3N5kvv+rJaN6c2L+X
48gQanZQMq1wybk7plb+qUN9+zp5PfpQySb1Vf60rC8Uz6PphipgOYGFMWTIeB+k3uydQ6xDTPJl
bjGgU82wAyTBL9CoSO/TzNdy5arJHZhQ5MkjHOXxqg2m8GISrAfAJ2OUh5aU6dVA5/GJ/IFo+EWz
tCY8wtyS2OvcGGmPlAqaPj0SSjXnaBgZ733Di/BcwaF8mDS1OF2wjbHaKngAy4j5xB6AbY9WKLQe
O2BnN2nuIHFJDTOJtwVZT8+OwpaOpMrLTwwpFpvRHAeEf4MaPZVM0J9g5YINiJH3VOtA5YOzFiRx
t+vGbMG0FXxxhsisYoWJgR8QN02GPpEV7mqsk/m2MHreGB1Y2RNOi+6KM9R6My09PUEH945Zgb9h
Fag54ewtBBs3/q9BAoN5ePH5+9/aHgAbcyF/2CvHMV6wHoxX9gTYmyaPS68fHeZbhX8J59F4NCs/
+yYF6T6bYXRYqGlsHhAFAhYQpLR8cujquySQNDRAD/Wl7+WkN3TB5SvZ79XRhw1PwoSoxHcnxmW4
4lQ0fhS1nrBSEy6L5cUvDInHy6NUAKGcvaFrnau90fesGRAa+dhQ4rKp94mdm886b4Adopz7VJH0
8id2ewxgm2lQ9wmz8nCnBpSOTZ/MeNWZkJ39yCLBTAeu3a5l6AxXgc7FykuS6NugI/CIrUe6bkNk
jpXM2Q++K9gb8+hV4BM0t0Cvud+lNd+nTYR2PhUluxfAxrwgjKfKb4ZaxK12bZiXKklFtyYKTV33
0ezmqzFQKsTk2PjdtYJyPW1TZj56E0SOvqMV5t8+IEBDrJRGwXPgjvjQGfHQa+IKuyPmr7p0iNG+
6SH2ycOL+d6ThvBIC2DuzTyi1FkBlWrvOyur7gcvYCig4TvtXAIOeePDOD/G0eReM7tFyyi54Xgy
nEkRNtRZO6vEMLUWfYr/dzY1Fa1F5hDLneTOxaNAhJ1X2IwNVXkxap/9mAWX+NZtRj4RP0trgidG
PqFKVjETldB7S+NMvNNj8mPhttcMrMeBzxerywb9bPgOjy47uFnnX2L0CftoBpnRGtq+TWeR3GST
g5DacLJ5n2BXOnDTVimUOovhUZ4s4vmS+KvrgD3Z1Sg12j12MTrZxHHUvjLqR1iWkY/0lVV+/hl0
iTg5gRH+mLWN3ydsZ/8a8u0tqyLzOM0MEP7TNP7e5f1Z0wgNH+3Y/4+pO4C0eI/esv86N28fn+3f
KyB+/8t/6x7930xAdCxyQZl4pvy/GFnl0FfSTnJgC2n9HjD7P92jWIQRljCVq6CV00f+b/dIYykU
bFNf8LiiJeKP/o320f4JEPpVM0VkheVbpoOWwhZQ5BZ1xC/qBxslMCW89vbsxAnZVe1UQyHAvlER
O/DOE8lxZUawGmrH27vGkGPjCvRGDUlwtN3a/uAaLw5cOkT6ke/Q5XhoZK6T16xJ1a6cXRzdiGrr
91qbrFnaul2jJAtvDbgu994iCS+74mcen24+AFhM+zFq1T0eTDLSI7OSDD5Rl68K6UY7Uh53k9/d
sMLOrhCzgbYaXH2s5/AIQlVSnRTmLq78OyAv9aHyw+7ZDWv/IzXcjjVVNIFqMIJuJwoLv1aWZONH
yHbmFbN8d0LlQRw9xrz93JbRwZE+UamYOfftWHcIDLIbf4q9O0Iahu3EqudQRkhRa2Zbq6HGhBaT
F3Ae8Mps/WSMLDSz7rRHtQFhZg7i6rHH0/IZI+y70aYhTrXXPcyt6bMZaL2zUDWuBtshTdd2y4Cz
PC7bCoIG5rEtOA4uliXbfO9N07hmh5c+I78zceyM+lSk9jsC1/4mSOOYSaVLG6c8QDjoMI9iahXQ
JBg2qzBV8Y9IjcYTWnrvqo5beR16bfADvBF297F1jK9+cvVNTknzXHIz3fCF83s6RLgGdbEOHVPe
AoVrcYN6pBiAlqYFNb2vUQLUpY5jxpzBLj7V6ZJdxrkJbBk974y1mc4SdjMPvOSDMorvMrcTEOpQ
UyNAP8+Af7hQXTbxvoOZuOpSa2m720Nlx/VmIFp+74W2opPTzqrvnR4zKYYYxLbBxaPERqVg5Q+k
qGlsQNxieo7Ey0gPduhsj1m1VPldnGUJ+m8vgvKBUmPV2DiKVdBuh1ThkqWm2uZO9AnOPKByKyrn
1rL65Eie7Yov3byutJlfD+Xsf2DMCR9HxPrdahD5BUFzdvKiwH0YCubIqxGSCh0v3s2hMu1vTDfM
ApirIUH0yoY8r6arPoBZ3QERMtZWF1Y7JBH27SymHAyJOxL3keHAd22e2hj59mMGKKnejOSD7Qzi
7Td+Ypkboym61xkD55XhedU9NbO6mkGr7jARNisxwpyX7QoTTbOvIIBd0mosYShRFDcGkRzNlGwG
B8sqsvbi0fIm/zbit8OahM6Hcf1Ae1tHSXirSzM8i9mSiyZpQW8Dh4WOMOBpaAVEFJgUwCumxMJt
4RTvHshynwW4UR/YdMhdM0JjHZtFhF++t9Z48pBbrQ1z2ODTMXZNOdzkvagOHrTlNZuwBxDYoCcK
+1iBRUeQGbnGn8ANxR81X5x6tik5py3HQi3pLUO1X069QCUQKVqOA5oJO1r1TgkctqqKAkeeV1TX
lPj2esDhCM3+ORszEaGbaJpbOVsQa8Og6K703BO7mUfoDqIiu/KJsc/XZDmm14RaFs/ILJpdq4ZY
gM6NZL7VujEDfI5zeu//fJ/Tn++2iIjdO0JylO6RRBxxgipErPXQC1lsO2mkr79cU/8E16eWiKK/
E2hbwsZ5gdAX0KnL5fOHE38yNIPENIS844TAvlEI5an4bnjjKyK+ZGVhiMOdFtbXWPkUSzC+453X
jxVPQ1MBdzFCp7G2zhyxgwKUQXSnvdiwk6z/pFJclOrjdFT1cJBUfrWY63Ftd82rx9qljKh4CQo/
2ZntrdM0fq/rEWEMCI4zIL3myMC03pDi2Z3QVkUnu85zuW7Tvt6mTSqORd8IF/GMqbd8jvY6GHBI
9W4f7x1/zM+dGvxXkh2L16k3+wXzUPywiXm+RYxR37I/i3bRYOX7Ug/qucR/e3RzEZynZXnKP6pd
M3cxNAMRncYejBO5Et52ziGeoMeZ96U7QCv3hukYAu4iuFXqYBdqO/w+kULYs2skvIYfe2AAmUa7
FFThflEp7FIu2W0m0o6lDWfktmmD5qJtB9ma8KsLJb4PYquQXy4Ou02s0/Sqw7qxGisnuaJpC901
UhznYmjHvvNnz/guWhZPLCRC7hbUEZ81yoMLGB734qiyOEdB3Zy91OlP5pxbB2HJ6DqozQYXvDzm
jbfRfeRtVNnode0BaMFCazEgG6B1jUOe3vZD0dXAwyBRRf/N3nnsSI6sWfqJWCCNNCO5de0eWmfE
hohIQa2M0vj0/THqzvS9LYBpYDYDzK4WlZHhnqTZL875jsdUlgXOvGMIqJ8GQdInQwcK3doRXx47
0+c68uoQfeJL0mcTYZCLnCAQdSyqgCFNNwu5T9eL7pOjnXTzVUXG6XUZEFFE4Zxe+9LQqWp8pgcN
zC+CEYBYxtZjc+03U3THHKF5UAy1wdc77EJlCVBcEoGx15rAayTe+f0wJfWNIqBql8C2A+rsNhcW
rOEDMCJxLlrEfpN/Jh6YjKbqzgjygmkq2olVlhWbm7lTePjYK20zroktOKb7bj2zYsXpFa3nmBs7
yUPJpvRPsJ5wGBecbaFJvJy02Hgw1jfgsOVx+T4YkURwSHJSeLthPTn1eoYGOuGcKVKxcBAkLOLE
et4S1FK9zOsZrIU3X6qp5sxtRGt+VNEYHMRkONGdun0cQUVdLbYzfEiGW7uaWGSac+ST5ffFkK13
hL/eFk7hkPWTr3dIS7iedfIZEKXb/vsKssOGEXlomZ7ZodP6z8au5R2ASC9CgcO9xswMn35QO7k8
duyNL9bYkGG03pODRohAIgU3aNXEwdeEho+rgmfa5Z5Km6umKHE+ND1cihr+wTFKYBzt9PeVvtgs
6mJjEcxMhPF4cHAw6Q0KtvDB/64azFpAWFQSy1pSBN/FBXk2GaoVX2Ljp+5g1buJwqRllb4mfqCE
CaA+DfMVe0/4cqE1nyPk6rDcyvLYUPrsRsIJztkwiH4zBOz3nTH0thWKmXnt9LBiiy47u33d32Rx
Kd6SWnm3fSeDR+zSUbnRiPjwK+rwd7s04n5mpveTDeZ4n3YmfYEq0z9hO5y7XYyXC81Ngrcn0ha2
WcY1NJvhRAISe+NbZbkg4izM39R0cIAmdoFrzrOQ9yV54lhtm/K2HyD9bJrJ11+zHn/YzD9XZtk6
2HJteSijwEEiOSbPfswHz+gazghPYiaCsF2f45A51gbzirtH/mrdywX5ka9m76nManVPxK3cIuPk
+SihH6MzWr2+ti7OrpVm/a5Mk4ok8TEAEuc0mF/COetuFNClvRqnEJ5Fan/N4TL8dOtqlXCArGP3
y4t2mKaFJCXFtAtBJekKb4YJ9hGyFW8x4aDphTwK5k06sC5hO06nMpvnC7Io9R07i8W2VTGZWpb9
7szB/YLG8RkvNlzV2iqOCHXTC4KsbuZLC2B6GJF/ZK5CbWrb0sU/VvZfMbOkj2bou73te/hR6hyt
jIq+UAjg04bbB1OrUleiCXn4Lb8vuMrt9MHCdQDiCeIVafRUgZvJKO8+5WPAyiNETgGIqGFN1dmC
ANhi9glBi26cAsDaNaQzHYK0b/f4UOwfdZd7l9F0w410GX/EDtNkED0g6qH8nX2R5HyAKmj3AQX7
nvWM2hShuqDN+wPS8ssAQjxygcGLDqO6OvtaBrztRFdsqqyNH5n8myMnD4V1lNuv2Zyi0KzLV8dr
xA+vdcBPDkXzhusoe8MWqX+TxEeyFhHLp7FfPkjFenVVgXAky6Q6S6++QZh8lzHBpujHEDvMs9rn
AXcFrxVJbXt7hE3C/LhW9pVmFHIOAGNu7SiXF2Z67mnpm2zvaCTCqcVzasPpu5onC9lboqKfQqfe
MQZxNm1BN1DWLxW0tGkmHgLh+K9hSKIjK2/roBwjrvGPp1eNEcD6hsqqgdqO4jmhf5m3IHz63yNE
qGzr5l1wXbXIU1FHutkTfFsWE8vU8aHKvDygjmtYebDKCbMmHHkTJch1kHmKnzqmn0U6eswPG30R
JLzw/nR89rFYAUAB4DgHR37ABzVkzICn9GhH7nKFxLLS/rKfwqIjUXGZaZxcAgugSZ7nMBTHVPL3
Q7fxf5RUgikhHSa8KcPKkGrn1gfXGfwPxLHOUYwpONfAglFVFoa3Vhsbh1iVZKC86u6cFd0727mb
xbf/rJj9/ehEzmc/Wv4dG1uux+a5y30E4iLpu0cRa4MKIwUWk7FT2rhJ8Fr2FUX1wN2Oe8bBkqin
IyjgbmMSdz7ag2KmxArzFYU6nKsIBxTBWKPmSBr7XeyJ5qHxoxLZPitra4fXoH9mPLE8KyKlmy3s
z2FLivE1kFb2huQjFvfQQsQNXm1Ci6JY3bBCEg/DlPZq5yFuqI7Ifawncirde0TZ0x8v/4q6BZtR
Mys0kkui7vAreied5pRFVnVTMt3z7FbtdFdEPrTx7KjSAbXeDKpNzp21K+Uvg4gtO+BiZBdCyl6F
9cJ3dg07yX5ijExBeNWL8Vbaw48g/6gXBEox430mem0lsj+ZjG/zvKwOgW7sB19G7TvPF5cXi6W7
afHjqyKpmh94E9kHwG+35Nbinj0CnR7eF9nhli1D9z2yc/mmWCRte6SK544x+YWbILlWRWRtSW5a
3YQFfmnE3PjZ43O/CuFCP/U3wzwkD2xy1aOxI/OBYGjZWEFcnvXiRdslAxniV7ksTnBG5cJ96s8/
GPuB0Klqx92SsZ2cYk+W5wLR1N5jvMsCOZyfwH81R7Aby9HAfTnMyHNP3ooxSRMqWVNEZj+mznyi
hrTJH6kRqOHWsKN7WVTN2WuH+RBDzt7nwkledErlNwqMvAx5W5JddHiKiwIAVJ0ijkojezjwO8Du
ixFOj+Th/GhHs25Q5xgEXFo+xsTGg4iCgnsY1ws3UAnLOCd/KRDVXXKvG44k6lCQ5clyGHz4Bju0
F8/wALr9MjQ12SnzgDbOFA1+99oX276wJrUtu5w3MAfwyduP2myrBt4sfpV624clf2LsEfOYCFs/
8AC01yy7fzZx5Z6SnBMickvU0L0yvCopUGbBlLuvKr1xgjwDZFxzmqF3nLZxLhG35qyHnSi6qdhb
VGHyJRnMZPkK4OJPJBFOHpZNIif3DXEtU/yAvDifvOlCLubChK/aUT480pdvRQjeIBcYPyHsRuVN
QtoQIvrR3zEnWPagKdH+i9SnNw/yAtuO9PkKIuc86dr5xQYX15Hoqj9JhBtbTcQQB66xtq0VOc3G
jdiSVzgqf4mizt+Bz+pig1o7evSsMSRzVBX39CrQWVIJwtsoJkvsdVEuWt647eO0eS+Vi5C/Keor
Iikz+r8GLzmrlxNOmuLojbq9rtyqO3UQHZoZydOMRhZ/RLiwFM2cI2+Y+9LTrt33FjFRFZvcfVoy
+0iQPzg2IvE+y69qIS9zdzIB3ycg4XdUIlsWh8EjhLKQAbmfvSq78M5tXhTXEEMDfOGWPEdTdh+D
rB3+nm7/t+h68V+1wihRA7bF2CXt8D9Yv6asElEEtv9oYQndE+GlfmpkwummlRWw3lDT/7rFHD/H
qkLZq1kvQZxMGusBLY35Uv7S6H3hyWRv0mxht7DOK5npuBPsR3sAe5gsHuGq3xNOm3jSehPMDAhN
rYJLSpop9Fw6ROtvI+z/banX/0Ohzd6a6P5Pg47/JOK6+Uw+9WeHSuBfhFz/+HP/MCLaf6EoAjND
AnOAnitg8vG3EdEXfynprLOQ/yTkEuIvW6DswrwoSPdgYvK/R/GO/IsZ/OpfdJnDu8Ad/yejeGbu
2B3/ZTLzLS7zHRzYLAkhkvOJ/3kqJQbDOFdY8970DRQ5hRRkR9oda+0l8f7EeR8O256ODxUmfa/e
BPGIL8yJbQcxjm+le6QTyFOrTtY/SuOF4e042Ov/UXXip9syDELHQl8wezbtjQ8ccFP4TEU2kZUV
zYNE0flmeTKNn2zjTfUDspYCpUnGRGIL9ZFRn65UJHagWrTeIYsIA1oBxYZfjR3L4LAUJRB2UQIM
QW6CwbuWVXyPytb542S1t89mJcJtS3Inr/gq2QFGI24BW4/lzkkmD9VViqz+btLNdG2zw+XiL+yO
D6CnC2G/MthpWY/RLU4mP91UQWpjUcjFj2xcWQ6TZVNotr4gYHKKlNnMaZLSZ87ay6690XW6LQCq
hIMun2O9q8fOy0AbZcmzF1ilOmiGFPbOCGo+BnBZmt11rg2vMZ3Fi2pZY1u2a+ID8/qxOHFpT/lF
z806qEXECnjU9+hRTUe1uCGgxXsQvZObbYMTYWNJiaUzQ9dGVS8AKXf1tcMo+oGhRvPeOdZPqXvk
2hhCV5R+iH+TILIOou2ggk3oFekbP03BlYn1PTOJANBz0UxwqapiAQhtx95jbtQS31RxNEVbFpJe
uJkZ3qFCNQvBtxN2NWpQZcvlxut9vabXOQ1V/cQRddIyzN50sIBGHKCBskvQswm3Mk1Z7AQIOO6r
eXambRow/b8OMOnk8MwKGvF6bJyT7EOMYDS3eXi2URI2VzlAzJxr3x3GvQQ1fsIR0vc7Qn3BfcaL
4L97ZEkGQUaSRgd8FmPB1USDvE9K9uv7xG8Uw5W4mZ879HfFKZtd76tBa/9SJrW9VbHWv+ouYqDM
U8c6nuQUo/ej7nucBw4w7UTbALOLjlE/wq0FHL8VwCZCTaguZNm6Xw3moxnLzBCU+wQxANhXYJ6G
CVBcX9wJnw9WG51f9zpNHnTq31OZKSAspPJt+6i1zvHgJJdgmnx70zll8xaAdny0Bla3CzHoV6HM
TyNbMbQe/NXiKdKjBJJVpL14ZvDsK27GvG63g92Yp7RyESQTQXtDeIpGAkJJ4dzpYW2s5zoX015U
aPZOmFVAUmah7k+zV+ftDpRF+d5j8rkLM98mjiNsTAOWLMSpYpGU8tyapMESK0qFK9MiyXKP20Ne
e32VoHGKDVVpZqzYuRpczgRYYqV3o0n/8HbM1QzCw4z47z6sSVX2DXBb5cTWsnXo2YJd3eLLZO8Z
vVpLER0X5Erbcq6rX9TOhBDoJD3EkTe/4R8pt23HlO3otLp8N0XMe9MQPHJHWIjeel5ZX1V2MT4D
VaOAYAbMWcAcAnoRHYQOJbxAD2DjaRjrFUSEWmCT2aMoTxhYvBenzLurzkzxh8xFEu6Xvi+ih3xO
Mef5bjLScaJhRNsUJ19zY4GLzVD3j5t1psbjUUAsVChcZ3jlKCNobaxNwrgXzJCvil+NTPTFRa/k
4p8OltfBiauf7YiX84CxbY6PxDXATipz6gUfg8zaQE63SUusImY11OYjLPPpqZnSCIy9NDNS9QIj
MeV12ToXJaLmQtJiMRBdx5IWL54NAgiEIusPsOro4SWt3NuYGf+uGql1aSWsD/JL/eolyGg/kLHw
omxCovl2kVXjrkXQrIKfRGu6TB0X9yg1sVRV8raklv3VDwX2SAEay0tzjUAlwd3ZBQo4O5iZXQ3K
1UZXwg4VrQ+58x3GeY59fMiX1uCKf0Z3gwiH+QPVv9dGj+Uq+8daxDeqxOSPe9Je2N8Wq3cA7ofv
bQZbIAEJfOlZV4BGMlxPUT2ilbSH/MZbXQpBzJEDmwrvAks/G5TX6mqI0jx+dgKOud0Yz06/CrhC
aMOy5UkM/7ZIxOH0EpoFByZbwBTaJd98ul8aTz0Uc2tBDTJohbfY2yjv1bc9gzSH5jH9ljRyNtTJ
NmlS2rnEooI4p9++jxBQ6h5WWB7S+a7GkD6FNBqtbpGhcuLzPNdNimkhDLsT8TQ6OvSr4YS+Nf2l
2AC+oY9GSYPUBs0M6cY/GcwVCIx8KST3wxDUO/6KvtwiMl3OGPvxvXRynUyn334YsHrC29AG8iVU
SKrtCQbkPSmmhgJBu+5n0C5cdIRpN88GHdtNzbSdFSMA8Q5/FkdriJCb8Dk/Lm9nVaeP7mrtmVaT
T27iEGTvav3JShLgUcUM3XiTExT9PH47hqZv91Cc67Y5zWoIfsObMqeSSThNdkIhW3+bkGriphmj
TfFS08n4wcZJ4djeeSabzYnYiya8N98uJ2vykxvL1eG7kkY+QClBf5nh0vf7ktVlmF7RyvbJLqpo
PV0OuV0UjxZpIfCDg2H+yppi3KYNZ6Yggtb9QG0ZFNsYqttbnw7un44ZwCbx5voztxYH5ExL+Lg9
r5L39QKAap49kfvNbJMU3RiZcpltx1mkj1Zb+ReG4bY4ji445jJWsJiKTG+APMWYgCOT4KKKgWh5
LdQCv5XQW/xouVigSzEixUI9eoVV5h+J08egZXMglnWynGZks3j+QjiMSTMhyCz4pY9ZXDMYxiHZ
H4FbTlfE2cfe1lZTv6/81Ph7J0v927G1iEUhI/yXN6kEcoB5hv4HXk5ksZdu/VHXh3RuPHJuFLg/
hVyZhTZnEbRsdxHjmTAN9dVaScOej3Ai6zJm2dnxjDwKHQUPCFdLxPKp80yARfMhHcZ+ty4WnT8Q
bKqJ2oBm9U71iS52STZZ6iDFwi7WBA3WIodFxan28vkrJvDn1+RV6fhaR0SBHVUNeqolwE4/TJHw
/b2ANhdePAyw/XUaOnyNcRwOhrVJ1Pxy42JsKW9EMp4JdvIUt3MuUL1DoA1pad3xqbWDZdyluVU+
ocpkrF3PqlweXc1WpGvy+iI1s4dVB2kejO9WNuvE5Mbp5/SUsluCEzPrnqwbrqy+6Ev4Bl7CzlEw
SiWEicHmfbro5FwGcXCpMmKmonBy71geIxMo+wkk5cyINKobRsuwKrjLqUF+IdyfXyQ5IXuWjoJV
Wiyoouvg1bLQsDBLhgp6DqpCVZ/kEoTNkYM2fKZLZP45IhwkzkFXdwN6mNcBLs82c83kXLDY4RoU
tV/Ayo+dN3bYzquiVrvtehkfwwJn+A6pniqP7MEYdtuovzbIHJqWCSm9JxdksePKCqByB5b71kfd
p9BtlJCaXcD8gyrY/Gkw4b85ZKbiUoWIZ21Rv1BwWKmpXtuYDe5U5wHKfxUkG5t68QkW9SyJiwhb
8WOZvHZLBHUx/ey9kiG+5XEaR4TmUJN/OvPCrtIkTxlzpLOFcxL76yzd8NK6QahO9uKMyzW24Nwc
wA0PGfiR0RU7Yn/8DFrA4BIh1ZBLe+C/cGra3CVsA0GvxAe4gOyi/BZR7LAwnuzaDkxQit36CfI4
PmfhcZUnJm8etSF4l2d/OS14DZ0Ns22HPf0yDMjaU6C8oF+v7KJzD8KiKkgL7zdAebSUDREi1I3k
V51BrprkDaxoAulSAKhH5KmpCBfXdm4a7CP33oSyrwRHMQ8sdVtk0hdEwfXetcExj934kTMObQ/I
gvIIvL8PqdFNpLxt57B/nNDkHGMhCMHmuyWXAIUEBOkqr09gPCy1y0svTfe2StwckaNlvSe9GqxL
ZjVVuMH6579M7sgusMo85oLwOOufdhH4pNVy0d5iJqc5I+swh0QbMh9MzRwVhzoNcXxOcnnHATB9
CH4LtcsmhEzbgO8b/COxt0fP1fMH+UsYbVIn9+5YYtnPFLicsNkyUqwPOrlEbj3/BkQNM8/4xVmD
101PY1h7NzQNQXRps0Z8MVBzdwVgRubyQ7KQcrCEg94u+Tx/zMJAFRAV0Zr8K0bw/Nq02RISBuPb
z2Hm73mZ0RxPJFl98fqq6y4HIrdJHJvbffQqgqsJO252I5lEk92yzSA8ubwTNsXQnnV36lwgmETs
36vOdndxamV0VbQ3akuTC8fDy8WH7LnAtnCW6V+JpWfEbgb8fzRKoTIvOuocj5mpG2aHtKsg9LRa
nsdkcN4JBgl2XSL1KW845rG0ahy2yKeO2AXrvQafzcA6iDNYcbTpWwPcDS4k6PYPHKvRXeyP8qgc
nbzqNCiCXcwqMD9EKNUfWJbjEm1rPKa7joyBaBPFldoH5bwK5qc4o6AUMXWNTKr5LmiQ0W3jPmV/
GwKZd7v4JQlDRoDEPoabukLkWjaLf3D9FAopo/yL6ZxpE3htdW7mtLn3x9beNVohgOJuZgFr0LI9
ahRAbNjgyexSRqk/M7xZ/SEUYa9PPszotWXvfxEwOd7NGucMn832sb/Xq/1XzMb+xLBg7wr+HRj+
e8sj8mF200Wqrr0hUQ8w5r1NyUDzph6Xq9gPZb+Bvojjuy3HU+6pn91AwZOzWtykopqupoQuSbSo
jrKCindU7huUhF88bjPfMZafQaW/ihF9cMecd1ekAd93RoU8O+rWK63mUsqOX2is8YFzDR9wfsUf
1BTAhjn81JOXf+KskPuU54hCv3J3qZHV3mGOjkHYbp4iJGBHHYx6y8G5q4EZH5208n8NheWcIlt7
Z1BOp6UKGCsr4BC7ZgbCkpXafdKOQ9wdYo2vEPjkFQD66XOA+bnzItDih7A39nwqcsJu9hyS089l
UEScYV5uoY7L4IKEkqKrZWVd4Ly22k+JGdnsF9XKazNgGatnavpcuT5knmY6NWBzeUya/H5iUnxL
hh/ZNhBizfU0j1SFwdQvv01GDBMDowqCgVcGz0YqBTwSp4XqKo+euAiQsOX2TlDJ/y6sWR91335f
Jj/asBscsNhyuOkUhyh4pTrbNljVo2OJufjUO+ZIEHJ+rPqExCt3NfXlqulfKHfZ4hemA9z53XPM
TbxrO5n/CdwkPEvN2mYy2fJOApd6rGrEJxs7AaSCv85g9V0Hq6nkuGRyc5R1cZ4EwTmoVdTdkLMR
wcgBwkXIuqLYsUrv4A54nGO/l9djQX86+IAwUa9d+Y5hqmtLXz5i9gCzWOqZpHRMybOdlAiUqvwH
2Af7BzGVSAwGBGCTOzl7rzLi0Mh1fEa6b1N5DuYrI++TVqq99OFrI/vDHmCGkzv7pIbE09Zrfe/K
SOFQSIXLTki33VdsWOiRx/Rad7G1H7mMDyoEPOOruLzmoCJIaemDt8pqG9Tnum230AjSjXDiZ7Y8
aCJTNrXP2Mi6wwRAhucjHORdEPuBIsdImZuJpcmeE9dsarciCaWPCTlc4oZ1rZM1/Z5p2tkgL323
ssB+lqpF1oTLrXtZxpBqL87dt3bO7CMSMczLiOROjeLfHxBVj8exyOJLO0+UIVNCLoaUkjpnyf0v
zESfyuKDzKugBdVi+Xs0fnTkfKgfYX9MlEORdVu4bbD3oukNptO4GfAikhKZNPURM9QIQGzGe1f4
t42MIM33tAM9+B7am000yRTOkGZVbuvgt9279xaaky2yHTg+fmTulUc20mxB13Uw12/WwUk2W6iW
5qw/IxViNmUQJ78qUcp3+Y0cSbhJoCRc+W3fHA39BmkMFLa3eBPNF8R5YrLz2f4DStGiHwjl/QBT
NFNy6W/RSufTTTKikeNnJdB4ip+tdES3t9xuPlF6mz/IYcr7vJPi1I7o2bRd9ubBBmbiDYTkjkHv
wDtmLUslhc1IUA77FjHIWbrA0KZpebBdZAAkdOJnKP6/zP//TOav/gYdIv/876X+FzYLefJZ/foX
h/i//8l/LBf8v5jxoKL3IRMi819jgf9BOXT/cl36BQ+/2bfd+395xIX8SwR+wB9gxcS0X/67yl84
f4UIgCCG+qwqOHX/R6sF/xv6+c8qf9Lo2V8Egc2P8ySe9X/dLNiYYWMi8siqcjwGocVg16wFQpSO
+26QA5I+Gak3eCV2seu0QoDQdHlAAAejUGcH3sdbuSft+DTZU+hufNnLAwvZ8iaYh5WmkfSPNeQi
MAxrLAs0LfpeU6SnZKirK36hcld60ImmEKjejZHBNF8r9EdXTUxU5p0EmcW2DZ1sunbePohE3+/E
PuP1f6SRZQK1lAbDi/QRE+5n0ofw4PoJ0geiekCjwUBCeo79iX1lWEmqhzHKHkcAziccfKRVOnP1
Q1b1HG6HyAGa1+XONkfnvQJW3OHZJ9Vu2pK0WUSbicTi4ySBaW9ZOANWm6rSPUhPjTAb3danbKAH
qonqggae9isYPE9WSHgMTty+iDwiWoEtLSBx6BCRf8rY+NjEXGVVhV/bS/0tuDp8d2iurA9AhyE1
WkEmTR0B4WhJ8KMDRIlLqDQ5G1ezgOm2CwrTV9vyG5Ce6xWWzhYk+BFPENQLkU/4Bleuulgs90/i
rbB1q2+aa0py5I3TiFWul/Sam6ELmQvJZs5PzsputxZrfMiQUf10CRchMAOzGeVfO1k/utYjZTQC
ol0fvbZT95aQUUOTFUMAXgj3jWmKx+K5dgvab7u3e6a42D1qQC6B80c1aBKh2RHjtvi9Gx0G7FYI
T1YLX5rq1GXipjUNhc/2B7WEFV45KWJDpwF7KHTXgoOzGkLstD6h0WsfE24oWqeUcOhsycppV0iJ
Z1qWzafd9fOtPWb41ADJENjQ+PnF0r3YKyKhQLo1LP3TAM/AYgit7r22PtTSMYckzuc330Tmxo6r
kOlb3r3OTZ2+eWGGicBdAs5e/IfIe/rlyannGfwzuiOvn8dtjsLvLkM4sC9yDMteg8APz1p4GPhZ
R79AGRg50LO6rg/AtFSkZnb8StOixd4Q9ntDbhZjtIiIYqyp9UmUSXgAeF8dJdXHq2a6SvSE+6Jc
wF+2wszeEaHVjlcgfXnymR2ajQaH9RiO0sUSxyedBjvY0eF2V22kmQQDRH9B/EAy3TDMF7evVlbb
Mm5bOlRymgwSVqf0+P7RCsT3aOWXB1eMYL2qbL7jWXePjcjoChP2eH+CyesfUJmIXTZI52mJp+UV
pKM6FT5a1sOUtagXXAreVzQ04s2rs+Y1r/vhD0yV7NV35BndwnDycn529h0N0eW9ujeibN9bUXYP
1RoiMYURzpJW+OGTSAd7WyVFam8znKzsFzlTmL2hl95PrllQTyvxOS3YKZEJgMcXoo3vvLHId3oa
y685zvy7AMX4R7ZmXiTf8Rej6kYGoT5ExCZ1zinUm19+F4VUSJipgXRb0txl36EaoU2+BvYTh6CQ
YHp22SH9Qd4xNSzE7OJlaW3/wZTzinWzxs2c4OLc+tKZ+JwgXnZI3J13l3gA6ziA/acDLoroFm76
cDGcEY/RnMa/CUTDlKHG2bzl3ykiHUfzyf3OFsnWmJGcapi1YEhm8KbLhXoevjNJmDgg/Clk/KjL
uPpU2uPtHxlwb+o1zsTGbS22xJcgrXaC+VrSzEOYW/NP5qYPdyy8EQGl0bwXAV4RMDTsdrWBVeMJ
0EJeRI4KlqG22elCK2dHzNJyggsNEb8yyXAfOKTRkS3FS9LQWqTboBfdIx6p9ohoD9PiSAf5lGVt
uleKaGk7C9UVGsToMS487z3SZERU9hJ9WFP3ZDflfI0rnnVLA1TgAdFeXp7qiVg9WKsCUaIbD+d8
1gwGHcsInNzGvVZ50N8UbU4qlaPC5C6Xc3hL8BOVd7ZYwxp+7i0PqATj6STSHrGuTd5FMsbyQ2RU
xeMY+1dOkNgPbkXiXuqF6ppQ0JLM56HE9jDg+qfgC+/KyhjWeLO8AO20YAMPIzLjwp5Sa9+jJbIQ
graphDoQtje8CuyKGaY+YGiKr0Q/qgsgufJz7trwE4TdcGxhzCECdl39y+l7H4RfKp6JRcdq4FX+
PkAPcx1r3fwkk3f6DEkoz/Gyy55+xMpbkI7jpE+KUSII+b5gO+hUf6KuJlBnrTZOkNAgebWuZWgy
Onnuo7m+zib09qSs8Y0aJj8bf5L1oV+MIdJxzLH7ehYcWjsoG6bKOfdtwLDvNkw4XjatIym/k2mc
PnFwsyBMSpRFSW8G8g5kOdw5+UB4L1G8OR6I0q9uotQjrXNIzYMGt8DNrjv9UNV+GW67OmSdX2a+
t807rjrwYoR7qVHlt103Y3ROyvqSIKtk2u5m4hdGcpRelhgm0P2um7JTNVN4EGK0X5RfpK/c2Xm6
1WmDB98P6/GDnC95VRRBcwyVDF/CRCv2Nxq0YVCTlEG2+WBdFSmOuHM6dtWzW7Vut2mJWLrCumt7
V0ll3Le6sQlrBsF3TjulkEt1VX0Zu6m96hGjPc52IC4ezcgBvS0WriBeE6KW6X6pOr6QkEN3lRr3
b6Qv15T+4/JmT1odC0C+524JIEctQfUYRq2HzcYVdCOqU2+90Alu5wk2PLhXT0ZnqLvqJk2S9Ja0
i/ythvd+Q8HWekcMeXg0WtQG16EZgndCsWYED+qH7RX0L6yBdpDgeZxjDycLKt5neAI5kYFlwaKQ
MR+eSr/zXzIIQQRvFOTMJkDx3qvYnl4FR2ezyYRurrCah/uEzGaCqRYxs8cHu67Sejgbg0mC7bYi
ots6sIQh1tvKMsJ702n8MMKg/U2Z42whJ+bvgWEktkLLAuLS7eCW7jhBQOjY429iwML9gENdUxjt
7SZFp+52nxVethP6chJZ+lxeOX3w7EGOOE7h+OT4Y/OmPUJ3Rk+z3/FH3ApLxur8iOhhDawp4oJp
0WjTwNozksVxOYGCHsu94zrpo1jCcb4MFrIHIhnIxdrTWXs/2BWZrwZPbkp7mNJvEoLJqZ6VUTdA
9WUKvI3RIG3tuPBhxYLOxA4/SLASZFK/py0hKmQOAvUzguvzGK1czyUZ8vvsG/YZrtzP2ljWPeu4
52Jlgq7+0+f0GxRar8zQwZsGTPsrSLRZmaLNShftV85othJHszrWh9hOgKqlo/s8eWe0O9kB7eiG
pCx505W2fV3ak7efmDqBIUDp41dJeS4dPIg+BLz7LuibHVkEt36ZOreKUhljlz09RCsgNV9Rqfk3
NbV3uGM3LHGgqfrt5O9Y2IoDq7rs1plnfR235ZQT2QRV5FSyGr7RC8XiRtPOvMpvfOvyjXIVprLU
FfbfHpgqnJudu3JfW846bjAjHxsWKNnOHagSD05bFXhNrSC0NsxJeDr1Ev4be2e2GzmWbudX8QOY
ic1pkwR8FYw5QgrNSumGUEopzjM3p6c/H6Oqu0817HPcgH1h49wUqlCpISVyD+tf61u3A/DiO/Qb
ILMkuSYs4NM4H90GCm1Lp8Kzm8kJ662DnGwVvXzBjGPfs9jp6Iu1iN54gcWWAQtFZvkVdbtAb50F
f1uldsOKSqB27c2Vizlci7492edEiQacF+uU8+aBeh3yEtkVsWs5XYsKkkPeNTHXcNfPKrNg1Zx0
ba2gj4hVCFEWSVnAlMRcGZrgzVsn3hBxosAGm6/2oVHR8IhRZyYtxZl9XQGfu8BzUm+lIzFvMNAq
bpTr+DWph85vE4QMqCG9uLitzN5afA0dqHJwWBdEaWHCRKwze21HFtgITwtADkC8wAYkCuKFlG4j
YfJGeLBze8N7DRzFRad3Ai+HQsKjCpOc0qKjlpE3RM+asDHJWX9tW80Kd50U7smbhmH0EyOMn0vN
zaf7vGwmTMC4ur7bxgrLXYV6Nm0D0TlMWx0XIEQGyzq6dOaC7siyEouOC7aCTS/zKC50pwfemQFc
ao7Vv4tmzhqs/if6Z/eNyovT6JrWK8uS/SAJBWHMD7xT0U/d4zilbcppan4lcefgWYjwXrP8Jp3f
RIIpF0sSlZLXO///aU/lTfzZlG353f2P5TN/olY3MSvCNaL/j//6f8h5qQvdMBzzP1RIbn6HoBA+
pr9YL//xgX8IJJ7xw+HwZS5GSwM95B8gBNf74epoHESiXOfP//O3Ggj5Q0i+uuchWZoOxs2/uy9R
T4QhiO8aNvs4M2TnX3FfMnn8q/nSZZJp8QYKT6LFYPT8Jy+woinNtXNH7hsE+hDcFYxJyO6YBxFK
4ugLaFx27OQ4VgfblOrR0ieXeNSAbWEbeoH5XPM6Hpi6S14hVlVKs2KNV9AewNTvci0yn73WMW+C
YRAQvTW7uzNterh9h3SWgsZiJdxAS+KrO3rn6uostHI8TNBvfdsOIwrmgy58aokqUXWlZZ2vlK49
4WCrT65y1M+KuC1xIRcKKeBlvy7cBzE38bo3xe00lZBs0govaNr2zSd+pwqdxmxxxfCXDc8CCAnA
KogwtL0SCFwP1kJNUZmLoJvle0c1+aU2YmPPLGJch/Zs7qd4Ylhr1Z5PuesY+gRb5P0Qmd6TW3ru
jjaM4aZyiYsmEz5O0zMFHaI5TANuMEuo2zd6y6heejjT6iEoR/oxWYQedE+rlqlDPOWbEryuOBsG
zUK0dQ/9fd2z1PshxUjhuY6Jm+4g7FBDjggd4vQo6hEWnB6M1ZoCBvo6mIF0/TbUJ667We9p+v2s
2950aQihFvcQHalKnwWX5X2aLHngqHL1+aAEw4xj0CN1rcsk0PuNUui8W5NJ48+e1d2+d3Pkha0+
u667yiLDQixXWAeRDNpebQMumTsQYtGXKKsQtHWVe7uiUfqLHQxeQ2IwDLeAX76ZzJ6UNtR3BjOj
M0sqTSCm0PbaCIHBgUqziohoDCO+FGYsnHO6MfduzGaAY1bH93qcCryfWOHKLEjGVW2LYQecqf0y
897Zl4YW0Urez7G+zkqsgYxf3CfbSQIQXE4pJ4J/nfuYcak6DwEXSgt5ZR23XfbYpVO9ViZuDbI2
0S4NzfIonCKnSNRjQhW7R4YKHilsfX4KcONx4yjt41KSQCBRI7hH5SmeIhpY23bx3cR+BGjngssw
gN1MncAKyh6tvhntxquyBG29qiEWhuCdhozqFKyFfK5mPdGLcW5gY6QrPbHiJ55WdSqFqYOiM8oJ
n7EXJ4cpTAcufIFa50onW1dxXwz7Ib1Qetu/cXrSiJ+WAf7fkMEkI95hBG42awO5dTBxqzx3XsY4
zu/rqdyVA9Q+LmnzC8CN+Ms2uCw2rlM95ipsd06kEn7uybSTSVi/OTC7DtB71U3VTb9pWCEdiTEy
37hj0O3T5WwmG0dLf1aIiY9DOekpoYDUea+mTiexiIvjMGS9th1xmaxjowIXwG1nY/e12lLiXe9m
j2ByM9o03upmus0Yx/hWE2Z7Iq/4Dcjl2UM+3sgl8hSIlkt0G2Z32LvqY1slxRH3p3cJzTr4sIY+
6P7vRA3+/9sWJZmR/2hqcPpoio/uI/3rnvjHR/2xITruD9s24A960jNMFzXobxMDx/pBEZtNgpVI
gk1XGLmVPzdE3f1hsecJ9iq+AQfo6983RF3/wXsBzoL/Y/Ev0v1XNsR/xspSge06bK0mYFtJLPWf
CBkSGEzldF63QUOgh3W6yCD91l0mVfgatKC778v0uybp959kclznn0M5UmJ+Q2tkR0bBNfQlJfHv
2BzwMM0Fi6w2MvCa34GFuVqxOzarwe6xXRqkTblXktRgDhFjYBzbCtBEhrvgNtapUIR9ASMnZWos
mZ8j3pbuRKzJsOAg1jHsvXUYcu0DFTi5dxBKOTsq0dOhYweGHzVmuZtl7xy1sMNuj+Q6r4rFqEJs
E7KLbC5DmMm1NM3PBNGYCgh3S9Gd7ncapGmnLh6mPGd1C8XyIguOs6w0FgaJB3PUJTIh0/dbvdT0
O9pJ01unhTux4u473JpusuS4+XrBNLY7kI75/WSXm7RKzkie7Q047gUsx5KLOYF6Yy7XMR884Lr3
c/yOn6bUrOfOacfWb7EoX2Lyr2cy8bavY2lYGcQpWZ0MuhYYPCdAbZLwJR5070Ha/Uh4lQlomJU7
fTDU/VTW1joo6RnvSG+B92wsbQt0wwTX0QMaHrS2+w5Gwxtpa/Igt4RJ53111cDcZhpwEoeNJ56h
ubX8q8Eztg4qM3po6YrnmGJNaQHjO8RlCSxxSaq60YlTIyYPWyvOBvuCb2q2vB3j3LqIeKZVm+3V
viN768Deb8U5viaXyaLdjSFdnf7MMZzBRO10R+iUeKSqiq730lLjuU/cbhtpAe0JTeJtybPMJ1rS
q2cOSY7y66oFIeuYdvliIB6sjQ7vHBakoUK5dbE03YWGiZkismjj5TlQHYTPos59q604NZFvtPZA
ojEvQYRi18gMRtNMOpaiLWPCibiqMne68OewyhpDof+2NY7KmxAhcdMTnbiL5NACiO9Bq/iqIXlu
61p3wJGLIdItSrhPYS9IXLScr3dW5HC+KcPKfrGnnnjynEwk4sFr4hMaOw4ksmmxCJVONR2CvHWo
Iirt6obcdfdOCpYHKa3Fz1CU0e+gc6pPfjLxQ5sW3sVJbQwR9YRfehNj0vlpUSwBuE/F4dZI4C6u
yC31d3CJ+CqzEel7Uj4eeUsip+9DZbVHSYIVpikiPMnTPgGlGpk6VVREaLZJm02PRjmbDwVTE6hO
eGBhSnBFz1eLHPNZc/wOQTwN1X0f6N5765bRK9JehkvAbcobBPSUaggvlC897hKoJWBLNjgFR+D1
Xfs8YNI1cJQ18qOOEw67FTvvWtcbeKESR6+AUF3rv7U21h+jrspfejsJ7uVoOj8L+mX6pQY+0CBB
YXcL4flzKqeJodoo+oEeS1lbmxbaF2bpOmSbD4ATMVcyFeNBIJAdLVoNPqC1HB2DbikpZ/hlhruj
rBXLWxSSD+w7V+wnJjD9Lkqj5oExBYUGXiiy04zWrK/Qh1hFUicnIk7pk3aZKm4Avp666QsZDQgR
QpQcAOjzwO4nGoZKkgv0HuUSKZ5aVWdiJTQcHOpoXwwFc8xfVeImd1qeRXcGZUqK0IHtkCsg9H4f
M2B64Vdqr0Ad5Bwy3UpuAks2S6FctLYqa4BwYOf3YA8SHPVooQj+Y/3TbEm2sZiJ6W3grvfOYs5v
1KXahGuDo2PMhGOpkfXqwwT5mqFDhbU3H2eOt0OH7DHynWpVd1ShZG7Md+gho/YFy0IfMAGCbjL3
t0Mnh5dMNEvI2cog4gQ9Vsw9IT/jLe7a3vZDhekEQ7JWkFaZREIg3VB3GmkMGttHm0xSgCt9gzXZ
+jlQKvVFUwaWZrBNLOmgtbBYILqGdCRk0QwizaUa5aAHmuGsHNNMbxFmRHQHxmWINlxpzWPZyzDa
tZnZecdJU0xWJ6XzdjUlcYG1VSfax0B2KvAnSjhaLD6U9LRFi39naMllW2aNQ3eoZkZ/gbkwQnlw
GoJHJZE0YtnYyP1yEPCAgnKyGdHZLX9EJz22GhtXYRSqcj7EnY8U21R+ZbgBlOSmeXd6TQf+2jgv
KmnyY5/36WlOBAuxQDLay2hiB00pJHil9IBFL3Tj4dbqUrfY5KRGnmeiTXjHGWXXK9O2KGsppHwc
UwMCGdOinNyaSCteOaf5nlRPHgrfeOTHRQKsQHjDrZsPOn3EVe+bYZm/FgiVxzB1qdlIHLadUC43
NFnMp9zAo605qj05vHobwMoaperJrRoi2mocsUz7dWn8CgM7u7UC1Q4bRbvTAkKJHaiile2IPeWm
y+BducGHCCeGIEpyZTlzp6HSjcBB9CpMIAVrQgJLRmIcuYtUOn83GtGnnwuI+4nlt7pjqASgV4zT
W8n+fJbQuhlmZUb2Rss7Tge9nYkchIJknd8nGCi55+m1RzA9nXkNNdG8D4qrPDP3HqdQYNwJp7V/
IzbCAeBK9UwzkPnpkflGCxQyZtqT7QwrBpLrlh2e0wbE39cc9yEWvLp1bN/zNIL0/NKM+9iqwcIC
NOVGaqTZGeOQ82arKPrGUZxHXCRqMjWYqV1+cEnEbZ/74WhYh3m0esreQywCk17JD3aX+F7qekS3
IrAZWtEhcs3Zuuwq2oG4dqfOBRoBUTSrn63xkDkFnTWkNSzcIMpej9B2eQm4qoFhwKRgeMFt2Zev
9JND9GmQG0EelHRoYJnecjAgiaM6motPU2TJRzmb0eDXOEvJ7weMhqpo1EhL8ZPQr5k9VWlkpHLD
/ayNzjwVEdxsIhZ62GAxIF1Ta5o8K0t/q5f0H3F76xcpAS/bO4LHbOMBm2UKBoob7BIy8jemwoTR
iHJ6tSHyjhBiyhAHQr/kDUGfBe06wo3L22kSCFsNg7lgx3vujhvhgu5aAidaeVK9Zb0OXc0TBSm5
4CAEltm3BNteQyq1gI3vsl2ywevfTRrQ8KdDqf8ZN0U/Mz+0xou8xicF+seGjhsuvU6EGeRMNnI6
MjPUfgVxQ11nzAQ1XaWNuzTupt27WfeLXkGf43uoyVL6ZjslH+NAe9Xqj3StPmv6Y+FWlrUP+4qz
CcrN8MzFGrIUmCVCn4yYcXnyCCBBpfjPKPE0hfkgrnHRDGMLiuqc1Y2vGIAdOmk4X3lAh+UIhcL1
APET/PF8c8mc2r0VvQ6j4a5sbebE1gQRlvqclvteTA2QY8QKHw4Ic+qOIOu0JFqFTRueDZ7D0pjH
wiyjztHNKauDak5UGMWa6LyP8dO4qCUVC9I7WucmBCnm78gSY7EPyfwlqykhSJtUmsZAowCJ1TbZ
xqH3ky23B90W2LhiHeXOWxcTi4fZ/5Un0fwe6HPc4Kw0ecNKx7tDwGrOSQSkhs+YOQ+zPsVwbjov
etQmPb9hwMjPj5fiZWQAw3jXNOdi57bJ9BpYbvvUXqPB8WyP0xracauv9KlS3x6nwU+Lxms4Qddk
cWlyB/eBZ7vfpovUBpwjIl5cTSVbLDaqG2rHgMwgzCRoETyFFCAOUAd1Wr2+Y80Z19Vck3SZWVRW
VRFUiojBknUGE09nYkC41dgrwieYNNJxOtIsgfR9TUpjmcXMmkZM321rMiO2saLObnNO8/maKqhe
YK3Nmk2oy/iRDIj2UEKr38yOiQaWO7Prozc4m8HA9FJ6ickEpmbsCn9Yasc0C3r2+4l2JR5i6QF9
6zGhmMHESZCNMqvXYUNeiexgTWIrnCW50BhLTLvWrIkfrWOVz3qH07kisy03Kq3EaaSau2eGvlQX
hsx8X5ljghPPmb3/JkpJML2+htQLLeeIqBNyplh1MMoXoczsaYBQ9mXkYblnPoQqq2Le0YKbccm4
vEk+EqsMxZZrrH0ZphRsiakVmQd6ZonLh0ty3iu8iZgXkH9z3Q8Bvl8MfvhsrLKs7xt3SIBj5DyG
KxrMOGArjWtOazXijr6MWj8B0kdcnBpLPDlLbmTQst/FnFHiiAE5Io6lO0vNU64l4d6WITlPWA+3
JZYAqF0dPRDHOHfFETMED1zAm3/oEru5a80QFRDHPLMRi6zoqh8rPFNACg6DG9qVr5XJl3TgPK1w
9Osnbsn2vUwKzAxALIe6POSGMd+OUfq88LrXHZevTWlS99taILVKrVtjIKYazZCXlhfgEmuBuyG4
QDQqw3dWwspYN4TjIX06XbpRQB5XOMmSdaQocIKMKLYpYYddUevFPaagHIxZU647nVMjRZJTE/Bl
JvrPSrJ8mGi5izB45HAxJvJiena7LcpsTx+EDnBv2IRtOtwVshEvosgXnjlmkXXetK8w8OAdxMTr
euyWFM0ncJUIPFAFOwIPtZUkgzZ6h8AJGH8OlRGCCyDASYVLTZwQ/XlFK5gLy7TJChjZ5B5nsEiW
XwYeqB0W799u6+xqV7Tf1RSld2Hfw6DvAZOUWu8encigBwc+2ZfLBuo7/IBUk5X8EQuswqqKIZ5v
+IypdjczvHD80axGTrwI6E/Iw/SJ1QE5qoHeiafFXneiEZnyM/TtPdS7/rly6vQ9UAKDryEm2LvK
Kdp3M+UatAQWe2NbBEC5dk2SDijiljGuqRMM8S0wOPvS9K45Tzq51VUfeWxgyagLTgMVVuRt1nOa
TBkG3Hs4YJOt7iInKntgMg1TGcq4inU88Ri+iCKny55ZuZDYV5j0WahcXO5UI5uyPYKAY9np+Nbe
OolTbD0q6D90yWs8FD0gSHtv51wTULNNmpSNskUKrxxl0kxQ6PK9cwb9d2WT71lbhpdOa7d1PUrY
vNHb5/XQwldhRMkeTHH0bzc0s3WMknNqh3a4JUNKYkiIiIOp0hPYLLmFx90KUb6RBeg/VKb5YHWC
oX7oCpbEwJXDmrFqCHWhaiG7kWki8RjTVFDhJyc6jdXEEGeCF9U+65aets6NGFuW2th9wmZ1u91/
jQ0XANn0nwHUpbWolv9rV/Xpd8PI8K+W6uuH/CmOOj9Mj7olT8de6UpHR3/8k9Vi/WA9xsosddv4
s1nrb+IoI0bB7cWzKLVehoXm38VR94eBoIo4qht8Lsf4F7HpEhj8X1AtmLYZZDLPRIlF68Of/ReR
0lNYyFKKjjewlxAqSxwn9EFToYL1S52LBP0KSJZxkuZc7kVudgdim2nmu7lXAX/Suldr4CQJwiRK
fsqKjYEHvSgPWaBDEvHc1GUahqC1hW7oXgTZP4qppRyIith1+WnNtjq1BfreUQmJvKDKWDHosgJ6
FyzYaummYyWEwBVXCehWbnDrKM/Cr6Ky7ZykNtPWtWsmdCh2wI3r1dSPY3EaUNeeseBR5knMANvg
LILT3NaNAm8t5CvRDQP3gOGC5NCGC7BoEg/9IvHJQoTHXncl6fUUlMDKZcx3NPR0vm2hf4w08Qow
qaT2rP5IApm6kqEJgJDIKTIeRcElapumHoWINUF+Sde7jkQ72Myc4A5EY3CJHAqWNnY04+QCCA/N
sIXgOlwwazjt2ZBW13IUhXzlV2VqOYyh9BFjMccI4cdJXn3XdD6eMX/FjF3iqTmXUyJsIO7wl31J
bInLw5BMHL2M3IQBacTRltMWg9aCQaO3HjyQ1aC3qvQzBbNWHSZdZeV6alO+gAXu8OfSIX5JtYAx
buFYT1wl+v0UBNMtV3nvzhh6/E/kL5tx07aifDZME9M6VuYx2AEzSY9VM4qQG1gzvogqde5R6eQn
y5oZbxTsKFJ8auRHQ1CZ7PaQyGyD88h4rVWsXjkYWBCPaYhxcSwTPPctx6lP+GaLRyvKazo23Bo/
VsUJfThYYxdNlDeFXNyuC6d9XUTVsp7S4lLu7WWNba/Lbb+svOwsLMLE39GOU88YbqE9R5yiWK9h
oMjf1nURD2abExIaDYt7G8zegdxqMq3r6/JPTlrnz7En1NftIYe3kfrD7OUjSNdlCxmu28l03Vqm
6zajrluOWnaf+roRcZGjPdKdxxRtatmq6uu2JapGfcvrZsaOVFAKft3kaGWBWWQse19w3QaFWQT3
+bI3GtdtEsmNd3C4bp/MOJaQlcGuWhMA/VLXrRYRCw9yYCs6VLMETWTFZNxNV7zR+aPnxURAuX0Q
ouuz3OCqw/EweanwLGU0OW4gQAwOpUTSI25sIBso/AXZRHnCXrQieSmMQexIk80bJ7bmc+i1GVdm
Nv56NAKAFengEJfwik6/15u4fGkGsJ49jh7d7gfleyYcTmyIefEYRsmmy9qp3zGvbucD3eESBFxi
3wjlwkCillsMfAFQ5CsRaHH1i+H/fDZ6oLg+E4ZcHTXa3KcX23IpMIHy0VNpb06jTLe9ElnDta9P
0B/zJI1/BVodPQyqkL9SCsMBgIakAg8DPMb5EqeZTuqKV0ZtPbsiocypdeTaB03bdA8Siux8wdA7
YYDXtOSlmzpSo7XZ2ZxQRu4K4PwiQ1Hn0hHnd1dBG6HG010AcFWr6w+MAnQ1uwnt2Ol6RLOAbGOa
XJwV5ETb5m+7+u925U1CVQpseD5Wd63Rdzu9ornsvzb3/63NHY/Mfzj8vPn4iqaP//Y/60b540P/
zEwZP1zySOzu7KMs5X+dgJKKWcacy2DUwPbzD0fQ9TjgeuD7/7D9/L1YU/9BfwShKerHTNs1wfn9
C9UoOnbCf9rkpS4wJUlAzNKhK2DJZ/37SWSsA9ac07ndLm0M1lo0KL9620QXnlvxEtmd/urWIRiS
Bu/eOb4iHGgPAPwwxCBqLSO+NAjgSFHDZJFThgAxX2EQAbgIeeY2oKKXEGPCtNIWdgShJcYXlWGs
R80EKSWyh3rhTDh2aeOQU/2FwuwXJJhR49Y6PMV2lT+Fc1F8KdsxL0QKEww52BgluehDE+bqLk9H
aGSmY4O8aK/4C4BNkDCMqcOpuuAxig5N1gXpIXy0qOneUwF5niSWWclGXT8UV9wGfdGYU2U054/V
FciRxE3/mF8xHbM1MIwBjrFMq64oD+OK9TAXwoemuQrvYl0w9jOvEBDoWZ537K9wkIlbTXM/wWz4
sogwxLvQG9P+RdOhipTzPP4iCg1qxGi8mgYFhw0jTBYYSbzk2zGxLpAS+wosmTW7/+6oFiy5+eb1
e4ZO+1QS7yTCDu+E5DAUfxAoEac57VhdwShUhMpfGPis/mBKnHwrjEA1DedXpEo0QleRC2dFvyJX
2EFQBllXnqy2jN/UwmZRC6VlFK1zm1/RLa1bd7S1LEAXckkDAWMoLwuQDSqfDfsF2AlZ4c6m9Sxr
695jHg2jwl6IMeHCjjGvGJmZh+MBM5nGsi0KQZKJDQccNgzUK4aGaDf3PGECp6kUvV2kpKkxXNg1
NkQDSu2LgfF1lYRn6ug/Vc7TMhZ1SrNAXjInXUg4lDGEaNhYq0XG3xsZHQTJlZsTLggdsdiP2wWr
E2a5+2pdWTv6lbsTLQgeRnK9zwb3y9RLwfxqAfWMdrgmmhLvxJXj0y1IH9nlD9WV8lM00dm2Af84
ju29NU0W34RodHKTLZ3odee43O5o8IQ0rOGxakBq4Pq3qSaQcYi5zLFI+DOnL6L02tuDWBVlSXVs
C1PbOe7MGA2kWIuNqY/XJO0eoE+LTVzqVr2zks5Ycel9InrSvzVLSbyoUDF8b3DtyO97oo5btwxc
cy+CfP6g5FVFr+RwotiHZgTnFEU6YfTO0Wk4CAeH6mpQMw1CZS7i4qAbLjR0qNPRz3aIxxq1OOxI
mDHZGM/1FGp03ACZGOiJNsxoa6XSWEhTg35pAe06DNQa+Ua6CHY8hztHC3ZBrqxXy4SRfWtbbdRs
IUFGajsuvom1RdfS5EPHN+3tMMFZWCcjv2i4SAX5tZVphMV4S9w8VDeUCMDQ1+tEUHPr8aceIncg
pUEWWyd1zdPl4tXN0nEbhCAF/RgSSOUXkzdnq2qm+ocuue5JJJl9wKUS1o9pW07uBmO8l/weelrE
e/jpvNjs89QaznoGzCJShk/4K/2dDZ3XcEEKmmq16I0E4GzAh74uZnSQ1tU4q9P9GfRr8tLfjZfU
PhjaAXZHUqXtgScTebSKGcXpWDLvUXOL26Kw7S+pjYWxt4jixkdl2c0vfGoNdYYRI0g0GY79OB9i
Fgm4jYW09GfimUhjItWtbZZi7rRFVYd+5ALmdWyEeH+mYNlYQw9JmL5GtM6uWCBx+KtE1aXPXxHY
RVxhm0sjk4lqNqYkqxKolG99X7g3PXPz19LB6MiVZZgYZRnkmxoTcwRKw7hhHQq19dh6w17q3XDT
e7V3h8ud+6KbkPpLNDne2yO9LxbRuYe8L7COD3g08F0UYXkImLiQtMpG/aDXU3zqOszYttbUTxRc
mK+YwIat3iAsY1GXCKEDQmnOFpkTgReQ+8M+w05hjAksS422Ym4QCpep8s5V2Wn4N1syqxDlFR6H
orpoXak+mJ+N77hDrJc20tODBEG8FU0fPLBbxu6u1p32qdST8VeNKPWFw2N4Gpp82PZ28eixLEG8
rx2P2F1fPiYMQwixYTA51nRDQSHRqRCkBcJc50xxd5S34hC0ra43fZtTZrR1swVw2mbyLQS6iBWR
GeoplZP77eGjWBVxCTMr8MQ+6br83XFyHBwl1/WB4bAyN1kPUYUpXrnP8x4YS4O/xqaHCQdQ2enJ
dsJKx+Iaok0R8zirIDEj3yhCvTpPuYkVvW3m8rnOhszBU5EvlpW+sg6VpfoTZduY20uHoPVqEl38
bmPnv+/VZN4kdepdiiYlz4Op6pOtuTnTldS+EUxBGcV1WB3J3oannAgU38vEQmXD7HrIY4P/7qze
u/C9dO+0AoiXVG9RihWdTA+Gw/k6tqeKmkXpbFsn+S1dIyMCNZOFDLBx3vLbK97ETFh4tDv6TJrO
3pWGBfa9rL6wicx3EWOYW04u+IS9ImcyiEhRe1ocHfDTIkXoqtmkRKh435zRXOuECO8FfaOQj5Q3
3etKm6tHik60o2GVzbsBlQnhzQKDsArKOnfXsKp7uDKy7X7Jurfwb1T9/UjTgXmAVJP+LIcwDC+T
1TEhEIlV/CohnH4GBIgRKsYSNaCl7pSZDwpwsu3D3qGWfGLQZtqZc6xcLFY0PZb8c4pAoPp8NhYz
oTlOj2AdY5Q2IJ6t0qCz760ETKI9tKzM/HL1F4w9RbfpmJzTWxahgVQczBBx6TreTfPQfdulx10C
3zY7mBmpb3vo+gOdH9V5wMF5tLkz3aclqBr8DRO9wXbWJ88ZlQS7qM7bUxwFYickaFGo0Xwi7msZ
oyig6cS9WzYbJHKAj07a8x32Ef9zgdh7+ybJWyaiQNs+ag+W06YezekjnrTgs2tHB8tJ21PDEULr
Af42LjK1Tq0WKJmE67zBhxfwcmjKWiGDFJeamtkHDqbRmnSpQYgudkPMQirD3MDnDHeGl5TvHhFH
3jezGLbctmMduYNwdGfX1VtRdjL00UeKD/xW9skKguDDVKrd9EGjYA5bWnAKS0KB8PEYWTh8S5uQ
NRN0I01Er50b1p+zKGu80KVj38aR3RPRQBwD5jGNi4GheCo9eoRWTVMyDnFpcF/s3nBq6fEzNwZh
kjtW/QlrruPNew47ZYXtJQifaYdd1p2BZbI1KICHxa8DMg4wTaxxehe5b45T/e5Cr1yHVMTPlyav
bYs2uVF9dF1pbxwwMqWf12l6MWOjsQhC5jhyMUcQb9MzZ7zpGp2LZIvu/hzOnffk1VXq+twEcBdO
kdgDESCgPjqj9VNQVRc9pqPy7oBRmtmGBcbFAqexfSzOGIwf7Mwkxif7GGUlvv0479w9KS+t81Om
GBOQFgxBIobkYned1a5svXHu4znRHHxfg/Eo2XVIE4TqBRBM/GiCXL2jPZFzW4Rb4D7Dx9dvhTfb
LUcSTdC7zHSJWHgfysdeevEFMDJJX/q+pgvEmfQTycd8qCsW6r00S3oXY1x2uI1t7YsVL9myP8st
lL/kNyObas1RyH5Gzin1LTlH+SDUIGlVwAjhe5FJS3dtkDsdJswwkSydt9Tp57tcNNqvkvIdMNJR
E5+MtsuX5I7zDTkjrs7UZJUBCAE7/zJRol7mAVZkNmf9yWEIFq8tJxLYu50+KbYSdX7hT7EK7es6
l3tChdqzDKes32QtrDLR2d0pB7NPuC0WOLxsLNT6pBrlFwaJDZHmQ+RbMApeZxIUmzJKIEw5WEYc
FNF43KZ6WZ3BGUOJ0MK42QxFCHUhbMVBz9XPUXTM5sIypv13wqBdGPV7UIrlMiUpmYpQNOKmYuWx
Qus+RuzZ2FSZ0B0xQY6AJMR5TItejFR3V1bDaJGnEEWq9b5Lx9q30mwOIzHfTe122dbSonHnwtyl
qXgKfgdYui6YVln/Jk9LVs3I7ZDytl2Z06XF0Niy1sbYy9vQK8s7AubRoU6qdqtPWrHXW5ow6tBR
n0PaVfeONgUuyhxHI+aT5RNDk3ArGWvtCTiG7xxnWma+0UNcsDS3im90mqmvHlCQVk5fBrSQUbJW
eQ15x1C1Z2wT7NT0BK6HePjk9tAddJIrRHAhBW36Yui+0hrFaZMMGe3NsHbfk5qp47qoZXcceEB8
TZuaU4Phg8Nimhw9Wt4+Zrf+miuNsxWVVMt2ym2sigp62qamwW5lzDuuQOG2B4HDcAdHww35sAJW
tG2SeCGFD77f2JJrl/ddTozGr0kqnmSddmdRRWi2WlUna9duxMWGsuPT2ybPZhk88djfSys89aMi
7T9YGHpSRGx6ezF14HsCmOat+HVidEhDIs31nEQ3EX3pKfEWlb3gHsJyFEqPipscEZwoyrMU3fgR
V+l4B8mVRKmg8/5mmqWzh5FrHcoAXMxOjC0tAIJR15s0xCWt2uYC+o+qirbbK91sOAEqypkE0fF3
Tp2BTzuI/bMl0fOrmtubPMrqEySmfInSkn2LQbT+wp8jfoUcN/x/Y+88mhvH0iz6VyZmjwo8eCxm
QxC0IkV5s0HIpOA98GB+/Rywa6aze2zvu5YZpZSSAt77zL3nomQp4fVNzolCbz5K5DTL7LZ/yCO+
t+7UJpJfrd/U2GVrHlHSFvI5184lkWuPnU1tzoCb0B0IZ90b60zz0AkNvG8Ovbmb9PbTKdCGZq49
Hk03GB6CEKMC7Et1MxgOtxtkm42uCAv2cO2mJNyHoVzLRs6qTzVyyXgaax8+HrTnEgCUXyu1Sb5M
2hdoZzWbhLFBAJyCb0BgWKeAKkVDIPJ1pPTyx87QrxKINTqjJ7SioDPptMjruE2+G2wbupcSA75L
5rh4B/jOeKLXNYSptgJ77gK5UX0OYllSfqf5hQWm9q5FinWrJZn4xnMJ0i41spyhOb+HfU93s8Fy
TiOBdTR+TiFfmWgaYRU/sGwsit0YgrOCLthVvpPV86uMKpMsp1ruR+L76BdGvbggEdKs3TIg+QhN
RfgynRl/GnK0EM6B5M69ruiUB9FO6qobJDb5sa8eoEd2HxrxcSulFflOM+N3kHvRUQcuUvhZH6Zr
dWDOQl+XoUANSvOxtqeORcSsa6cQc2rLorUhe1xrtdnedqyklI0+KuQPOYuw5hlUg6ZuK25NDCRB
tpSM4Q2si008NAkfROf2CNNb9NyrRLrqTwVq/+zgO35Rx9xm3QLwHzFLZyev0AKbAxOcgoltUqPA
0RDoHwB86vnjsIBUmGdL6yaHmNEey2jEqT5HuL2wZw8eTi1ect1+g4ydu35N+7bVGc7ZnEixSrSi
gF9P09m8A7eYy80wsLZOQ3J2aM2Ux8oJnBvFmluPEhIvUg8RgFcubs4c+ZZxrEEK3opAN76ypHde
mMygOOI+opKuzG2RZtXZdKv6C4cN3u6YDcfNWC+x4m6UfcPeVIJdTa4dwKSoQeQtZpQ4K3D9jUnF
x8CADbpGqqJVDaQ7Il0eTsSnt0tb2IfMIzKkdkSAVB1CmbYA8FcR4Wai70J0QfTQsuSJYYVQDicR
8k+4c52+a+nEEpL+JifbSluq6yY1O9szmqp/1YN6KZXBP3DnQE14TBkHLvDCrL8taF/405xMHS/K
eTBX3NOpdajZ2H/gzSUAqI9CrBLIY6hwuKImG7nMin3ReBjcapnui+rFyoXzOhOAMqLpj5RL6ZAz
jg4GWZQ3oEzbOBPwBCCqfbOnEs82cq7YdAZT39LekYdbe1XSVajHIid8N+qp2hZWbwE0KByDpit3
lE2HrnRtxo75ZTH/UNaJlqVHALdpwSmvOa9Jq5BiKyzMjklt6ZfcVPVdlqMG4AnWs/tCITl4CHT0
bPAeaulpbggQAuV3cSOSRe3S1jkvSU46XuVLzMv1NtByRaI86IK82sPTD3q/z0WyTaVtQFGFdPHG
xhWTOhqn9rmfkJDB0RnRKg32IgfV0m5GEAtQqVlJ5H8ffRaJRxAcaJqMzrGoE7DNHbECIu9hjZt8
aGwwmVvEoyI2UygAR+QSB83Btfv5JSl6mi4eTxzyaTjaplgZ6oicEKHzNi8068BAxI43haMXWDTU
7BsLgnZCwsSiNEsXxQVa/8a6jfuwe4a1lLzUgyqBJ0wBqvphdhASpoqNshBpv0Cax6Ny6KZgLlbk
ddXsSmXoPuZxQzc/ahw/kyWSz2AaWKz2oHW0G86JGHyzCqMJFg1UkL0z1k2xDR1X6schl/1MWsho
fzXsy54yS8NDmsbk1sEXYqQHrsTGvAlFNFzRCyipn/YN2kWEQHr4MdqxDe2qYVbKktQ5J5BJW+oJ
6MUrG6tdBo1Z0ed1WiCBWZtFhzYkKwQDGxIk4ZfKWFbnBLgFCSRI496sICEm0K77N96kRrtpVLXf
hlXY9jeVqqF4Bzmsu2sAfeF3gLo92oxan1DsBeAWPa4lzpWxGLP8KdGlcZjdctZWat/VljdwTRor
hYCOLYT+ylc0EldWslKnG1gHLHXpIpXQY59bo6/LyizxtSie79ADpRUE1rpAhZe67bpWeefJ5TKC
0zAqAT6/Lpn9Wk3YNA+srjhQVQyGK05VXa6Qz28UxOH9zTSYRe0tCYazl00Vc7S4URkmtbbFOTBH
rnNuZxIp2bqnOS0YEvs1MQKIFBwdns+2dEJUBuoQMiyaSn7gUBnb4NRidAg2WS5+ZKo495geBZPH
BM2/oZSkagDhhGpmwtzNVkpWNYXfcmyCOu1q5S6k1XCetXieCE6VMQ1MQvCFMwjMjbT1RvxjsOl8
zyjITD+JIa9nowNWjsKV8IHBju9TXDI72BuR3EBFsp8rdE7HeZLhc5JHC/jTqZJLVmd4KfXAL2Pb
TvcJl4gf9ER8hnUng3U/BsUHCx3lu4yr6TEBp6+Ar0IKvsI1003HjKuwWY1Olp/pIUdnh4iAWXYq
3S+KueZTTZz8aVbHBowJZiaEc0p0UATLJq/DTFyvuoCYVd1aaNER3GihwD5laqFvRgYKR0Y6BsZq
s7+06qQt4s1Sh5JqD/NO58G97+qhuidJkDfgyqyOFnx1cyVZdwvUOsUQNx6jGtT1fKVez8NCwM6V
lkmUqBYydmAslGznSsyOrvTsAJZzcmbYAFV7ngWE7QpDn7Vrr+RtppmOgSoDIHc3RQ+w6iCyjGL6
gMHl6wooO9IsETNfmd4sZBCOL6BvarIR6DdEOOuB5AKGFlcqeNxY4WOjCeeRWhTfhHoliKusohTK
trp+sWy1/MG0Ty2qN8wBPKdV818a0R+ph+IkWxfWyLAf1QKMjAVfbuCBzagoG6jm/9zP/r/2s39h
NvwfK1rwOX3zNwKs//yyP4kNxh+2wRIWOCVcWsMxEDn9RYMFy4Etq+1CXjC0ZaP7237W/ANErc28
F6msjjcI+yaSpy76t3/V9D8cHV48fyO7VBfV1D+yn9WuFtTfoJYowEy+DSZV10TaxSL5b9ezDECK
SlFTd5c0ZPkxnGE7GLsHo0OYXHUkE3hmOPJGJQUBdhleoWgen/KW6po11UsTgutSasZlYZCPRxt9
zj2GuztBVAikI7i1YjAAHIwlIuK8ZYsbNcGzoTn5qUuVfdsELmAXpz9maXuvAGqGZThGn6aSzisu
exAHMrvga0IfTXdGH91aE2S1ujc2ih2DAK5MSz5SPTgeVnHmIcOEiygxRkaL9aR6hByVsAkCpL+I
gXZKgWN457ag3LM+j15hJf5KZ6Ww12G3lD1jnLwzRP4cXE3dxYZxTgqO+DSijhoccDaonNo1vssf
VcHFb/RFfR7NwVq1pBHeJzR/Jzc1d6wEstV1JNbE5uiRsCg8Wcegn6L4VaLfXVHJcRUrBXa3FhwW
ha2+VwWil8RehnFqDyVTywVXEXJPiqu8uleH5HvAx4RtOAg8PZquO6ChXU6Gd8wodFhtUMjtpJUh
3gMjfJCsNzp9UB5Q/mR3MB+ULZPYoFhXRqDemYONrNbAkpUtLjapeqJZ/k7ENORxLEHxqzSL1GIH
9W26C/B0bjo2QB3sXJxWvUJhsstIwlbI3MyyI81Jl2yCWYMjZowtmY9zEiDsRnbi0jC3/YLlCpp9
C90oIkYoloeaUam2Yp5OWqmE+V6v8CTJwEtAZwA1yA31y6r18ZmamTxyNO02x5xd15Mn87wDm6Ag
CEP2khI3UhvYXJAs0vbCunJJOyEA5LVrreZEiBHVqgBbFrMfDozbKCxyse4GRayaZYhOOhWsfLeQ
t6aht+JuSju2eC7VMgMDw85Q8xvQMFbIg4fhPiHyLdox1+trqADsj73MoctBwVRrZ0UZip+yivOj
3fRh6HeUFdVWEnvG75yIqEPXpgiYBlJ/iTcZ3LtWhnsnJaZHMwfoCiaKQ2ZlawmxA72BHfqGfgaU
+5q19mVcgO1wHDWvjZtd1LFtYARzyrDBAaYu76UuP4PKeEBR5E/CmM6A7NEVp6d86GvQgMFaT0vU
BycrZ06N7BHECndPx9DfM7TBXHf5lO9DNdUvDIWUXzzO69JB4C/R6nexsi5G505V62pTDnBZOKI2
ZNVVa/6pP/p8l3dy3dKyYxWtXnNFS+5aVd1XFjjaoWmYakXg6rjBrHWZKt9GnKUPLp3gylLaiwNF
o4XbjMajCXkYnHBH+mfGpCF6xM8COiMl2WLI9HDHShYHnJWjlZiY54m8bL1pZhJCXoDyYeAdxO+w
HYsy8medWk1WLMkKBxVnXepr22AcRlerl2BFi/Kkxon17k7hg5blMdBPrd8O9O28MsmGsYWzFjrj
k57wpa/ZmFu/wYYLChKppJaMGDecfVSQfyxN+4Gj7xQSjbvSoace0tjZdOTP4ZNhJjnhj6vdZptX
Tk+1q36TGEi8nTX9CtPgFmNX6WEZszYIDx+xbIpfQ+ekn+Tl/PymDr785Vj/F4wOF/Y0XctlAb7g
d8mtw7gI5jJ6HI1m37Ft++8APUU1SoUIW3enhJUKhJBpKHvqQqxxl5q3EeT82APEYRIYi+3khIYh
fg2TZew+SmnJVW4NEedkZ/HWWVgALolW9a4fjmlDOxvHjo5jI2U8G0t0cGVTiC85BbzPohkwUdnV
wlrM8rmxWDb0jbYaq0YeUoFYYBuFltLsG2FyWBRVcJRTIuXGvJ4myvVkqa+nTLscOCOTDzKkkLdp
O95LSUjsgsbrVRz2TpQm912iTPYqgy+6b2pi5prBCr+0oCpXWhfinrP6mywA+e6q+qZf0g/0RN6o
BNYcTbU4ajjYjjrlvp9oaCsxyuGswsZCq+1iR+n1+zkX6EE5zm4spI3bmpxHZIWk/YoybteLHlUv
Cu2wINl+CacsntgnlH6tRxnPKo00TNuU5Lwtqb0kUlpMxrfIPXlbLDUBNe8i6io9oxJJSuwIk9Mj
Q/sc2QbzMrbzAJxdC4RereRr1w2L56h25wubMwPFE91K2SRHumPjAjN3RhFB9sUbh0LrZbU9b8yS
CFa7XLyO5Nklt7Lqne8Q8aCPFfUOe4Z2sBBl4I/PE3FSAcecUaJgqOiajq0CEqg5vskdzTpiQiRN
DYHnlgrbYIgtla0ArMRiXgtwwYThFz4S3taR5Jn3ieWyJx2p3SIGVe9iaWGfFOLTQLG9Y4ib+21p
Mq7W8uaSRYTIxaa2zfJyIu9OHNSBpsPuFXlkPQbaZmxqf4jaxiNdMYbQCn9yuqk68xWb+Ojzyb1k
Ide/kcbwAkN38hWmCszRxGPudqWXEluIXIqkA1CP7qh/05MPG6tWvsjUKljlMjSrou6g25h2RALX
VBzbPHgJQlTfbJJZ037GAl9r6cJNxtg19eivx7kngHAU57TWf0FYck9pjwZK2GqzcUbF2ZWi+zCd
tj1EjpBea6XR9+S6A9F1TgsQTpv2bUtmdVLFDkid1NkirfmiWMQLaOrf0oCNvACDCQANnXUu4vho
JMrbHOXhNp9UcWZEfAL4N3l62mt+AVZqrduCHPWuCrwaCcBKms3McK0nzAdJg8svG5sUylcHdn9m
bcqq7U5zJeAGwTbd2kaFF2+kwQqD8ZQJEe813Mc3ipgsig9SQZiziDvEG+2FoFJfd2W8V7olVwwj
ZYbnzo4P2Aw0cHWw8X4xF5U+urLqJ5UhrVFqlRvW3yUiBlND3cZgXIuRQSV6mmyRmyPfyHptehtN
W7Yra5y0F3vqccLLJldf0fQwp+kMtUTOkCREO5NltMqDMPISRjiouTTQJltlGdL5Zd3kx2C5o5vl
tk6vF3d1vcSt64Wu21lIV3i96OX10p+vBQBhnhQD47UwMK5FgrXUC9FSOfyz2/p/dltLv4M49H92
u5ziuWw+8r/rtv78sj+7Lf0PQ6eZWXg/6DF/a7U0DBU6cn0Akdx9UIL+Qwpr8BXwg/hPV00B2v+v
rZb4w+WuNF3cM4Kv/cfsLoLv8bvbxTEZ5qqubmlIdTG9iMUN8xuSZ0RRToNDKk8hAUmaaVFtB7PO
caaJs9607h686hsRQCN8zv6XRmLRKTRxUfz2kf03JYD7Xzq+5efQNA4Mm8Z08d387c+huyFLGZyn
O8gb2a5jPGWAxCo5EvqbKDoa4P6tC2qYMxIoZCQmxjItDE74fjsYp/pjX9tMfQC5Ps/xWeeu1JOx
8mKHGJYASPtg2cdKMNAaeF0Ns7tjcbYVAdz8q45d7Z+GNrmZzIGws8JHuHFhd3E7pMFB0yv0ihY0
4PzFyMNbFkzEk5rpYx/rjY+j84N9YrlW7d5a0/aNbPzCpvIXNP8a8/JkrMr4tcU3iOJ+kwbTLgn1
y0BMGVxAVKd8sK2ud69wYoBplLO6sRlpE4R3A4qaRJko9CbtVCold4DOLfVCE3pPTNQDd/yhDYH2
6vahiODfpAucs34YR/ONlTNLlTE9o7SGdBJC0yBQFn2CGaNNyc+kAR+s0fzFVmPnqO9Kqz4tBWzY
2afGbO6tQGw1gq7EqKwHxsMrzebHAHXlTT29wJR9lpn8jmvd2qGVBCGeWj8k3wR7zkri9maoJXXa
10gp5mMnhhM64XZth2SbDELzdOKY8CvtG/UeM42HV8RaozN+APB3ESo7xYFr5lGnxcyKyYe8gQTu
UCf6U+44NZIgSDXtQ12MPzJ39mOrvs2sOyYyCQBZV+QmxJuJCBmtRkOZwwzMA3L+bPfpuvMzNyrM
/ZUh7Hw9dtKfVHkOleA1qFigWvo9shROVLt/EtTiQnyXObNEVcILAGFMBt26HOcBLICp+40GcDrI
1u7YvSc6K02GEysEWK82j2YdWU8xvF7WPMU3Bzz5L1HOXoghtKYqfp50X+pisArUAD70dOiswrfJ
YEZ18pLk4tHIX+ymmW+xh6Yvcs6PbWrcBRS7WwdG9opBHU4fzVqTyXu0C3dt1QWCzvTV6oNfWJhY
Rd9W5lOLNnIlamVZ06l3WmezUxnmPeFDL4YohiVvdw3I5zIH9o0csXlbJho//daYsEhXJ8zCHpJ4
3O3GVN4Y0BqA8oR45KNLR+KcDxZqpxuQePFSwRZEorpzoosMxQ25ZKBo9ih4kU9YFaY39xLHfbLi
sn6p5m43p9YnvmM0BEW2ShXRnGpXLIGbbJdiS/enkbGGE3+ambOp04shVHRE4g781lqUKD1hMUE0
38lFatSR5jjP1osSBx4xrFseDZt5tpbvdfBNKylwTAVoKVhCHyKNulCbn3DgmmsoEm8xayAPErBv
zaYHf3iDpvrW1tqtpo1eMTv2EcWDH9bRlyWNiwiS5XXSbl2VBR+jglvWiPsxdd8RMuLdNb/LVOyT
er6bVAPmi1bmmzQrdubi0MlqJdmUNl5WZir3IK1aAoBBKeL0xpJ3aSwmrq3KJ0+zGKrKHvvTKY+L
gZ2vPrBxkHRs2H0Uy7yYDV6nDBDGREBs7BRbGQEhiU3gDZw0n6VJDMBkPbNN511pSfZIoAsSgbGe
xpK1bPNkz81tUHRv/ZRXS0p2hLHXQa0zPdjDEJJBfxrt7ghiAo9786gq7u2s129dBmAfNiaZWzdI
TN/qKX1JJzvfdhX/Dng0k4IgUxJdZsfa/WQo967Dx5OL2kfIf+h60gT6FPJ0bZTMWOwmYScw7AfV
2Wmavp2b6kdP8y3ZkR8OgQaIj4J9UUXaCXUCSbQ1FmxRO78QDzyPC0ACM6CP/2JT627lRUbW+rkO
baMVxc6Z3Q+wnXAzW5I1XLLdMiuC8JIoT1rJ4redWp837NxN4gVx3ueEpc430Fl6at5+JClIbN7D
xcv/Jt3gUii0wINzo8ruPGuqZIlr0xk16YnB1n4OjV91qJgrbCQZauL2ZuZjZSR2SuWwaVKL/MFy
mLHPk0yLotRhkxmakB8DX1fTI6/evhOQ2ntDuZBDSdgh6SW+SJSToQLaiEM0D2W1pcO8p3Zt+ZjD
uzbrt7XN89A4fJKp31j2qXeJUJ2NwwBXJ2sOVrRo0Zx4BxdghWbtYJlvvZ4+AQ5DTdFs4eghkkNj
WHIIqSUhx1GwreiBq/I9aguaK/tFNmKPzHPdZcYRRedukNUGuNFauBTpuHv3aoyfIEVrkNoPdTCs
qXrBx57R4r5MOQa8Idu5POlOJl77rLtlHrFL0c0y2trGXZCuzTbYAdJA2iqbRyvoCGzqr2m/KUyF
FweiqgmZAEX8qnA1JE39jbBvxpn1s4FrAD3RnTLrJ3hQG1lBBXTRI8MZsS/mGP2qpiNCU58F/G00
/uRyPqumtUmSedWoOo6Ssvb1PlmTmH2kfvPkEP+QRvgdhcatbnVn3Wp2S0S1Og2+SqXOYMt9dRbP
bf/TmcIDv3mZ0Wi2ZnM265GXsHzlFXkGh3Ows3fppIiDCzgvybpNk5te7W/tBOJLaXK8BNHJ5NBi
pXPXwOe2h/HcA6yfKmC8Zv6eh0q2nhTj07Xrs+w1MgCnkx3GMB8SnVGRIK+ZbbXoP/q5f40S12c0
tUtF8jU3xSdpYsdIOTlVsCpGDa0Tdkorqk4t6aV5hmAkcVZD/KDlB51DgYA3g2OZDW9EZLXR9T4o
2u2gn+bE2Q9adqu68S/6Y1+nDyHUkPuz7LZkKCDFZnSeqqcyRFGWufVNaKR3TcEadbbu+1yCRmPm
kndv0anIbrT2KTHStV4rm6pNzlXSMiMBNaPL+JkNMYqbmdYw4p+VXOx5XfT2lpXvrszbbwOYbhSn
u7HmA2Tja+REv1qwIV1iSEKslYjQ15ZtPTdj8+nWfeB3hoGYX0bPZq20Huid2RuT/GkUlnHHLFZ4
1mJlBtJJYVPiTmLb5g1KQxBI5qUdoJHCMC/MY97CZGJA07+0MtsqENtWttE8N2m1AybLZLzxzWVq
qsktDScDk0eJIwW5E1JlxwOvdl9XCH+CdjsJNKqS8MLwJAfT9QZM2K7Low5cyB1+siiH3HDX1e5h
yHEQdAg82wPZlZhTwU/cj3O0KdtNZCEEDkrQK1ozriHCcH8A4lD7+56raJlerSAnz+5TaGsvtLr3
ca9yHjjbOHxM43Tb6eYO++tlxheDs/ZmVPM7KS65zgNEsu0cvyuIwscaKG/Zoytm6zB0O2vQbhhI
hyulHg/IJIQ31NaPy3yHd3MqITgL4H5NScAyjURVE795EwtovJnzaA3hxjG6D8R8K1V1+zUcfQK9
qB96xX5BgFZiIXtGH+xDutvjq3dJeCQBhYUKJemI6hpt6IPIH6Xph+VkDF5/HVcHNoo8Nc+fQpWc
40ImMWILohVtbuRGbeeDHRTpqXKs/EsxI9cvyDHfB4HeUEM2bvdqDmlJjz4T+xubvSezbvopEJFf
3ER1Tmwa5LckLdk3QKhtTRNZGVk6gfSC3vE0x8T5werqyyqy6M7Rc+uo1iFjVg77fAfILn0ubdfx
M5G797PUF4V2F73nVMO7DLeJvUoUU/gdIWmHBOpr77HiivxMJ2dtzOK9sKdwZ4Of+cW3dL6Qps2f
CrbqXW7i7gvURAAtbAhVgER560RTc1CLJD+il28e6PeojynMwMugD7oDvqw/OvzEnuLW3C1JhNMJ
muqxlEa470nd2dhMUS7FrIzrYBLOPqwVbA65zNxtX1b1CUxliI25IdTTdOe94lbtSSvs4JA1fXtw
e4RLFHG0XmPj8rmXVnXqDFug0p1OpaNJ6hl0/w+l09nPaqNOX1VZoPbprGATIre5Nca5fBt1rNWQ
RhBX1jrvj9OG+aeTWP0r0TomwBwZJSRAdeYjhNfo3tXV6a5FynQWQ2PeS4PoqQad63EyniX6jtaR
zdaduxH+uDCeFMOYJMOYSXszHQVtPLGba2MeM7xHdn8e4tm+mbgw3yMztneY6ZwjBhiy6Zu5uPTY
nS6m6NrbDFjJnnQudlQmDEk3hEsWlU6PMrcIt8wlMbXpFYwDtNkM4jXhkY2Qb90orLYIgjhVUtjq
qygMNAZ8bOCI6TNf9J7BEEKw/D0xM+1cjb2+M8iWOyozEzNrLpgdZfGlJFg56r0E3b0nu2y61bSJ
m7TKJ/kAC9GbCMpup3yL6AZ4bT1/mVkCBH1owbxVgXwMFOvJwcaNZvbNirOdYeb7qMTRNfcZx368
w6p0hK7po21bwk5NT1GdcG0oLspn7l/VfiX9as8AXPV6YXxbQN90LfkwmtRHo+/JMN2gcvQLKrdF
cWqOYDoZ/Z+d0FC3RdC8jFr5qBXGPiYkJjP6NWgzL0p0fuJ+K9OzpjbPQrBEI/LrFZ8rZpAQlFeT
W4/SkE+BIm6rCToEsKZVHKU38AT2IfhVPHpyXwmotqaiZbu8kClULO12cvqVoxmZh4HAd+voVMdD
C86GopylwKrXjI1sOsiGiraufLaBBEOturIlGGdRKjkb8vB+qqJ9+t+HHfqSh/Db0MUxLODLKqso
2BOGI1T374YuFiS6pDMthPrZC21+fJzHfrwdhwoRqMimg2otO9wynO84n7Djx5b5KBIQFA2hfQPr
5kK+OqnMP+3rq5Iubw02E/dsLm9StLxT5K8Fm3p5z8T1jVvevXIO04cBawilM69mv7yjSMeq07S8
t6DO2+fg+jKPod4e+ixVDmHAuz4tbz2ogYqmDihfns/1KWdfvR36YUlEBEa4TyAMkCXWBBekA0To
LmeLWE4Z1NTDPgw4eVTyqog9GfRHG3vyXS1a6vMwiroHNSnbB7Vs8yPT++ZQzU13G850Y+5y0mmB
yZm3nH7Wcg6ay4mohKX4pS2nZDN18Z5kWSLk6giT03KY9su5quCS8fPrYdsTS7KbUid6LyrqDNRc
7r2RpIQfkc/0LPWIhmEYFjZjNJBnMw3RnYEx4itwldHPiUHQq4RL/noJlH0qtsNyM7TLHREst0W5
3BtIR1nBL3dJs9wqzHPKZ7HcNMr10uG3We6x8yJ8Xe4kZ7md2uWeCuws2o8ATMrlDouW20xwrQE2
YmbszO38zZDwuGSN4mLWRPuMF099da7T5inOtJfJXGbQ+TKOHtwRadgEb3pThQygUp5Nv7ckcoOc
Ak6LXYbZYwGbesFmkT3la5UWnSvJk6dnNWYlQ9lZSoQS0mCl/GHkZl/uSiwzNDfY6zYtXv9mjdpv
+Y46ZFTPzh0yK8dAwXvLQimKPJIusktZJNaHU2vaMU84JLbWgGB4xRqQSgG1XwFrjgTHT12t7qSe
uQFKJc2sN1GgU5fQLXgYsFMGXrnlIEwgsUo1cVvKmrRIus3doBhvzUIthu9NJzFTV848vhMCCi6b
0Scp55GMusesi3JfGZJmjaAiPw8qTjGHhv0XTcyL4qjmSe9d128r40nGlJ5S0XTQ/URJyy5yvLgO
s3tnsJQbJx5Tn4ue5Ec1jR9tlbxzC3Es5hjrMRbJo1PHEQpWN90VNmV2n6uHUBedX8hojDbWKCl6
OvILJaGFsVCZlYj4Z0IqyfJrjqiK097XxHSDWRbUW87/PvBgeIktX81elIcCXewGgRWy8abUtpCc
m7WQxPy0s7F1IuzfWTEoq0itzQ3DVMYqKpimZZ/lMlBULczLVB9PVTk+lxpYkQFE763mZNHW6HsJ
xLFPy5vIrqJ1lobltpumykeNgEQ7saqNg8sQg5hsN1LjXYO7biAZL+nAQLQCAW7fh0LagHPS+DWe
i3cTxdoqN6tmS4Rkt81dvdkGkN95rGIW6jnby0a0QE0rq1shVK09tWK+CCXP4HZ0c0qLSqWdvyCY
cUiDpGKaIlr+yAnK5zLo+A1PdK3B0g+0rnzk68x9iJmQaxe01FPrWMWx7IhZ0yqspBXX7qkM7G9R
tfljqpEl7YwcKEpefNPF/CS69Yi5Q3ijQN6oKaFxrkqy0tk8azQ20XeLGQWxD4qJtG7zNVWBYNUf
f06T9jpkMDGTEwBonggt9sgDu8yC3ClI6D9WO99PoiS5wukJjstgMuEssDWfpiM8t40m1zpKejqR
Jf29YEFVlkbzINmVP7m87XSv4guhks7qO3mym2wnGg4uRXcGOuOqWUEfjG5CWz/CngHQrPN+jQ2X
BBz6eM1A+iwDk6Vnb5c1qhlZ7iMIlTu46vNr4ixNZqgjLQTNwNchF5m9pJPzexCn+Vp3jQgWQKZ4
BrHVtzZZ3h+I1/U96FL1GA1uss86o70NSru7SIQ+FzNQRnTFOtWTVtu7camo5FJb1UuVReJOdgdU
hsprqcE0pbP3ylASRXutzjhxjSdnKdmapXjr+cSvF+8/g57+D2IbWyaDfcr/vMO6/0g+2o4g7N+3
WH9+1Z/QNucPzUYWyB5R/5slluX+YTgstyx2R4b1FyXhn0ssXf1DCJgtlHgQLHnrUPH9VS+oGpTI
cNx0sG6qaf4jekHHQnn4W0Flo0dERqWiViRNCgnJlen22xarVKtRKZSu3ZC6ktOnB4vmWctM9M+t
W1r74qqKbkfZWlv3qpauLW0u1vkiom4blzI510LnqEnCNAd91G8sTvLYy5FKZZ49NBWY8qsyO+lz
rb+BbLXpr8rttLaHbjs1sM9XUlYY8PH+0KMuwm8QUQ2XZV5Ye27UqiFrKM+rrQXN9Y1IR0iXAv8H
8U9DUqJuK3NcxGoRhDdQd61Pva57P7RRoo/SdejYxXyqiS/w82pOPZfj2q/qPr3nQK6/JGuFj+mq
aVezwPrM06541VB7NayPFu07CblRBEUOSbxUbUQIKAeh11zl8tWAIw6pRD4+oI7qIXyazFhYJv07
e2eyXDlyptlX6RdAGuahF7W488h5CMYGRgaZgGOGAw4H8PR9wJS6M9VlqtKmrBZl0kZSBkMk78V1
///vnE+98SnAR/M8jW9EScnf68psoGU7KojLPxL632n93LZTYmDfKf6lPKdgbizYejA+JOmfVE5z
W0qrZddhqeit+aYCMFQQcxDftIDOW8XWxGUi67vWssCyyC33OuVp5kbVQo87BY65bw7BCBYmIRzA
x/d0d9bWkQsPDdV9xQle9VlBlqbv+AbyYuHvRlnu2qzKPpxe5Zc5c5u7YiEhUssanyOFMGLhKEAl
9NhWpwadLiOpRtOaUejmpewq0JxvwoKzEGGTamrR45ukkV7SbxwDijjZtHMkFnTQpeXKT7IWHL0b
XwbdF3fMQ9J7gP9M7mIonQPejW7vLPxH9gcLAvIV0O38DYmECy9CjmBgfGtpy1jTgABSoox0sg+G
C2kCD8wZJ/oGUKygAagkb1fxOyONv2LlZD6hn4EGQ5jJNdUiWjagzeuIoZJKgnOJvpGXb/qFe+34
RkloeOHsyr5NfJMywzc1k0aTHa87XCQRKSlROXv9B1qjM6fZ9t/IDSWWAwqWSF3wydn3qtPhc551
3irCNT+sjaory3U0lPMd4gNQHii6eqVYfR7EQvpYgM/ncQC32hcdPQwrixKat8pW7LS+USGrlv6v
pjeDDcldUCKpnP4k4slHEDEu+meP3Qwsmv8WJbR1I2cRFhF3RYoMB4CKQMoaG7IPkvkYOiNR0Fri
WjFrWA9GlAasU03z1oM721zmW6aoP6j+bV8zswg//CF0z4EeaB4xF4AqW1AqlqivahDLp7RDMztF
T+47mhGf9Qdsu7+l2AEuKxpBtNqKdQoCVuWeJEWmTI8KJFA7R4J2eagJP9IsCRlRfrNfkudAtrPz
mZt/PtkTdQUgphX7wQH4J/ZBys/tN08GG8HqKcWwOaxH5HMMDv7gz/KFRWsXLG2aR9facLCHVotC
K06pzwqhYlKzn4i2mBF0W8ML9r12DfGef5NvJMmKz6kFh8sWMK7iHT6vArNLf8F51jdBAEI3mqzd
0kixzrAXzE4uwF34zd6Nsw+HlyxInjFTRZ5VhLoss44uRF6TZ15R2YL086r8Jvv4MJnecjUVNzi2
IP+k2bpIMfPE3jNmqZg3BMOvTLrjnkRii9QBhLD6pglVZtEuwBwNypCynvmRh43HiY42sPcwM8Ib
+xtO9INWsh1v8h+ERoEXqVUIAkDb0nhtF7oRJsT8nVYCkMcwY/LNLq9lZc77+2JSPvbZOy2wZP4N
TiI0ycMX9xuoVN9wpRq6KUDut0CX2vWwgiPacuyrXLjMYCE0w29Y01q4TarFMBp+w5zdN9cJ4Jn0
kJ7Ownz2dqPei4UDVQsRai9sqDd6xqP7DYyCbATDgnMFbOdpQFmMzcO7Ry7MP4iFOY1yBsF4Oqfh
aGFlPwYLncr2Xy3hYh1urcapK1p5e1c8mm45evyzsXgh+jvTvZSGBSI/tkb5aBPVzl0CViuy1tYn
HRrBLW4J56dBse4dXTdktVoI6iIZQ3FXsinggWInHudtT1c/s4XGrQp/dNZqYXR9tsTrVMg63Bpz
G41romg6eEoWthcczC43XonKy5PuAv92rJnXMT3hLHCpe0HNFJOZTqiVRveyAMTeQG/i1pvjO/UN
GAciBjZmpsFTy10Y5M6HRmYYER/wpJg7u4wYaS3Ucr7wy+gb7UOihvQJlUqK3YK7cLMQz3Heqzd2
gUvMuVzsI2wNSPgu70NjFdKVcPEG6dxChj0oFBIbx29f6wSnCd4A7lpZH5Lu8OIzURBO9/Den2Oa
mccETGttew0NJEMzsYsV8N09LpU2+MJK8tEnLoFEgWO0j1G5MdHmBknAZnRf+1yAGtcNzCKJyi7q
VnbNyOTITInr8ESSuDlqFxEZPmxuCmuHffAA6D057TqhZpYWeBkC5I1p+FnXbY1ZxOqtlxT8d2bw
0QvvoKGxxpuZl89nTJVNvdbDko9PgS7Zm3es+nt03OTVswNAvLG1wQR4rSBxUCNRGlx/QbcpHMr5
apLq2zTLgoecC9/OG8hD4AjFRREK+/dQxP1bETrdZpyn7sNoKZjKZ98les3Ah0W6F/s3gc/dqIp0
ZW1zCgzo7qJA3r9MWW0Yzy4ylXYV60HU65BESbWxWzoPb1rQdGY7vGDIdzRcSbZJ3DsQ1zIZj40w
nJvWYpcBC0VhyZaWDWTfAfHbYzQ73VfYMn0t/YLAjRs2xbEsu4hJQ2QOAdy0Gd7OMxgswiUZXfXc
RBcTp960ZkWbfpRN55w8KQ3unkPafzQ20Y1VT/vzTxOmPdugwFkc3Ab3mJXCVx1AxFpsKnsTTwrz
n2ImEOlRq5HzU75aEm/YSuX0o67s0T/lJRaAxqY3c4VYqnvhEMUePI8s+1fXTvKHorXrVJReSDeH
HSIe4ENpvEkYy/FJEkmw08DyYlIAtCjeqsBihOr4Xr9pmOnMGyvvJbkitohHj2RqxvDEtMGs5fLp
B08J3j+a/H3EzucrXh5hrykwJc/JtfpeR3P94vjk/9deKOpjiJvnR6ZblR0QCrf3AxuSehMmtpy2
SvAlL6LG23ErrTi5jlmHtcMhaP8OPtTe203pP8SdZK4T2z5NcwmVA80yw+J1MnjISHOH2QX0c7aR
oaaUC12ZXhkcTO+9xNNnFS+UHm0V8yJ5nb0XKr1QpyR1CoMsTOIY2zClp+g18bL6y0ZAB4TYTzwu
Er2cjrK0mRExqL5456AQPyBJnpJLCO2PJb9FF87bJkpKJKMiQNLRZowqeUBPSJqytH/JY9eizJrP
6FtFsdO5UsOw5S0gv0rlWQ86xxS/sZqouAdMInLQmtGLPYze3h6i6EtRhvFMw7o+h55nvE1YW9s1
o4z5XteZeuP5y3HBbXvbXTNcy0CEl55lXZrh0UQ581qLCQRP8Rnz6rsm4igXKoDuu8LM8n3dC5ax
bkSvyzohXltwUjZz94h8j1NMJ5jDH0JO/yc/GKx2VQ+pcxSd7Re71sw9gt4pn26A4mk77WMnTcRp
Jld/9pQ7tVSYL4ilyMiybOCJot+Haih/dZJk1rrAGmtvO+5SL242MQf0Uz1Ka2+meLhYlsvUPQkY
VWQIZOiynTdrTdYB4CEy3mvZBYcJNjysqesuPGyOVcYoYD0PXHc2SK7r8AdaBit88Njnd3uSJXbj
UsdgeSzTYvVOfQDaw8TPdrqHdEfvHGwT260NsAvXJwvk27wwZ5qqLmDKREmU49LXN4MNI8fH+bUy
Q+/J5PNmPhHTi+9pP2uLOzY+y/5lySzYFzSYKPxS0JViW4YJAzvim76zdsqB/kLyap6cBErBtm2v
6VxzPMJBpnC5WE3p3rC5r+KTZ3VDehvqQPmUyMSxPmSd6Ik/eNV9H+DSu4QeZ5KnqcCZvI8IEzi7
ju2vOHrQQygYkkaWBxJA07TDXzR1P8t5Mt/pSgV+aCblxT9zP6EwLhgTohJJ0TsxQkihbXL1QwfO
z+YYL55lT7QcbJLJNn86/tDRsN1LzMNt3KDLQ0gWXfj4bvUhDy11cqfSwjDhddahNm32yAmZL46B
/viYVn1ZHieBR3GXSvBUVucqya61G+hgDZBQI+fK7W6HwGswNn2i/T0mtig+MT8e1Y4OMz67KJlh
oVi1agK/wvVhTpAcPsYZCoKK7m3MOW437TiV18IhAAQhnXoz8SaYlOZUmYgND3EYpROqqzJIX/iQ
8rsjCqKKY46p9WXQDsjSSohuKJ+hpt3sg1n0UN8n0BqAq82yyWtjIHiz84c7BrnRW8bhDpPC1DfB
puPbwewgxTQfrCSkACk16E+mutkL3NVsBP0usBcz8xxK4yzK/C2impYTOaHTuzRHLV66cfPTcMYI
dtuc77IueciG1lS4JHIig6woaLibnQFNwegzhhUxSgS7L/mYqujx+30WnPXYDFPxy55LLwUHRTr9
mhLpOMeODTwHVnPo0PAN6lFZwOy02Th8/nsAVAOpCxfBdfFA0y3PJnpZ8nMy8o7l1BIL5Irh5Pnr
xEiGjy4IWQhi74cAY8tcMnrlKlwcRCcTpq3DlLx0iZPw+wjnjKmoSKzbyXcK+4qWfkg2/Gk2/G41
mMamzWoSlfXCHqx7aY77MamCz5ZHv9iOLYmQznK5MeVZQ8ba8KsjNLSxLvwgvkDldJSElDM0Q5F4
SGHnknCiVyTOQ4skEHiSVu4MncGMrJQfh4/N7czrsn/iJx8dXMr3+PPMT+utnrtjY1bje9KZycs0
CdJJbdJnewwS9mlwrKVWL5rYOoRW8ZbgiWgYs1Phsg5qyyw3evAaE8NRZhQ3kVItzyUH3z/MQzq+
tAD/59CfUUSOaOQ0NHus203DZX8DS+q3mx7HpyRnkJnDRmNk5YndRv72v3a6+ZdW++7fvlvuk696
Q9XtX/7D9js5f6++5PTwRU94/3cT8/JP/mf/x//19Z/M3/NeBib+J7PLm/eEtonq88+jS+sP3Jk/
97cAvvcbYgCwZpdcPqPKZX74N9zZ+c1xaBCgphenW2D+OYPv/wbL7v6740vvN4p6/YhBJMcnvuS/
VlAfLTjzX3BnL3Sc0A8jm+OUH9hLSP9P48s57MgUTryaJ0zT2yp4T8CIeVbJ8iZ1p/iCgMXbUJX0
XDc5KfNcGXuuscX76HrBNQN34U0c7jOPo2ja0LjjsJxyq/A5cctoU0iuQCu1FOxNecpl0h3uB8m4
Rdu0cOtGFY8dtRWEyiQng9QltAZw2/nXCdEE2TGBgyvjADvE9wqNrV+VbMhycFwni5/HNA53EmJq
FZTehdyZ/x4IXH4DO4qutlmXhBFSH8RTuJvwrRUFEsiB5BcnZL3THcynnYW7mTU5j0BVOhuMhxk+
3mCjEmls6kjftyklrG70qdHF6qa8LGVuU2c/iNI717JB16LIldb2754lxpORxkvAD1ni3k7lo+Bn
e1ujR8ZdYzR77p7PIwkn39AX5fHDjPrGuWQT37KgE9Kt+n1rcIBmaHdF9UBw0azLvaBCprGn+SZ+
4arATLmFd8LkcHKttLgh2vPiU21WMK+lJmtqS0QLjLJ+R/o5byJOJBYh+THknjNlTy35pLQp7Y0M
SNoODRNKdqIb6tcOxqTuMSMPJNq68VmJ2Ts6XIEbcqwbwbiXWjJ+NEGbEFBJ0ke8Cg/pgtd6ywqO
BiiaxkHOMyo0MAJK1DELrUrBcbOeCCHuw54CuAJI5UhYf3pyyvrBydEbriyHLMYi4nhkdsyBmmFF
s+/ptrod/WtUes+OmfV76l+rOy0Ng0stUKkJs0wWElLqldvnDcZmrkhY/veZlpdEdkcDAtick1ed
aHkexXbyJioeVXcjZf97Xj2aXOw3Q7DgwDzq11M5QXtZW3cc1iaX/hUTGAPbEXOKxm5vpsG85B6d
DxPncXpldmgol/Q/adYXu2go4k1LPLz+8ndnx9Y0qF9szGdbYPsIJ6ZfI5+E1FOlGJNK1CX7Fnq0
8qx3l8qEM5Lg34ssujoQ/q5Zkh1r75w+ZCGXAQbbD3JOrbdBmvwZUYutq6LwMfIrWpzixd05kZVx
Smnczqnj3Vl67jEUW+m+ctAeNW6rzr3MRb/u+IxFc+I0JyfupnPmyvDdk0jQIlUlZ8OKwiMRCoVV
L8Yw6iSIMEEnxCVlun5kXihpmJXJU4fvZMNLteNUyyBtyhFfTq2u71LfGRA1VcXPfIqDx9kVSGTM
PIerq6Ai/To6N5Hwd5av9a63qNxG/DpeSSaVT0gox6ewoS0iM5vyuZQTJ7aBAtWVRA743lO2ummt
dLhxdeRdI89tLvkQ6nuCy84NbVPq1JvSerMy6r2DpB6pw4z889K3cZRp5N3OOLS+kEKSz+0oFfts
SvSNXD/4qc9Ki2vWRPrixUVPl1ZoEZwaILzDcDQftDO0NxZhqkuZ1+kzLuoIXMCTF14qwcUxtHmh
2KTHoiwFn+BlE+wtBME3Ed8gkVZEAdm3M+BPnzL/DrLkmH9FpxZqOWKvRozPD8GxAusfkKUcI1rt
dDOsfJIUN40r6+GYdUN308LYblRs0vhnab2abEttLIZ4HCPQ6noIhLBIqWcO3caOSUPLu4A7AGMw
q954iTBRYxLAgDRN3lDSAPmLOvHu6OHJztjdbqie4yC7kLWNb1UrNw6L65RwiuKV9MxooV5JN/JQ
xAzlerC43WBJepKSWYBSurz1VRJmGz2p+KnR2jb2kTex9u2CmflKWvGFGQGmJOr9oJn21ZzGCoYa
weTeLJcukiF26zeDK7/Y0IBQM5WzqmcnSMO3zk5OXdHPO8MOH1Rg7KnXqdYTfE9TTd667Wn8EWbh
71mJXQxOkAduFYxJlPPQjP0FcPExlkHIusJk1zN6J6MQnLQqZDa5JXJ8m2pmGZfRQZKCxMzucI5l
fQkEb3/B0opxQbLTjIagLJlCYKdCxLwA1ung6VM1aPwcDLSwDPjYaZdORaiTYrdMhh6a2U+wySbl
jZp1sI9iRBdqDnhVzaZvXnTjERCkWPQiPCO6sjVKn1OTK2Ei/PYmh9Z7qC3f5KTvEPqLxNCf+V2P
l6rxxVWbfXS1fIfXOw7Q7jNIgO0wKTjpV1nU1XqkZnUnl3fKtLxnwuXdg6kQadnyjiq6UJ3SeHRu
cqMa75tWtBfXrPh8TrvhptF8VFKx1723EyoT1itut8uXd3C0vJcZ+I1PcZBXT8PyTvcsPn0gDPSu
XZ4DYnkioEj2zw2mzvXAzoLXQRs+gmsUPwFxhuO8PFfm5QnjLs8ab3nq9MvzZ16eRGJ5JtF6Zx65
JYpLlfg8ssZelq8gZuqY5WV0bHqdnIsexmTo/fA9K+zpjG+9IeWWB3cpCPeyppjVmQOIjyQuTPfY
SHry/MK/4582blXLvcMi+7sVAgcRFNq0gBqxDLnyzxEnFCZkfNtLuSnzay/I9I4JMZHwFiaAju3E
kdOhdNNyuKmCjIIBr/UK1E1RN28wRXkRQfQozk7VzM7glTYRCafl5U2/phk97w8UHg/JxS7MZFzV
naBuWfUhDbQOhJrmbSe445iJAQoVpulEWcK06MHK2WOeOXpUba0xVGIyxuVc7ymScG4dY7CvlOd4
96DqFpZNB41D5loP3Sy9fO3McWnuWz8tiq3BqE4zHa/pfM2b+MMZ/FZvwqjATSKDOTW2qqRQlg7j
JccZ8Nj8gYpAOOs5rSyeLXR+oS5l+2pdpNPbjMFafi5Vex/ESIXnLINu6Cgt7u3q0HmhucuC/rkf
Lj7ID3NV8xqEUXN1RWqyVzVovxZcKnMJbQXzyNIunqJVE9E3VWLVWkGs6pU5ZD+bPNK7KdO/rIrr
fSgd/C+TfRebraYok/eo38kPEXwwSqJu244xDgeTzaCPjwGnbt1VFpj7IK1J4lkPGWnqzViEEFg6
PqSUya+TUppbxd7o3Psj1Ut1XK6FcE5xSPtprvjME/TxGnz+b825+VV0DOz5HZFTnxp0EKm+4+P8
ebYa8bvn6vSIwA9NS1HP5yzv9WrUdf9ihea0yax2+p1sCq9BldSNAxP3rRv4Vg/8117hfo3/+1dN
m4mAHvu3/Vd9815+dd8Xuf/3X//1P/73uOfZREH+aUDl9lN06fufr3h/+yN/3O/C4DfXN0mUkPwI
nehPOqvQ+s01+ZdnmdzkKPQjivt3xtr+jQwzGRQeGQCE1tIB9Ld4ihX8RjMRz2teW9F34uVfiacE
/l9PCoHrM7KzQgeUNXQYVVpLfOVP9zuMEm3ICWXeNUVNBVfNQL1aSQocrkBw6VYGXbRTjRVvOWyT
V2T+Hl8s0IJdXIztmY5naxtDajAGdwQ4W9wkamXDc7LYjHUg9zaDxyvRtTQgGEA2LiGPSvwev+uJ
qUb7A8Kh2Ci7Lo4MYNMDyip5AM+h3r1Ti3w7qW4F4y1I6qQfoo3HfUCuS8yOrI4nl32zTTKjOpIW
dM9iFDFtZ43bIedzjCvZyrylgIMX5aqMRuMr7hSPT47Y0QeBAh62piYh65FtrVW0NA7kc82M02Fp
R2vKuMX/jf4hb5DL0cYrSa3aBOLh7yr4mr5407MprryNn2I5z3i/yuGIuFC+s7qCC7epK4tl7z/6
s1ss5hybuIxBD2DAQE9MVUpe3TCw8JrHnlaSXVJX8zbiR7e1kixljEhKheoZ/SArfNXska9hPRZn
O+kRM3X5p5003kr5tXhgX5hxPG+KZTs9/SRp7V+YQZozJwTqh+FWc3QbDDOdU16LjE9S02GZ0ik6
0Vc1966z0SeCsIlj4BApcFbQUTDqJZuTBuGzlczmnT914wNoXREdlxVXhz06aW9zZ5zQ85d2914H
qW6PmqKMs5+wayGVq+NbjOwYjcs2HHDhyCxoztCyBY7kqUnB4QJX8WnXJNEdZifbWft94Ia7anKr
Uzd22TpuaLijO44IK51/pRA730Xwaus8w0De2TeCsr+fBhgaFLyu9lVm1Mu3NFBilUThc9N33tbr
w/GSd+Vw21tBwa8y+t4jjKFH44qWw2NoIWhflcKxXxV6spcamQdcq5bWPTtohuG2O7AWlnF9UJTJ
HMrI1c1aK/TuvWknH3QNYm8SqbPF25i0iCYnVjaMEJJhB8LHQZRILA5t3xcPaaDCA9N0IuMIV3ec
BEu0tflQH9omqK/cDvpdMjwyEldrLpW7AJN7rRnr1fk03Kien7FFE8cbl21159XsLDw3RXkpq1sq
4W8om7eIdowzRY7FIjM3+JEZsibTWmJbKzyn3Bee1/OunkaE7lKyvMIfilmtkbact6B+2E6MBm7a
NUz9xVD3jYSMvBAFra6ahfkxaei0WmWs5Q6KeA2dliMh4LkLiSzYVgwd1hmS7pK4OithyHhna7Kr
RClEcF+JonuxcgkAOuKXvnbA1T9G20UPZ8kG0WdA7P/sNbEajzq0O0VBQ+LzQTk44fSTC7BwHim8
0pvOq+pPJtPkYEFvfb+5MPmeCKJbSB6tVyNJx5GLaeDRUZwMrOhrx83NX44fxxEUOI75DeiI4FdR
59FKq4C9kzD48mvTGqZnGiqtjaf68tWyR7c8sSlq2d7lebae8f5gHlY8prEOgcluA08Vr0KMeq8i
LK1rHvYvquW0YDl9d8MtsHoupOfRHYLrAhVzMZqfQZAF+w5Y/SrtmrpD5ui7oc/o7qaZ0blFazF9
VF3MIVuOnJ1k74EYhmz2mgZqDSHekxaEcLlEz940rgu3rT+Toa/vZ9ePvzKjmw45ia1PqUfM6bbJ
F7ZiYSWQXDPpFTgKr3sSHAzDtRt0YbLuoYXGh6lrg2EbMOXxdyAcs3tMMkZEPd5NvRUZOYpDbI95
vCm5sBXXqgwa+1gqR3F7tIVWKytP5idQV5sOtJSNM7kF301B5l0UsDbCGwYHXZRfR682+HhJCNVz
da9WM9wOMoC43k9IbzF8kju0iuS26MriQm4gWRvuOI4rw0WRjeqG96vumpPyM5IyKvL1fhrH8prk
Uj/TrpTQrhD56Wp27eanknw7a5nzllh1GnHXJlCtc06oiZt3bcDGB/a0CZZQQaVBIvEv/TLJM0wo
lqfoI20NqK8mExpqKEgRPU6tWUV7NM2OvTXLiRW8Kzya3PO0Lh66IOiIABQZyajYdxZDlVIJETwe
8OI2qE151iUKs2M20+6jG9vV1wIK+4C/kndBZ5TneioEZmkGwKimEeqTSWD7o9P+IRhVv+sKab4D
CD64A/oWelRi9WiOOV7bxOhovOozSTYH2Cggo4HQ4F1CuRWbnCvHq1SeitauT1PbAfR0SDmp+iBh
XbqI/E1ss2uoYkRrjJmfPavXjz1W63xTD1P/6DOqPre8h1ejYbsPVte6r0YXlaBtlXvqyH2svAwj
ndbTdY4Kl1Umq1YmtaQb4XjsnjfsqrOK+ZPbpcuW31nWx/bccesVadnhpuZXSdyyZciz66Q2sGgW
rvM7B6eJfRwr0uneSbjheowXl69uhmccMX6yFzScPGdjxvOOOG5P51Md9RJCq+1vDZLi8Yp7TfTa
FFF5sKi8QVPpmi0TPsPCoRiDxI8smDmvIZFCdQ4X3fGLFi6VeLfMKxD+hkNX0EaQm7cSBpT4lAO+
spbDVHGGiLh3Umqm3hCVlbfKnhkQk7FwqAvyukcGAsZ7GIIfrZncYlUg/sqDxixTF5+vjWLPLlzw
agpUT3FqmN3Bb0x0lHmquq+OERFQeaKxP7FIdINDPfV0qJE5DNI19aSCiYyZ8sD2ZwuiOGMxdw1G
k2AwZT/k7RPPaj6tkGvjOqiG+tSlzPnWrm5/ofkpDgTugl+KgTDjyJE7Ctctw2MU6ZXztqlbQqtZ
ZiZvXpzIi2dmAzqLgkyqOXXZdbDq51C3iKgKSo+sLT4h71zKDg1cOWRqk0IxmC5xTXSN8sdMJPYo
25zf+aB8dTPmzPwI/2HJRFvONU1l5G4Ln+KYXUWoBnCJOsaVEfe4JwsnY1OFjlC9CZVLhYmCMRpV
1bb+MaUlvg2qsaFBjZBGDUwGybMi5P/FlsjhLT1wf9rWqp6tNRAIL70xKdvN3EuSUAmjXxsdA4pi
Rml+tIltzHEDFsOXAdP4Cged3EsACta8RbM2Sqpz5yndcyA95GbudyuZ0RqD16JhKD+DjeRjX5/g
IGqiEZXLJTbgEcjmtXvVIgLcZRW45nOf50nOq/KUhE586JOiAbRK9BNOCb0uSCZuHMsd36LWLwqu
dmb7kbD4ozcuTZ1fY0k6Kh62cV7Pb2nsfw2CxQf0Q3LoYnuwVuEEbEd7SEjolYAP/S4xvjPU6Om8
n6aUyIHB2vMHS87RfE3b2ihXBK+8Oy7x4XEWhIK3jiww3CckNayVjhS6HRVV+UeTeCMaZR4QG+3W
XLT9MDUoRqqj5iD5uFj3fAYcR1E0D3Uk9AtMDDIjdsh632WcMo20Og+kngyyjSSkDkZXMi6RVUVb
WWVH+olOlyU83PJ/2glyWEKLQ4ItctfbwD8ZX5IsHqdO2+drj6G85wmEJ0+ZToNEN6+7O7PREZMo
i/47lnjRXZ5V8tG0CKrtSayS2tNT1f70WTzh5GgydI4c0KY3ZrrNLwWx0qyDHi/cmTceB0NRpfV7
5KvuybMG56Jcx74r0VM9h06IiB0LExknJ/HZj9nULq0HYUR7DCvjgVePTndlaqpPl4gPvotZRGeS
SiULiJqINGi6DoHFJ4d+pwxLMBIeOz0URYmkxeiChHSY7a8nXipoIFXBL7Cvnb6H5DGs9yjs1ImJ
eXLVdkn0ewqXI9jQJ5wHytmWHA6cGG/4Ygqdo6m7IOUnPNvSoWisZjs2o31aueUXD4nsPdM6uBah
mTm4WNpqy8+MxqEhZM45UO1F7TEBnXhjQTl1fjacebMidqE+Yz00jnWyiIMjes+BpDyltzxVGdkG
hm1tRBAhZrD8pe0OdDJ5RvwbfSZRw1tbpn7+MSovu8jGgwAMRDiWZEGk9eEoWqhYiNELZuRgmxP3
Ru1Wzba2xzMZE0akc55tKZcubp0MFroO/AxbosE0hEprHixNnR21xHcIV92+R4UZQIcp76egOOxj
LNqSvslwSpau64y4XF1toICSR0U51w+bKdcjlYbc/xi5IbpomljvaZ8jjcKatM/XvLGIqPWLBqUX
Up5t3hbbsST1QSr7oEMOBVX1CPtKdgLB4nTPnJ7yTrdx0AEHUXCekqrArDD2BWWHTnoYZw4XG0kO
L11Dx6ef8NocFklIb1svQD4jnTnBCl2lRAkideeTnz4W/AKeIm8oHnleYLlw+DY4GSFJGPIlcqL5
wEVLODzZmtp7fqEx16+3IONpOy7S47ae/wOG+P/rL46wbLOwRshtRjjgFsL4TxMFXP9t6TT9vM+l
ld03bJxu3NS3NnBpwUnMBSuQCt30P195/FXTyhgDxsZx4GtYebCk/kdHmy2sGlVUPu51mhQXThn9
HQW49Yb1YPrUzFLtuJL5ZFF0+/XP/2ZGMX9ekH//zYxNLNMJXBgf9x+A6cbzgCHLbt5TCo8fLAzc
YTXWvnGW07Kygx9dAgIAUP/Div1HrBivqH86irtTVfb+8ZdR3B9/5G+gGKkJuEAH3ssnY8W06+9R
iwBHPGOdJeHALMk3lxTE30kxRnGWFfB+DD2LdIb3fydxdvSb5/J75w/yYvd90/5XJnFM/P7hhWQG
Hmp5x2Zz5/Fv9x9Mw0utpC8qu9rDvHYHpMDqvRIYypbDwZ1TGN1Zt8x8C7oT6LULkVmXFT6RMczO
hJtYCXHBfAnZZn2StkWd5AbGLmD2yLAkG89GXiF4dg0fNMWLTxiKEtjY+d1XLiVUYuPAaKOtKc8G
ztGNjsJgFdQEvWWEsxDkYhGwvJD3/qQIYu0MXnnKu6bd2zh7uI6ZlPm2jQogukLBNTGwngtPGBhm
ccGfuEVWVzjX+ZZHQPkLPMxcs7j0PybBZx1/n75tkFPvbNdAeN/QiPZC6AQLlTFwTJ2U2Mgozn96
pSo2yczfGlM3hsaGAwbEGJsg7r7Jq1t2+mhUi7Tat4ZNW5X3DdEECiVx0mYWSTPNVuaWdEe4r1Nv
pHGqW+SROUm/u5SGkIORL2RuotUD+yqkJH5lk7zrM/t54v6XyHF8FKy+b7rUZe4YD/XeKIM7ZhfD
cx+ZyVcLvPVD+Nq9B3ZigWwubrkQN+KII2tb+rF4RN1lHyN7Qs8ztHcYPaxHgg7eEW8Zm/gyFpch
DasXzUyVaYPpkJ5BbMRLYy3bNnvXEKrA8SF3qlZYFmsXHQyPbpSxem3Sr//D3nks2W2sW/pVOnoO
RcIkzKAn27va5Q05QRQdkPA+ATx9f5B07yF5GFScQQ864k4kBcWqbYH8zVrfClm4ErWdshXt3frN
JdCPrnmqPrtz+G1KJn/eeMH4GlvVIY3lqe+tFKKGad4DhCInCvbDXeLp4M1xx+piTpVzRjpgH/t+
zr4wPIEthsEbW3cSy+tEBva1mCsqDmbVaAlkX+8rP8qP7cjBk8aNPuXCCa+auNKDR3uDTN0nSrgw
oKZN3tewOZvWm53wyMIMgkf63vKUybbdzGEBCsFKcIrM0RRFBJFUBYwyM8/viJCBHYk7Zh8Y8/Rs
zZlJ5BQz4cgp61eQoeg9Jjz7kUCVMVk1BgS6qrXtDXrTm3xAFCJWsCDemxI+StUeBMb+TV8MHbk1
Ls4bx792MKi3tVUHO7dj8gaJZDx2nApXjiGUS2gSiS1ASIE5btdOjfeE12Vggp5n725swBJoFTGV
EkUuvTldUdLQI9TAgXdzgUhlnPpybUyiZjBQiq0zK5oZNUGucMvpYNULXSoRObhKkIAjFHS7IPLJ
n6ub0A8hibAmlJB6PbIy9zMYqypn3Zaw/qIVXWur/CRjCKJOps4U6v6q6kV6T+uv6J9b2Gr0OgCq
nZ1rLhOZUBWgLYT/IVUjHJoIneS9qWr94BbVB1aDnwr4R3JuLxAxPwMNc2Eypv6hMhpnx0wx5Oaz
/Ma88aFUmTpbV/ODbp0Hlq60yFnTbeo6nB4jdqkrWxOtxXSFpCNFDKcsr42CPE1nVazN3mU7BmX5
NS41I18znfcgiwQDE0YS5VSYZybO3akkU2KLDdH7CvI93KHEtW/ohLmYhMcugmLzEU8w7+rowI+Z
8Pe0w4D1Tpbzju9xsfXNib6L2cv4GuXgQcBVgzdK23ZnCa88jZ6hlmSedj+UyXRMS0lsjtm2FA9z
NKPLD+c7EIByR5vQrkI78tAxTeMGSRgozZRodzkXGBPJY92nQc2SNARuifrZ2Vs9O8yV49qfqgSR
An+7nC70YOY6F91IaGgZvlLXz+uBbeqFbeNwEvVYnIhU89kswgLE59uddWwJNpapeOAih9TJbgXE
ma5dtR4tbT+7uBvgFUxZhW9l7BkZOjHRTGSt+9sY4PwuGejpwVdFX8Ygf7Z1XW+rSe1R4U9kerUH
hlHehgNDvg2FsXgnr5PilYfJOiYNfZl4wCOZfTd5ayJmBHnmJ+RRdt2uLBN/EzZZMK0SmMP0j3GL
y7nn+u/oi7ASqX1XSHHXetk2Fcy0ACpgxgyHVRJ4lz6BUNIj7F+ntnNO5hIeLmqmYh7Gsyw5u8nS
cLpH0hLVMn78ktJuHHQZmZswHG7Qh9wDS3A2aWKMu9kfmrVqgbZ28A33Nq6xvS25gyNVh7dGaBu7
6Xn4ymzrPh68Z0gSXYD8z2adn1bTW5Vw2wAKmifyMLggLBnhsFbuxKbNwmbfgUdZclKmjyoL5INw
sSDx28m2GA7hgDgGRxS0rCdK1quVQ9I2yAoELQuwvTPw0WWhsY7HNr40hkhOI7jIIwA+rBa88lcJ
k+JDayd6o2o/PXJKHIourB6jzGj2OCFDmPnDoFlqxUX1Ns5edK7dqbv18ISfS/TeX1lQEIxEJj3H
ILL/LM0L+ChMNry5DR5a9s8rcr62rujfemu4hgC6ep3MVzOPbjCiWhyzWbEOGR+Ra4aiWeAt4aY6
muJkLPGo2m4vbH4WzDmA+LgjNW5hJWXJvjFNWlSYuNUKA3u6MefuSO4v0cR+dbGYyrCcSb4SNBnI
nVswY2NwZDWPdqTrS+V/9UZbf1PeFF7rkShUDSDiLAmKgyOqVUcUBq7Y95lj6GsyC39TEbF1Z6Zx
hfgOjAjHG3lgTyTGkWkFWtpA7pDm1lpnqr6fBtFtpop1JKw84m66JT5RodF+4daz6DHCcd/WRYv4
dNJ7YTEUmHGjbHqiKAFYxe6jkcbjMfenOd+TBYxDwY7bp4oxxtjW/q1vyB6fkG+8EFwyoxSiRIlE
9RUF4PhU5V62pp93d72TcXrbdh7cs3h9Gb0BIM2AibSIr/SRO7f3sYjY/ZvZNc/NnJPlW6T2vSmD
clcExbTj2AtuijCHkMNQF6OTbDNk7NaRNJTPSezsSVg+zK0647Y56E73TGOdIgJknEc5V1ZJfPrA
DYMZXZnIcmeK+lDK/m4yxEMq4s8caHB8hi+tdPbYWuSV9NR6F5lOsHYTMjAkKjfOXaqwMN7KwvU2
CQLzm6p1BDDB3NnYWAGvoYx3GSPDeKNHPHlB7PTXSDg4d6tam4w2kmqTSGE/cfv1L9PcwkPoBsOh
nw+KI9D8q+3EV1Gm6kxKnLFRuCQO9dyKe6q46bFMsnnnDBpJI05lmSdfYN9y3oxOf+75oNd11t+4
xG4jukVd0UpENbK12o2o7OAUWthaUL6OB8QuYk0G/HvC8I6Y5yy70LlzREOzgs3MDqJuwUmWcywv
WDHNO8rv+sSmyTpUBMuf6jA558ZYf+hJIHzBRe1vLGg9+B0mA44Qy+6HhsbwNgjB1cBSePezgucb
gOHWnD5IZt0jKzqiQOrurWZ1XA8lwGKL+L0pr/duR0hxKEzjVarcfytybWxVHRvPhdNscndZtiNd
ha/DW/d1xNSxpaLEEMf6EaZkIRj9MYw9gVUDXF6zrusH92DrzuVNzaNLGBnVnedzSEVltrEXSgEB
DvWFTMzmQ6lKNomyXibNhDxw42F+w+KVrOewbvjuILPB/RyudRQYO/ZawXoGdbOvhj58Lqa4vkeE
5m9qrCsPWMvtq4s/6EgNph9KKyteG5S4SFMxzxhSTg+WkYvVoLoMsrXp7WvlFt8Chi572GPO2q+p
oNnQOBfLxNuCq6XI35WlYlywi9PDZFd4RgWmHqOIKo85aK1eWkGOCiQa1vZ9GF3NTIh9ZOfiauJs
3/QDthQ3bttjiBPoILwi+lg4M7H0jNw22tD5F6fugythu/JlMk0DZZUmxMXu2w9BW0cPKaPxx1KP
1kljMuPIM9XAW8+4jjEx7E8AB+u2XQ7XIr5vE2eHfiqmYGvblx4oMmPPUV89m+2Dq+vi6rQd9nEh
ve0chl91wfaZzXjs7opsonQb7XCHRdX/YI4Nqyuk7g96dtvt2Jn1OWoTl/rTJUurk/IjLWu9nUlf
+Vp1obUJaACP8eSXt6TVqOtgxuogHYCqnVPUp9IOBKeGE+zGombGZqm7lMgHVhRU5j5iYdaiJkMu
K0iuFnDmHIA1HjbZrgavy0/+nGIfrqwA7R2qJqmb9BsvtN6GQeWdoQMgScs6otd1Nn2T4fy5y9Np
5cMjZsEOw89sRhO8g4ktZ4i4f2ZFeA7j6DqkKZUjelqrmtINMhayPzABviojmTZ6zj6U/jADIE68
m0V7niNo2xXs4tal1erz0uTjQiq+kny4l34eQFwi0CRE77up8Ey+xLCGbIxoiw6Xaw5gLGN7t45R
x/aNeXEowdYgworniAKeYBYxvEQCS7lRi8dkisKdE+5wf+7NtE5PYT7cJxrmeaS5uUyU5Bi9jcic
rgs/akcqHGk503ibOO0nvp4jmW15cgVJMLODbkjk7GqPntt19s1sAtpMRVGtpc0XNcOn1TWJe0vM
K5kl4hpx/9zivxNLbaCQmhvGdqgMa0ufFx58okix76rmfqgytVim68PQBvPWkEl+4KRITubA1LkG
UH/bkwAAudmr14WMbgbPFktejYhOauxNvSIxmrD6NLEswOZhS1ZcYL1aFsXTsjKuM8wShIxG67IC
FEbhe4jLS+pjD+6jQV9yboUML41xeGxlUnzIQ4uLx47N8HMTwvNchbE3stOM61Egqk/ugbAYD7hG
8i4/Ng7UL7+DCkGZKYdrmafFNekS8yMnYHOtjIw2N2544kla+7iXzBERgBG89agTX9A0A98e6FtW
nQIpssqLcToWDXA8QA/dnvBQF03NmJ6mzu2Pcirlgz06zr5HU/7ZbRL2GqS7qg8lG0T2LJDq2wr6
wEyg04G3JjiHtVkesVD48FQ1uyxwcWsFyGTDL3DAHwr9MvQqf+xq7VxTzyr3MV7SeeWK5tbmM723
gATvXaI3XyJLf62yxNrSCS2IvQHDmsl/ESnKlta2B+YGcllbM++/5bQ1t7lDvC7VR74C0XYxEpHC
63SinUdhsQrM2lgEPKTzEgrDjGcmkfoKwMx79LLRQMVlaQruMr8Rudii90AEFeGuq7BeH9xpSE9B
Y0Ni6cqn0U3fG5gd86QMECPqS5o6yRF6BaJ8JJOCJUG1ssfXlubH5xr2bBNwYzB9LGuoOCqJ4/v/
J3PP/4/EhQCm5G/zMh9VSlTx9xPNv3/kb3Ghjw8Ma5YjXSGR8nlMJ/8yj/n+H8IUriWYXZp//vl/
SQv9P0yLPwiAIplSsv3610DT+0N4BDXCzPqTiWX7/8lA0/yRJEpAkYOqUFo4Qxi1+sgcf9wDYNAW
hS6gWzhoW05zownKLNWNE1rVyRs14e31jFcEqsNWV9H4rHQanQqT3rmGYLgxgfFAvgKomcQtHR4d
/0ORowoqoQPe5B6mmd8P8n9cIfz78/3JMyGNye2UP5mHQGUgOZ1F8mExgSOtjKoRFBPzIIHnSIR/
BcaieMWj+Cu7hvNPb9ViwvtuZcLEM6+okKaDijBbzOCArmhV8J7VY7lNeqPcIKag/jBRL6aWvB2X
XGu3Dogygym9TmhqDtNcEIdB1bIiSJfhbRPfMmrugQzy7rn2eJthtr4Ju35aK4+Ur7QpxKGd1UM1
JNsmU+CRBM47QpUh91X0sW+pMqYZz5iu78o45x7W5f3jwCmBlg5PeprhnMoqSO15IMobVCXqpoEs
9CHuNdW1UZWAtuHCTDlHINKurSg+TwNuoQweMXozzA5BzHhOm+LZ0eV49Miz2Gd2hsphjBRa7x7Q
TtB2CEet/q1SUrCtJKhiLgt89RF49SaW5b60kmfphrf9hB8Psy5Lno3OjDenLYJzRwrqaUqC13bG
TiKDirWMIzZT7FqXZI5u8hwARsUoZ+NPCSvnXu1tTdD04HvvHVj+DS1GsaL0OVGnsZwdpltWknLX
1mmHByK010YM+akaxnHHaAh7eqauJboPWCeCZXj5hAjmFM4TE8kGTxn9EwhHqL81EK0QlpIt6l2S
OvhxorzdqRlaO0MUZ2tpdtmcW6THT4IYvIRBT6uqDjyGKz7qqIm2JK1gpkSiMzEcUve6D+wTV81K
Gf0Z5TuYY99iKhmPT8hOh/sxJ7lkzB1Ma24Pbk1XjD6NJ5ZxCLsa9EngPQHHlGV8G/SRvR1sO7vQ
t21lisgXamWI8NMV+07F4dFxKn/tW4RG1szsAD+7EqcY+MQBWPYTDdEJZNLWwCm1HuL8ONuNvclA
ppDuwLd5lLax0xVqod5nP0nw2nTWESEYo+rUXkAPdrziqUsx/uOD3dec8XCPn9g3blo8QlBAeC8l
FvgVwtaDa3d6TXqcty48JKSZBTw/6ysKKtiSA3Yjyae5wuO+dyXhqC2zdBvaVCwrep6MlAUjNPx1
mCUbCmAaPs8nR40uxSyEOMPb5FLTAPFGKBKrsupY3OJ1fUQVZ2zI5qA/cR6XKeEmJa4OLB9mhLRP
rq5PvMEU00p0BBWDD8VzNRnW3tDNXlpUbY4bPWCf9OleAwa16bHO/Qfl0wfX0/jUjQoVpFp3XXwd
cOrTomPSQpo3EiOV1bdejfbPA64fw8+B4pEqiOug5EX/nir0Nm7UQIoH9JkXT60BH2EMdnWcfxZm
se1YEWwyD0wXNneguLZzDSY33pvYDFRS3yuqWKwdt6MXnZKwsJhLg11fgXXwdlHoFkBW7bL9ZFqm
5H0vxOPYItayMuuBuKZoFyqNfzEYRtB/uFJE0bh4VkY7eI8xTS20XHUc51byUQXOhIyWaPOwrqCh
TR3ZdTFWkRGt6aGpFMLu1DKYYLfRpslTee+HAEOzIZ1vElH3hwyZJ4mRRO8h5npGHmytufvp8yR0
/9QEsIbnjkmYHRmCzbDJaBN0DLySwhOEdYyCkIa+eajDvL/TvV0dVImRN9SYgDOAWOy8aHk7xHYw
F0MA39OpsXBBSzd9moqkA8aBvtFNnRfYV2jlKw9i7hQRk2sV7dawquZq1X6/Fj6zos4BO2s1AK6T
FGBt0LbqGC0lcGI0Ym/QmG090ny52bXyLaeC8sKZ+x0ai3z2AdlonHFwMOdDo70ZFnf5Da/WARNV
twfpba0NGqYDLNgPNpP5raPCe0+RcWTGobEb6TQBv8fDVhuJecTGXFzp0R5+f4Dai1fgX17xP09Q
3zU59yUh3Oz+f9pggljWSdHO9NIDslBUsBaQwJ4gM3BVDJQbjzFObaaP3Vx1h7QwmBItV1cM34jZ
flifWds3uJhKNldJc59i9SNHouHOF5lFcZXeHJIjItQmGbLoAMKpICh7xJ3ERGzTFuLU1MI/UN5/
YyplrIBuluu8ye95HgbGgwwXx3+DSH9xblNc/fbl/iR0SJwsQ7krzQNqufChbQCMTbQbG0aA8/r3
D/WjyODvd9ZbvCD8AyvJ8v+/KxBMzWinAyhzUL33rYOkRsyc8xGBWbFpZPX2+wezf/SE/PujLQqP
7x6NtKp8GMvEOkg13M29tF/tPMYyp6MvpqLrqt20u4O6FZ/8zpoPnTGiyE8xI/hu1N2Qc3NI+CQ3
sGP2OMHGXdL23YmpNWLIsc83SvERYpgWOGATubGmsrhDpoG2Nm2YoI8mv43pEqQo4zIuB3W9HNkO
Z/fvX+evPj9fWmQYAtGg6P1JuWEaTmwa6YKNCcp7fPjuIcee35Nh8A8PZP642v/rDf3+kX4qhdNu
LGJ8AvZhiHp5cMLgqzm3A6wVq1yDFPvkWgzZRumgJ18qhcpDufL71/qjKOfPZ0DFj8CNVEef79By
6X73keJndoXBOXJwa8l6xQ2JegcwT+nmGnd4KFBP9nWW/sPX9lcv/IeH/ammJqmPm1vJ5NZw5OJR
kF+81ORkbgBkK5hgp2IaryFbyTuUbeUWXm36Dy/8l0+BDzlA8oE4iH3Rj688EyZ5prkyD7bKSL7l
SFSyvQEMjOi3kzTLlXvLWo56E/o5d/169/t3/heXLlmt/3r8n+4SvQ5QGRQYirus/2i3arx2RWif
8hqPJGlZl98/2tIp/HQL5pUKyWdsWpJ///hqY43fogOKf5A2oZE4u/VKtWG3/f2j/OLK+eFRfnpN
rY3oIpOlc8g7Gn+CksC6IXPtmEj/w8f3q0daXoqw4I1J699ufBX4ARL0xGEOsatr33zN3ODIdfsP
r+iXX5PvH+inex79R9+FWeNwdbJaVrq7TSzP2QcgcfBq9fZjGnXQRaOlPK6XQtmquurm92/rL1pm
RwiYLb4vgFPTu//46YXxqGvcwfah95LqMLOFeaosxzxiLbEPlT0CWSGEPhrYOathonyL4nrt1ZkA
cWK8G6hZEWwbnA5UF8U5jfJXt7FZkCnrBQlC+Q8Ns/3vXzYktBigfIYSPGP509cAiWcakkzOU4v6
M8KjcmXGgryqOUPfY8w3Y+ASK90LXEL4zIi/rBBxU46QV0D5LotsO+QcHc1QHClTw23CwiGv6Gla
g000TcS3qtLRUdQ5JRwbYRPNDJldHu3Z5DOzMlS3reaS2qoKa6aRXy0lzNWk63wt3MG5tG37V4nz
P9K7f5DewSFyuTT/uzpaeEp/c5IWI+//+d9P77nK/tf1/Uv/w7Dqrx/7e1gl/rBhqnu+FcjlTsx4
6e9hlef+gY6OMGPsIz6TqWWM9fe4yiSfOCCFBqkTZlhuAhxcfzthmXB50uKnHAdTAUsK9z8ZVy3f
1X/dOBfpps0kjX9IHo3bzU+XXlPbfo9Zu9mypMLKnQ8o8+uPuWNH6wbWkNGlJwfWHV9lknG/e6d+
UUe6PxVcOBq56uF0gOzwbbD07k83n9EgYkF72DdNkm4OYYeljUyuad1QuK8WMRKE5oScM/B8+74S
Cm+TKT4Dlou2QTViy407p2VTj1niOpCVvhrnUZ7hGSOwlhjP6wYKgGpaKDKqZfPVTNgNQ+wB0yEU
FYqNyrunCJeEki3+Atx0T3aMKYq8X36hN5cVQylt3jolO7RN77Y3gDpT0ubp0EuJeThDqtyxamvt
q+fMDBVEDamxyu35vplAUVh+azx5+M7Q/ZXBrbbxcHme7WDXWgDhhjE9J6pmau+F2Yp0q3kVZ26/
ZzkvzwFE5L3kFnicHcdZxHTGEhuLfSA9OF5tXTyMAu2mMVSP/q+WpX2uoVZWe8ezw32kEIIjzXHT
NQBO/yMCKgwKqVVZD4Cqo2rdshJgU2TwrrVM4KYBkEaHmAcWLf3yPUrD4WseTuID3OgWBqw0imkt
AC9Wa4b/+k1HUZySm6Hzx8JuX/vakHBIEA4GVnf2C+ccFEV1iJKmPQyNr/Y4Mj+6vQhuRO+M7ibr
8UZkfduTupUmvTojkx9Joc1HUhdx5vBhpeRwoorfZ2jl95Yf0VEmtV9eCvaUR4SL8JqHWD9FdpkA
B4HcpBpYu20Lj3/u+bhbMxXvGaObLZKuNlyTRTfuU4JTc2Z7F7IEol3K+PHGNkB0Wh7zLqlR8HlG
6x9McmS2ywxaEkrcm5dJ6bharEHYORMdVkjKWMRnTT7vGP9gFvRwcqDwC3aDY80bt+vbV2JA/Fcv
TcVNlZDTNEby7Js18svle47vOFvDIHVubKKengbszKs477sNVUW7tcXYgmMO6C0IuqVVpL968hD9
BSspm/TRj/CPbgaEtSacocBA15GWtdkj7VT6Y+L3trmrXORtvMWiqDdpOyiuFlPLdOfMc85GSlvO
sGNyMF/9wrM/FU7YPQi7wKLtYfHeTwVqA03Iy9cZT/Ojp9vguQPhT/EW98bHRFnjRfW582SjVQOl
VY61h949DVB0jEPZAB2Wod6ZhsE2P5BJstZCRQSapNgBjxhl9KdqGhEADizaLkljNuZHXBzTfvbk
tA6k6XOaz27yqR2b7E7nCVvRqM+eWmXJAzbWY1vATfYz/W1e2KJ5M+pdWtj2NxDV1ReFh/owRVLd
kOETHwmvQpFDojRGwdoekDPG1VlIBUCwH83umTDF4HMS2uHRKN15Y0iAhwWaeXwbbS7xOtVJvVGI
4W5mEzgAppXm1Q4zFpK9NhFrzPI9nIdi1+tSfbNc09yyxi4eCmPwWZQH5nseze6d2c/9Pow5sqfR
b5+h1pb7bGjFpcOTRWCorF/KxLafEfs7x5ggvVUFsDAELjekxFf0qd5XLSlRK6jMI3A0XK3NZ4jl
cKpiu4nY9yWZ7xCmq0q9JZQwfGvmcB8Cfv1GyKLrHZxJ9PPWZHg8H7BFzMREq2Ta4pHa+VNsT6sA
fqdPlmrDbjISNZBVOU5YJFkxNpsxGdQ737RxWhUhkTPr0QuU2BiKuzGmdvbaMUK+ZOdVmIw29uKM
7b3aCy5dNeWn2Z5M6FVOClTOB0Z0DNm5f5SGDO76Zh7Ag3nha2tbTbhJjEEbm6Sgpt8icOOywVgU
vsfuBA8+RB54xmykX/qkIKwmxDAewrRM53sTXQKIe5txTxip8b1IxuraIcWzTnHuB9vBAMyFs5Lh
YMQbUwyZ8Vgw/fqKTnNA5chQV3sWDBnR9/SlqErBsrhUaG98+RGDIptj3QreObD3TMBw7PWyxphU
68FF5ObVhOr2XY2Xmxmz+WEE6rMBkpyaixGqICO9r7sPxGy1ztZLK+c1dyrxVhMlvBb1bH1WfUcS
uzMHm6Cbm53IovZWj27wpbXn8oogMkhQ8nWiQMk7h1DE5sUzHEGpXfPX1JllOuDwqPLsJ3SZWIC1
w0VPUnhXg/FteAJgHkikz+MZtro2sVKvojShxkzbtEJyjHdZrGLWntkez32BNzGSfb62XEKCdj40
Z2OPUNenBVjOHUyd5QtHT0jEKbjxfl2OQ/UMUm0+p6ySd3xkiHITv9s5bEwuyMw48EgCCFai9rrT
UA5YjLLYNrp1XubFHQBSjP8OlwN7dQ8x4iTv2hBoMbtbz75NWEJf0fYieK6t4gKuDFQzqOlzztxz
H6fwrZEKuwmJZ4AJM6Ln7PgBfJvpbrSY2wU3ocVyoaNaw/1obSMR+F+SKed7208qAJ6QBu23ZvoT
No5aDM3jaOyY61IJQfCI39g/OxvYg929keLP69zxLoao8TCnOnoxO/lngp+3DhuBM5CIbIjPRS7X
sRc0lzaO4tvWA+3A22k4zzBHhs/DpFKuGdUQbyWiaaSLcMWMk9IWMHtkc+PP8QWD8RZAMwdyX7d7
R5QVFYQVPw1joq/DXPHDsVMT1Ei4FCEqmX11RtMFm4Oc92HsOrECf04yVEgEOEuf1YBRGyPisDIW
Syg12U6JqIAvYn92BkNuALbeplMkVjmUQtSNFY/HD7q7Icy9E5rSco+x2lrnVRXv8HTpJa6h8O90
XLJ7d1vTzjephQkQTm1FsjnKiDdOOTQQJV8q6iAKoW/5EM/Xqa3GjAxDY35wrcSFuW7jOl5BlhfR
0Ypz9DMW0236+L75yqCZzDLHV93n3o/xSOcQD+PV0FTVAVEaIMKsGPCy+kS5rpPcmyS3VomoMUCq
rY+LoYRfjYkCjyqR4mQ5TPW5nbp5iZl1Wp+ST3IeVr3qXzsEc694TjKgef4MIJNSxV0hmWBNSEPo
qG1SC/fzXKXevQMe4MWcKSnX9aDSxdEKjojIsYAtXSvK55r1FkAVPXA95VMQ3NVtNV8JghsOTeE5
T39ycYVlJbcYKf23EYkn6yCzJ4gg9bEjHMNROSgdcpdnMnADr9ZL6gTLEokYNEiRgoHRtHLcjlDY
HvHsSECj7QioHLSlkAcxls2lN4K43U508Zc4yStGqREPQ0LLOCyfC0kfYRsTq4R7iJsYmkPZXppa
Z/q2yB1Iog0pEQXeymGYMfEaU3gbidEvNglueQAa08wbRHijQoRDQSx3Ep/t49CEjcH804vENhks
azgFbj34OxOJ+9Uvs+DUDx5bzzgXIxUws7mVOTnpqUJz21KtWT4ONm29erFwoaoHyXAyHTRguRmP
l5mbTsotPfWeyUMaijOyDaTlQumakf9IytUGDVdDyVqNJF4WGT50HOPE6RozuEpPUEZtNfsKAJh0
DgOGRhc3BZ9J0JziKQxfs2xIXpopG9RljsGkHSXUtGNW4qlDgmN8FWYSsgkxmS8ITpXjNIIkXpd+
nLwRRANVR6VG98qnDanLnImSm3ObNSY380PYZtZ5dkiCCmTYXXJUndgmwgVUzEvfklYX9ETJOCMx
kDKLNx7ptC0cm3bqN1VQyyfoKzXpx7/vx36aBdGOSYvhi+vZ2Bh903FoR78flhLz0/WZcrptaIqM
JInoU6GKR5Zwb3aQP8Kw4GD12E1QZH5sERzf//7xfxyr/PXwIKOYVUrsWbCjfnz4NGytPNVGt21C
difGXBUX3vzsH4bSf3a033e8y6uELUzHKXgcKJE/PgwI3cHSs9Nvh4jojH4gmXTtGbbhH5wY9fw6
HUDBsvou4i8Fx5OFj6zOgKqRlvIGnEQeJ6PoL26Vdw8proub5S1buyhLAJ4goLcsGgW18N7XPedi
dweOvgz/Gq7+zzzmH+Yxpguzy+Iw+u6b9e8zma/Ap6P34v37kcx3P/n3WMb8Ayq9izHS5fchaGHy
8ZeGyPP+sLA2ohII/mSQLd7H/xrLBH9QMWB3RdC7TCt9pt5/j2VM+QclT4ATFtStjSTyPxvLBMvF
9v3X1JXSxpLlewjMQZRZPw0ZVeqrxQoRUYJ0Dy45A8vQmTUvNdkuMHL9NfEn0ivdIDhgw5/WrFRJ
AgU3e+CkIKaXgGWxRaEnAEvQ9923ru52JhazY7d42eKMlBIvjNwb24+8I3T2ctdBzv/SWGG5m7Mx
8fiVVfcJzqho2Tqzo4OPptw3es74pSOD+aYuGxq93upUCJRD+GdvnP2j0roj7CaSQXYAoAGZININ
7YtjDPhY9OdQzQ23OP9MSTm8uVYOyamsLNyUpqtmzjjPOTQuGs+aW0DKItNpjjTFyTPMHadaF7Wr
iQLJRpBH0C6MYl2QCnKbImQs14ljVtjvDXC4feirYj8yS3suGjF8CIQ/T+jOVXesgiR8WjCcxNJB
Npogt7rxdUobuBXwtOGwdLGtbjtOgJemkEyXQamJM0EsxWrQ09Uk2O1AO6g/lyLPCRDIuF+1Wdve
sqs0UP4XGdHfmSlfQqHtS2fbxlOceuLNKAumaGAQhuNUD/p+CKNi29hR9MWfMt7wyB2XJ57BBkp5
7j27Qfw/zaEEFHcRmWJgw8dcfHL7Sh7bWFAiUS1ZPEk/IEvLpqFMiWe+JWuJ4jv1pmkTEhSf0XHZ
3Rq9o9pb1F+kp5jN0YETvhlafSq9FklkbxmEwuv4oR/RPWrYUSDM65lSGw1tuFYwWN8ZuycnTarp
DV+oPglXrk9T4AIr3kbLqjtuAoQwLaWLwIkazI178EBLvVRt2cEYMEi+Nqg/DcPL16AvUHOQGbIv
83Ji7qft2xhz1xZXVXRw+1yc+UQJizXaepfPqfhYz/N8ip0ovCvtIrmZEr6oDUbQTx12r52wxxbX
GsZabDBPda3XOgD/FSZ9fJemo6bWbapnsrdIuO99512ZiG+UaBwiWZpy51Ll2F7TvgpRfcBjMq3Q
SeCuqQf44gPam6LvWPV4gVSP+agPzZjcVRbuY/ykhPFG3kzZgWFt1Y8+ERN91R/wrMH5prZLvVWF
nfWJ6wDwF9Seh/9L3ZktN46kWfpV+gVQBjgcDuCW+yKSIqXQEjcwKRTCvgOO5ennY052W1bOdJf1
TdtMXZRlmmUEJZD05fznfMdPAcNjYhiTQwYA6611Te+Z9qES3pBt2d6W/yjGoDXaADPiJpueRE1c
BZaqczZ5fCidHfWB6FPxntAUVIu8VPKlwEF1dnLPppH2Xp425fjPA3eIv02dVZsGKAvVvmPQftK7
xumjx4b07ALQg50Ts1CEGHXv2Bw1PYI6pnG7BscOCI3pgpi98LGCocrtGe3qNnoegNJhQoRFwdbv
VZxU5ziWw2EyC+echjYXssHWM39TVmMz762bL2p358217UPzcvSz54/iR5+7ww6j0fTpZ3H+PHWi
bHZCJfKTz3f8HSn8WICULLxQxSSiDyvIqI+v6eMkUhm5LuZyoB2TmQs6Y5LcrjcpLrPtENaU9d0r
NrdVnxYXDN32s6ZR9BA0jnhK89Ymg1aD6+OhqMco7q18JVRtrc2GLrBtb/bhZR4SMsJUbEBQj7uH
LqryXwkfYd7VwBYvKHXdA8FBmwPTXO+gTcZHCw3mXBQ5zHbIKmReEGPNo4I+seOiGh4hqTCf9NKU
e5PjMO5pDMt6Nhw1tGtXZcaa7697dtMuv3pNaN6kGEW1qCx4WgdOw8Rws9yk0Q3k6K9hvgPDcvNu
iCK3tyR9sCRGdUjqidiPx0wXDyGeyXVglCmE56Fu12ns4RwyQU4OfnE2kwb0imU4xooxG13Ofmft
Rs/KryrBXObwxV23sOe2Df9H2GQunlqNUNS1sJes2L/oJA5P6Zh7v1LbB6scBunGEuWM9N7pY6hy
QQTSMT/TuU5PWhMuT4qgo6/HcY/c7nkPRageAr/GmNUniAguA7ximsgqks0a1m6ef1otCKPMMpqd
LQv1akT1Rnn9a6KyastXP9pbqVpHtYhWRpLqL1nGv5O2cteqNSYoUxYc3hLlPLNrEh2y3jq9I6FG
xhdhSHdF45lxtYyCrqM5LOhRDg5m2JB4KNVorrvMmN6m6i6LBlbYXEWAN51culGtGylge2TPM55c
cIZcbMqoesvMSeyzqsN72sSfdykrO3Addm2AvH26GvAfooD0KCpdIPXN0jI5YVOkzjutunMjxBEg
w89+rHaoB9UCWxGknhFpJJ+gHHqleLBkN3uLMoK4tFCNjwg/+CU9OG6fHIVdeN6CO8cU4asIsi2I
YP6xL2W+re3k0EBMAy4JXXxakaoAkmB5HSUpKIYVMn32kU8ZNVTMIN5t8kM+dV4THPip09sismpz
Sfi9vtVYw7ZzPXhcDKXHOUGP/TGPwjTfCPSUVQvIbzH3hv0770JNoX2uHeBPTDg5zBghUemhjykj
rVr2AZCakCsn0dICwLRH/SrKtr+4qhsu8GogyBdkEd2BTcz38fBSNXQqS+/Cr6VoDnOob7BbeGbL
wO+GcgmMeHwhoPfl83F/nx214thzciKv36QtIAEWxPoWK+7PNJHn9h+TJn6psr5jPcUViXN+B8Zg
0vKbjYfEbrBpwoejC33opqXtNxDGvNT5bEUa/Ax5YSxa0F0931bw0wx309hV86PE0rujWG6dofkc
VIPNrkqC8CV16BrO58H5tmGmvQ1aVhvhzkwe7vG4eJcxgNkNhe9UC81kggg7jT0LR8rikT1g2PZZ
qs+AbeeD4ED2Qot3eiAkOB5qxiMru67NfZU7HRuS6zwgSJcCr2rs7aOGZ+UgK/4StWPuvLBrVzbV
jZs2hxe/yi1nCxdhO3fpj0kBb6EcZ+U6Q72sqCMRLdhAcwiApNEFBfMUCPrQ/LblwHmu5KOYjorW
La7BLMSrvBvyFZ1cKyWmq2HX9oFbrdwTLXZ2cR6UHw7r2bKVHCmcNocE7RXmpurikh1GdGChPO+q
ZsN6CIN62OTMbU4FWiVehAAWUlbgJQ4AG8W2OIe6PwoxfVtWG8XMEaD7IyAq56vPWuACDqQkwVHr
7Kel3BQEbY/dHEZbY+bC3g7sKn5j6ecOVO0PiLqYL+NRbwZrPJshwDVI5KQmIxKycPaLRTtgDU4D
OCKTrPwNJJAxWtr2+M4f0g8M5+dP+Oo0FCdmspFRWDyYVWq/8ryJtUrVF+myqmIXW3KKsziElFTE
MsLs6LrXin7fRcCA80hmML1AS6fBJJiDK04J7yGnOg86BiyoRVSlziPfUNRK5LfmgXtIfi1C4fye
KS+mbjkoLvYorLPTC3Xom8z57UeBf1KUYyyYYMVPNjiNo2MqQB4JPMN3AI/diWUz2wOVAi5au79C
vMM7t0hgjsikP3fS8t6l7Lp1kRQF4jMbPeciO6lOBMqIcjYwH/ZlHrbt3Vo8sXqQiwvnsdgA+O53
fkPU03Dc6RYkCXD3tOkPNOYGlOf4xcEe0+mFVHVxGfPoraRk6tEMqvR9ML16Z7sYq6fU3toNZ/CJ
DmcY8vckELM0rOwWGAU3YaerghD/B2WTBaykFSDFmFxc6ryaXGV4zB6AwZ4Fj/Nj+UZa3vnpF1l6
sMKCD3DTSgpxCVks5rDvK7zmYXQNBQOgvFf9WlTz+CuYcIgpeoDAEApeeUIual328dElgl669Q/V
6fDVMwJOmbm6T4r1e9OE+zlMt4xZq70FIYOpmH5kRx1Rdznyrkynb0m8GSvTnCpMgwHNPtXwC7JY
T3lulR+S5p6xQvjeYzy1yI5QcSfa1MTMTqnqEHlL36TKm9Al8aTsa9AmdDFgTPuk5K/iCGsiTGXN
r4mm6iM5PyZEMs7SjRho4AvygZQjDsAN0QUenxzkxXA85m9R2mAKLool5STVp8kH5tynFj0aglB8
LBI8OFbLcaL2DSCyE5kUENJLkgvTUxDELeeFJPtILX/mV2G0n1NX8YvLmNhrp7FWVKXJhfa7+odh
zMMt1TOFk3VhW++FWxo/c5SvTR2b1Y7Jk3/vv84q8rVjzqUHgPZjQ0c6UMMWrirl7DSE+unGw6Ds
Lu9E3JmbnI6XVcv75VBE+0b9+sAni3q7ksELc6ueaS81iDVbSgm8kU5cUG+x9+1z4Idz/zAWPn8/
LQMjObqVj6+a46l5SBVk+9zNiVWOO3K/zx4q9BLcTvwYsyWSCSmmXeu54WaSTU21W9ntGd9377VZ
6o9ZU9Tn0xHyYqBNgQ0ug1/kkNk+KU1AgG4cf8vbQwY81+4JcFr1oDqZv7te0HM2cpx9aXKk7W0Y
RQuKDAz8Elh+dv7sjPCGLYPxSlGwxNdx7m+FHdEvMpQ0xMIn9jZBk3i/TIzuEpHXmRZTFrg/sT8q
d2GYXvpScURawyHyzx3x0rd61PF2igJiccIeP1QR5ewdacF0oZ9IA8livgKQ1YfUmcer0bZMAJwh
1UsfxRYqozvvZ5SKm0+39Ae0gHirmqF6q9jf7sBTe+9OMl+rdGC+0QmTmtOuUoBNLHMlgrq8diBe
iPyUuvlNVZF+NgpFZqrVsj0phz7voZ9sUjwAl96xXdRbmLPfcVr4B/oxaVWc6EKAU2KZwA/s+IWF
gzCFCVN9VcEpOI3uLA5NIMTGmKb8jb4pTq6zSyU8X3eYR1l5DhrtnLOmuaetweqsygg27kKC+n5M
3a66cLgG5kiL7bRrEsFSU7OJ3sISswlIEifbVyr3tqk1N08ElHq4r3Oa73LhyxUpRe9BhBbDgqxo
fyiTJEhpU986tWlIRSc2iaAJqGv0Zw3Cr1Bi4bTDfMg5nh3qeh7ecObrZ59T6LUXA7vJnNgvuRjj
g6+t5DN0e/aiYJjPzuxQqZBWhJYamVinosVCRhhTwanNnL1JcKdezIwdSzI5yvnQ0ogqSuJt8yNX
ZHsRD+bxVaaYYAAS+S3CQwc2dh36YM6NubXWdsnwfYHjZN5MjDNP7OPVezQG1Yt2a2c9V5KLgUdZ
y0Rc5kIqz/tBVt49YIZl0tVrRk2GyM9MUDliJV0LsZ5OM/1mueAuwK1Gl0COYtu01sx8bEjV+2wB
D3FaE85G5WWQvRxOnTC3yoXRy3rtwiSgwlGFvLXeRzWggESJsZ0RrTbmxB2c34OJF5MKfQeuBx6r
K3Jz2i6hfdgXi/KjndVhq2iMDDpMZhIRT9seiPTcqU9Dcr8Y54Tjkp/CM8cmUoNvta0KS3GM2Mtv
zfHWoH0zDpLsFEuHH1aMxdIZJf1kfwia/2P67/2F/qN/4v+NwgmkVtO13f9S2V19fDUf/0azII67
8KP5t92H/p3F/yTz/sff8if7zkbLxRhsWfIPwN1fzHcCKVdKn9d0kGyFh/7771lRHHt3KRdcwN/Z
d+Y/TDyBXIww5v5v0fjfqxb/NLzxMP/TAOQ/W6RdSQWRcuFFYvRD5HXNvxnxk6QjHRRkATlQ0jHJ
uAUYvrFasULM3P5FAf+/eO2s+1Tjn+RkFGmf4yIvaN0177+9VghKrKycNoBcQu+eq0G91bs2dTdF
6Wxmv36HwLDshlff3hjufIFvZC4j+y0LGYXE43FEPgILt/sXP9X/IXLffypbSJRz/oHZLz/1X+z5
QRUDK8/rYF1RGN6l9T7jurYchLvhsr2eSdihHy5Vo7geFwufgvkpkDnGBOAG3VKK6l+MoMQfz/xv
z4l+b8+i7IL3xDH/9hPR+1AZMO2CdTv30VYkWLsKR96kD99/jMi4VY6RXSr0rGYxqvkQlwU8idnp
mX9quafg56eBZnwNOis72rioUTHjfeUWkCz6ZmUXw093/JXhkNEd4IWyODGsj7GrI2jRRwD+Da2R
3XnNrXYpIn/R3o2J5QxPxFkWwjmZ9Dz7dDVXkvFrJk9+2m/6KD4o4zaI8kZL0UqEciVrZHUP1jFt
tiQkF4UJblkF274uH1oluItBQ2jeptzYI6gsZ/1pFEcFLxzzin2oAGIJuUv9F93rV92n1YLyuWhZ
je5edi/B0O9p8FtmoABtSGd5C9uhC0HwH2I3OWees6SEY+k5NH5RIexEHTk1Il5B9oBz5ynXHPxt
l3gWwwrc2hTEdZuaecbmHuMVwkWIA48VIabK5qRBgbT29+jSsCR5zWzgsK83dl0uWueVBs9Dgs3C
LdK9ldELkoHij/WG2NMSys+ugT8VZlzC+RxRxLWq6uFWNs6V93ORGDjOO0J686C5747sEM3Kqj8j
9yKK+oF1nw4zb8lIckEE81Ah+KTaQ6HLl0b8lA7lzmjOU+Vu8JN9cP9cS/lJcvln2/4qGpByWNjS
0L+07BD+9Bg3xc4je5h77ibOxyUj3f5MA2r1FHdoCTjZTxTgShD96cWokuEm5rG8q/YUy3SB/xjQ
qPcrtClE5vLHQ8t1laDyFNnvlk6Vq5hDYM127OLtc+5fGooP4jsp1yWn6Vq9+KFojyEkHFJnjjSA
3cIPt7CPMcsoarRecmYOxPjsgL6EYq4xX1iUogRYgJ7gkvc0FLbuqmtm8CEFci1h6UqNHw4T8l0B
olIyLdDhKaIj7MHuKQVuWnXF2eXeOpH/GS75H9v//rr9/f/UymRLdeej/ud+dDyY7IuPzcfX7zb6
68b455/8c/Yp/8GWyOJHoo7tB1bBX2af8MEIsPqSVZBNEd/5n7uibf4DcgITSRROvoOOzR/6c/Yp
4MhKJvYwqnxpAZj9byFh/75VWWSb2a5NBVrWhWnMj/DXTaErOl81vaO3VdL5TwArp0vBIbVCfoub
T8Of0+Ng+nX1r0Jb6g+Dw18Xf5qlpGKTdOgiZxB2N93/9ZX7llj16GjNRtwHm7ixneoDcAgX6Vhb
7Dt9BXNtGTdD/5bh6Z3XoyQSvfTczO5B2A2m2ppZZQmg9Xb2HvBVZdxC0HwhrSnsljSuISS2VRAt
05xv/26Aq90s695ihbGGjmNiVXrTJ2TChd1NTcFdznbfc5mPH1Mp/JecpSdam0Lr69RObrVKyeYc
Y2a5MdpBUCVLbYEMKKQbbzjZ6JWX50dJPSrjkM0ENgmaX/GJE3sZddC455J2yzYof+mssR5aMrpX
NGr31Z9VvSWwApw8ryyO0ahqgDvZPn4YOosT6KRGuedcPy6LYPrNTTqliNLeBHh595xpqLIcokcv
6t2NHqHIcLNPl4ZVvMQxw96h4tJqDfiDPAMtwRf3owjH5ATyXpaX/bjwbXkpKpb7sZRLErchsISe
P9jUzob2RoBydxekquDTNaP4wIqNr9eXOHrRBejngy7QbIsg2wwNUlUdUPnEzGmrqGRcthTw8h+V
KDUUJ12Gpq8fMFV1+zlomkVAvzngRMKaZSN7+nUACtPOTlH6ELtruIv2iuqabts5IYQJs7U2Mrad
vSTmcK/ZqNdW0/eAy9o7TiESVPmNM4BiDk4pg8gNLWE06uSpouAzC1bkd+PtPDSQjIQsw0Vrhdm+
KAz5VVk63PUSccg1lHHm2gEbjhv9bZqzNl0VElZxCDouWdBcESGbJqadsN9HebhCkZfkhz11jz3b
sv2YXJWW4Elt3ndKENz3sJfeyZ1i6xPPXP6FiMPsmfmDY8M0HHrusumDOTKpJbBoxudE+PW+wy8X
mtI4wDivDtGcl685TkueddIwfjTnLprXjTNQb9v6kCrZMUuluBmp8jGnlupeZuXg/aXUslgJhnVw
v1LOmKMFbYGuG2s70uOV48+PvKfcMZp6ZcBsWNWqmMWashKcjLOrvJPZ2BwM2nrSV0EbyUaG1Dse
wrDivs6M1H1vOw/lNxCYzGrXJs1eu0ZwmwbP3N9n/gXqT5jjHyvFPrWw8tPD4YU7PKPyuWwalFjK
ZQHTOV6f0G4wcRzCcFvB2s9L/eKHNf46pu3DU6pGce/Skc2w9hzmjYdp6KzfZV3heLdz6yW16aPe
drklyWVTarOhP4Ft025rUN2LeXKMm8eYg9NDjWe2hUJMw6UAMVTUZso0OgPh3ou46FG1wKpXJp5+
/mdTuBa7t56xAQgJiM2bbDa4LE9fKkw/2zx6YMS4rUxDbvpJwJLRItvpyLcvSgK8rmX/EHcpjCqk
/ge/i9MF7SloM2iJq3w2ul1S1edCze1jnZhf2JdBZ5cNVSId4XMzcatT4bqoiCG/kTvlzL5zN34k
bt9tR6ITR2ZbYt0NY/k5q0ZvOGGqszkl4JyxlA4PQZuO33lOAh5FWsRHABeERpLEA94wFwR0OGk6
1ieFofEhE3129JnxjkQ38EK0VmevLLoI1O+6nO68O5cyvKVHDzvfS+OtgzhKGyo3euL6P+gBcDdt
ofurjxcM+SPG8MBoQx/mfv5d2TXrR1tKiZ2vClY+ldEnbUtGCCnjK2rzwvWQh0jbXZQ/Gibwv6XD
wWZJrje4wXVOmScbc8PZcEpR+0IcvZ2R9+d2ICu1jkrOp2A9povX6Gg5daWgkMseXT5Z2CJZLcJP
j8zNyigcb2d75AEthyJVeg14GqMQP7ysjI4O7yN0R5IIZAbMfTikZ8p+W9iDwa7PRL6kuPDQZREw
OKGiQ6+cb3an+FzQSbLNmjrEk8snpd0ndjouiQtCJ6Gzz8Tz0gIXWBlT3XzBu0lKvODwHlxF9xaM
bwSZddTQwcSUmlPdGOlbPIXpaxdjm8xc2/ttRla/RWwb6yWZ2XjrYO3UO86EiVxrrb0zRvj8xeV9
WurRgtOTUQgAhlE+tmMdfE7AuuRTW+css91ccEMoO1IvmB0Aka0qTgfIOvdLIBGdmdjVbNMgbH5W
hBc2zr12IBOWProxHaRN8WaMfZXfwbLUsuNmt6HKaeJozLzvGAaYLR4Ohjrunge8yfdRbiLPbusO
43pSDR0+eqgfJ6+4BjYWHxBozYrstPGYUc9+Ho3hHqDBAuPJjdk28coqpLUSdTitw3APtDFZD55s
jknNzuRw8LeJFvErRCdfm181172J9R0PE5gM4qTTPp59ag7HWuwMAlqLOAyoaxEZHNhsxIbfOFtP
oygFoQiY0nLUL6MRLrATvoSc2dd1N/ABCAaW59DuFgMZOG4Vxhzd8rEizpHE3KOCNcF+a9NNvXiI
aDCBn99ZFHS48dcYUqsY9Lo70WNM1ZNhiUU5jsDs2loswhbMb+UykuAdGtacBalXBQmDsWf+EWS4
gqhcuVPdebBZXQQneIR07LTVj8EBq+OXRbPrfIDGHDXAFamm25Zk1LesQB64lypce2mj1iYM9hVY
Y7Uj+EV3SkITojHx9c2FvIy874wuqBwRjUYLAVBPofDohtuGq8jCthtc5pT+OkeOC+177N3fVBrN
nQ3V7O2jiit/nRDh8tZlEQzvSC/Zze1maBt+ln63o8NEii1nb2l/eE3gR2JiG7lTDo5ZNks59sUq
dM3g24zmfqecycMfkwnArQkQLEN7DuPj2IoeQ8Nn50xDbR6Q7ymXE4n94eO9edCmGC+MfrjYw3D3
Y543E7nQz3G4aw2bKRQ9zE7fco6mp61n0IzB76wlRcTM18u3eD/ilIXJCvZJZzqHkEdtMgdJ/HVo
GzEOjhFiFqkBjX8KFX+bE+18sSlIX0iM7Hev+egvI5GFX7hfTK7NINxL3oQif8SSbzyDVEl2cdRO
x2RM5m1hTvpNOh085BoUN/jBuyMOaNBGtD1zus40U39N+dj8nCbT9LtPVM7XFB/LrXF9ffNByiMa
x4ogWk47+cDRfpMEafviTaV5DqKioDDbMreT0FD9ZjxkISguFb7FsparPDczONLG+KyHXO50Eeur
4WOX7oSiBKItvVNmedaR+i/3zchAqtVhXb7ZMtgTwgeH1IXnxksUgcvQmNe14WjF50yCVsUBgbFg
xsKkxBxTjmTPuACbhokQRlNIy/T8uFRvUyDNaC7DLIkKt0idID8HvhttfTD+CwGii9HehBOzM+Y9
Ead0WXiF9cNWWqeLsukI3QSDCtezIRLrkS2C/Y1GJT2xgJFBye8yToZFEFdcAV7fLggOKnjBPXDB
pZv5HwmFBLBzLIiKlFlshYZsWoM5/+LQAkwdTDftp3Tq0Cc+TsU2d4ZmX9W6fedLO98MOkHB0I4F
7TO8iGeYYp3gVFhTuB4uFWnOx3JsxHloTT1+lLYY6yvxuzp7MtQQcq9nkhBwE+GCt8TokgwwRJsx
QGLTJrtsT04Us58GJUa50C2XQ/g8Vlb8PTOW3jJbonR+HmS47Zm1XKtJWO996cvnfhwgbEyNAFE5
h/A4kxhHOWJk9DUOKjkYStoftRRduHDrOObtQFO4mRxQfzc2LqJwKJmG5PFY36bGYq2YCf9wYGst
VjWnq0NIzSlLdtPaPRGB3PxIA1eCRTNV8+wRXejOQVlLez0neP3XVksMLMxp+MLElFgIVCGOej8P
3WaBAWxCqLP4EK56XEAJ5/a2WXf5pOhgS/n2yinxrFXJfngsrcRXi9Suq3PYuBGWTwNfSm1ULojn
yoXIXOoq3Ndlb79n8xBtC8uvXipf9B+CKxElJVV9axx5jQ1IcDh3V1XrecduCjEX8TmkPkeZHwnN
sj/Dwk/2Knbil2TWxptVlY63Vv4k36m5GA+6G6aN9mHcitlW1xCpG2x/OAY7mWTreqpS9D0veiAQ
MuxqGrV3PY/wQ7uhJk1tqEcZVc0G58rW6kr3gnw3HTpFexXG+ORWSAOFsbP7P+wjAPvp4cBE69UM
At1sCo5lMzesOG5wCiPvZx9GXwZsgytehqBAEGpyVmvRikWrtP8N4dtdRn0eb6RQ1AkPInppPL9/
HRK+OZlRdK9JFoarYFT2qaAu5RBTn3HFvvEdSihpoCf8W81x9pEkSs3pKq5+SxJz7KCD2AE4U88z
Q9fDHJrmGgD78JJadgJVIY3ObeAkj+Xc2OupqdtinVtV9zAGcmDcA55ZhXl01QgAKxtNGrUzGapH
6rmyz3oS8hphnNxMs0/A1iubi2bguWfu/9qbYwzWzRMUjsS53a/H0veWzO3FJu27mcxihpF07M1l
mtmcgehUedNRKbDCoWJkKvXfYuZWPwNMClsn5JzGtoo2z3DxJ0pecS66kM49SCanniTxU8cpD79X
Bt5/NirjYMOjOwUtH3ndst67Vdn/jBEa18HcxR8TCWCHRAlXaqtgssx8Gtafnvh2xewqK1oNgMj6
7CneAGYYmxfWBAx8cxUlpwLw3wtKbnuglDZ5MUo+V22kcm6CNJwxc4fQF9nWowtW4BC41IzQRpw9
j1MlTpGRF99yGAnkxGYhnj3Ok2czZ89D4g7sLy9MuWH1Td4czbAlQTQHeH4NPmjMFTNtWIuuS3sy
5WkXrkA0V6/dWNU+967RekqdqXp2G5qXEwr1xoVLYWJBqVddvJGODT6GzryTQELWl2NbNvR2sPq9
zA3AoQd6XGe8IYpwGfRBL/gIu4H7FfhD+1OrggZkkc/MPt3yg9x/xUTadF9LhUjj5F35EHJSixcD
awc/UELQrfCyTaxdefMNVm9LNc6OJ9leGqvVpznV3Uef9/poaYbxrfCYKpRxtgOrQiMKANAHLAPW
ogzj6q1xQfHgoDNuTpY6RNhMdFh32bHEw0oqy+KrxPk+nn3Ib87OUNiNHYrEp0U/hNYLgegygiM1
xt/apEiaJqRpTfHNqBYB9o5oUeKpfE25Q67CgNw0VZwGdLFuCDkTyIALtYhamTMn1c3DZOroXfix
9ewmTBxQkWd+BqMtb1PptSNCUFi8yLz+blNYzCS3puJjppjuu+QMuo8cg2WIsfAqyuty5WgDh/gY
f6YhwpZVpovenT6y0ZlWABWZ0ncd/SlRYt4PYy941MoDZOgnMxjENqRF+RgmFMv5ITD7nhbnlaGg
LfdVwCndu3VxKy/EtvMHMwR2RmoyRwUYg5SsVlEcB+yie9pd+DgYiH6HOW96iNeRfd+mcnzC5Ht9
qCpsVS3fNGM+jv3kneJwilaIHs3W8gPzM+Lj81mRiJoxeJc5fz6rjyoynZPmBrVRmd3dksl9BIVn
bdmbMbUEBkapzgIo3BsObE/Dl0wC7ObiCPNy14TeTao1SK1XA9Cv1CiSCye7ezci6xUF9B79qkPr
REyC8LuTI+LiifN/luhvc7eyaZB+oQIhUwt/aNSVo0Em6UxNg4tIYsbjg9vuOsrnlgkeiBWTJJNW
+onvZUZPfJcRidx0mP1gY/Rlc5QNWuJS9iJ4rUMtqJ+t2vdkss0T9bv4lFUEBLGV2rnacV+fal5t
WVJu8xhRDncyK4POSuIj7rHHArKzS9D9Ip7aY9WZ1TGWsUd8hfFhAYorXDFYKd4wUHUXxLW2Wzt2
y5HGc/N0XWtjGigurpJ1KKdfPvaEVQc9bAmBwPwyMFPtNa64J8XKtGBURcSxrmZMPLOXbsKkDzeN
Y86XO2FwGwkXT6eV5N5pTLvqOhsjvOi+BtMTGTAWFeUoOLIy91A5VfID1DSr4Fi2FNLaitEG4hVQ
MhyqF+4E4kVFk8SxZWrOXMRT7JbNrCsZ8dBFxHXPoipAGD+8TpPSm0iR0LoF68CEQbpOxmy8uoHA
sz55xr7LVHUwSgoJiZHVP00YSysDPvCqzUG/zX6747qOeySvL5qs8aZJqfC2MEBNC/7V2XfSyx8y
hmEbgLGVuyqipJroZIR1Je2I73hJLnapvIlRX1o3FhsPRSdW5rcviprcF9B5IVbridERyhWxVa0S
CIxZgf9CDnH1TF98bm5ghY1YhDG5FRuD/oDyqCHHI8lWJXb0HPGjX0RpaLwCamwPnhkBeNAcogk0
R4m+4T9uYpxxKn6K3JlOsMwntbDAj+sMq6SO++/Ezeft3A/qZypmdfNGv7Q2LjFNWuQTwhgbhzoP
lJA68uHoZ0rQkENO6taCd06JdsQUsKSeX7320k4+tWFO89L3BlPux7YJ1GFG6n+O5Vy81TYFlkZS
1JeRhDHtb07dXjUIAOQ2XESP1YAQZ+t7DXHavTsW7ZuB16YLasb8n0ZpR1RwAl2O8S4cWk/kL0l7
j84X5Fc2tDwLskxWhpDS7XkKM/a3aqTy4U4KdrDXPXWdHlcU5szPyJfOwauF+2hPCokhGaiGCfvZ
aKEP294XqoFyliFNsOnCbBgdGONoyJXhDs0ODbmel3B1x7fYU2wQSKjTqculu+6ja1y5fb8KC+U/
p3hAH8KG8HmqmnQlMnc8Ues7jTsSKBVOb7Ksn2RUQURG04gDcSxJ9S5QnZ0r3kEbZ+kwZT7lpZNR
LzsbpXalS69IVzaclQ3biHjMpN9d7UnMrwjnw9XA3Qo7wsJtDitm27WV/cMmcnMhCixpV6MHflPG
YqJByEkuLWWu3MsHT/3sqjTCP6uyIz3H+rExRFojQVqRPNbeyNTFsu7FrxHTepqYOGUtO9fQbxN+
HOR/DtebyBmTrRnF44U4GGkoV6Y+wScexLVMGFWCQxDhV2BF8AliaVlPYXCHA8S5mT8lMX61/8Xe
mTS3jaVd+q9U9KJ3yMB0cYHo6A0JzpREUbIsa4OQLRvjxTz/+n6grPo65aywozYdvfg25XJmyqRJ
APcdznkO2SE00J4zC47TRqzZ5NJIjcoSt3VhNFdgJfrVHKz8btJEnsCfj6sv8+jGt86cVPTylevc
6GSPM8bJmyTfx21lfHIizzwhkITzohAzAvbqmH/iyMBCn0xa8C1O1fxaEr9qb1Dl0nv2ejUEfo98
AOKERRs31332masNkHCexZwETD3Hu4Zc22/so5cHHDcRZpLss5SWebCMdr4hu0ceUcGR9lGp5sSz
nQOo8fS3xu7qyPcKTj4oDtonR4vLe6BP8jgiqj3bQ9sfQL52P5rORq/HZVvBnPPAaVftOH53EkQF
ddb59BBZsm4dAKQkhsgjOD7l97LIHmwwFEfNzNH9syt+y5MlaXt2CFooMz3fJ7YcqdGInn41Sr2J
NmEniystEtNvnISf0t5y7+EIZLjqpXwgwpf/qXkONWFfPYft4pPBLsK6I5aNdmxJGth0fIYP0DTa
b5xAyl0tCX6P2mxYwTpXtRlviia64C5qrjjcBdsDni35yu5s0ER6216UJbNTafBDRPsuimVHXpwx
Z5qgT6p7mRmrLQdyb964HSFpgaQrWYX5kF0xmqdkgnmJWSJ5Leb7MWXFhh6ZtYkeO/cst/IDAMbo
2piiXJvpSDZyX9Fq2AXJ7LURreZoCO5UPzlHfiwk4KDSvo4GdAt++xwFfbox4mJ8pWV2bzs5z5dp
VG+VQQ502qEejAp3jZxtunFwbzzEgzXs6kLif4y8hyluzE3qZIu8ldHloW102BTWALU8Qab/aA38
vTxHcvNMZevbGfc1LqRm2Pa0r2xoOiYcGlr9Q0vZ/iKjwrkEug4W3rbG+mpT0NMJZAI7p0uc+woE
eHmMe0GINWCu5kuYjvWZ7eq3ok7NdFW2jbiLQlPeDE5h34+MM15yCTd/lRpB2NLusr6JOq6mgQhv
nqrY++LchT/DTAGxuPmjJCeNKCO9AkFgFA0xdYzdkRKnYpjUWlAinDpN5p+tkCOLuDhKlogJZ2qY
A+EqbFvQOhjlE/vU9qD4fPEKtcV+jGrX16VubVyYH8VOt4TNaRqOLK3aVr04VoDDNZi7TeZM7g9o
JQSRaileNo77LzpQghr5bkZsPAGRoAwCQSErE/ZW1tzRwZhGNJxIXmKUoypgBGxzGPeW4rUUdm7j
S2q1AwRQrkhmJDGgHdjO7Sh4yHmyKpHTNNGDyNn5gOsaHmM52m/FMI1fY8rWx2okrQUC87g8/4PF
ju4lbrGarXF8qVL2lwtlLHxiREppMit6PITkPIz7zpXsYdLW4qBJ2+hm0HT9a2aRFIMIDbAwyxcO
rin3nENQSJ0MMguoL2cwaZAliaOTwKICmweGU92IEj1NaBLSmATZ9LlyU5O9TeRtTbPkzM+rCJQA
2cvBughMLfBbGc83XQxJmxIVCKv0nOYYjg3wCpFO8punJzGzPJ2NH6aSgtPKjEvo84Y3kcal4qhe
MWhD0JtEnGLEmzhJv3KczqrO3jjyMiR1hMAVyC9ZK8c2PmV9zR7FzNPT2MuxWLWBph0YsitsX3Wz
/IOBmw7rRWx+YmdrZauBhahcq1yIN5Tk+W3JBhVGrkntknFcIofhaD+0OlHZPjyu8Zl5MxkmRO89
wrnXYSBDhetCb0Sdxn5wM8T6EiCe6ZBXe/MttbHkwDH2tlqQ1tHaRggbbAUqgrXHcPg0K904YrMZ
byF99GugeQzJVVTgQwVZQ4yvwZ3VE3qTDPe2xmQUTBTddfPcUYQfpyAHqKLlGlI6o/GHqeq/G6VI
bjrKiVtCfXh+zSRASannZ60vTZT0/D9ypDAWG12jP+sgMkhMjNIbzNDmpmh1XAYowqFkgB56jrpy
vq/7Pj8XxDSwRodHapMYfsgMqX/Lyl5uwtKtz6qDFkoCUFKvy3iI/S4b5m9NSNY3vBB5qOdi2FOv
MyYuulD8Nxvhew7OfPo9GwFkgb0oFn+jD3pNIzS0f1UHQUf418/+Fx1BtyEc8E+RCOnofv6iEBKA
o00ktfJDwopl/GE7QFw9BEIGnt9FqPQvfZD7x0J3dUhPtvQ/81p+ksn+UjYrkeZ+ELMalsXLsw51
oDR4tv4TqASYUVkj4GRCkAiV7WiEB4ywAluLF0jx2uAVuzcAK6+qMgVzw4R4XOvp5Jhb9BAtax4J
/68hqjbteU6hzKh4un3q5tzPGcytWW8LP3Kq7IDev/+KN5jaPomx+CVtyPHDCJ+xImsgzslJuYsA
KNavQWZY2xwI151pYcvJKptVet7xLvDk0sk43bjR02Gv5WX9Paz7iQdB2qGKVCwxM89wb/W2i8+h
axqbiT6ewr/D+Y6dY2O3Kt40beKeSF/w1sQAoxoyEm0XJZb3lrDoI1uvmnTEw4G9K6ZOf5BzHN+l
JUIevhnpK4xWcmXj8DhqYHF9nS55a0LCATmW0X5yYtavGShpsGEhcZbKrdA7hf0EeS6yISsZonPv
qf5C36nK4tK7dvlVV1l1a6f62Z4p5j39Zi5QpKR2tp+n7Nz38oQJ7z7SsJwKu7sg0bzR+OZ8Tq12
i6drN5PWcADwPxKhqjlZtg41ha3MHaGoM81wHlshHchcWR/oPmrEe/jopzolO6JkuO8HOSuAlVtg
7oxgKxHiwtyLXgZawitAl+lmquvgxUtGcUhmt7xgWyCAeDY1h3QSkkjqZGr2o6Pp7LcZ6qz11sLd
5VJdrkCDpAdHjZIYMUzrWdj1n3pLMBQoiaxQMMRo9S1sirqkqS/MSvvWWG2w7lJBDAdXWrPq8kF+
HuhcT4B1hpUKIyYZNBqksZFC/kZeNktOrso9uzOIRIWI8p1eiPylhwdN+q8LvBE+6te6LL4gaZFf
PG+WO6ny9KpSu78wtGFeGQ/43xiknfO4kuck60K/MtjCcbydg2IM2UTixKsrS9t7+pDu2EuZ95KW
PmZ+ziKXPpErWtD1I/vsYEHy7M9GMmSWnce4Jrcc+OVcF9OKAFn51MIeQ97mDdEBOdL0MMYh0aBD
Y1xMskfAQIiyf6WcGI5B6thra26SHakV7csAhusc5Mw32MZaj43uMoB0h2K4s7SkfsmcoKrXaTIz
gelHTVS3xCsjKg4GpdW+bciGOW+qbVJrYB4S0DnvQdOOOxLVeJkc+/yldxz1ZANeRx2k8VVULIyj
TUPlaa9yHFmnmfZjbTW9OsrEDDZaDOqNx4XBbI5ExVvCvZkwzza0SYZj597x9MtoQCBdIYacHjzU
ckc7bcnlsYlBw1Flhnd6O0VARIzE3PasFTbxKCkLwe5rJxWkFQecMRQGL8qEj/1MfhMw97+gtOs2
bTDm2MsZHRiuPe6lHGS1a0EI0YbTGyDiKs9gCwnjKNsxWDFPsLYIqpua2j2Lz2aCHxb1i3M2omY8
AS2IKGHN9owNZ7iJVKZeyHmBlNIGRW+tzelTGdjURaK0gkejViYxJjN7+6Hy1inVBbVmOfqxzWw/
xjK/k7HBvTUNKiWsIhvu3c4Y7ychBqyFrDvXJbIcn0fqBr/OXqv0ei+LPjqzN8WXlor+SKteXQzH
U5dYSPFUsWd80sHnfR+sEgou2mZzH8yu9iCRKNz1dEpPSGw0In7LITm1ZJGs4lYmmFU9LumF7Jmn
6HcKYyifRAFyVENH+BQj1uCiYNmyYh46b8hic7YJav2dmaQRco1oIM0kbNi41RSLGsPGB1sy/yRM
HvIBSRLTAUWadQ4VUc+TctBeeK27MZge+KFBaEhSd95zrtVyWzVmd628Orjw2+DA6EM+x4OhdqA0
om3LZPPWdNB09w6Ilkm2/dY2TPXCot978VBiXrCFxjtz1GKMRKnJ1e60myVTzlmjhDQPddoz6quU
QoOUpdExnbLuWPZ2hYDfrQ9EdKpLib58naTxN7Me3TVinSM+4MUE124xV7+U1kxu+9TJa1ixLlbk
/7mRDB8hY/bf80YfoBJY466tQdSw1TXBXTjE+ko87hFxI7U9DFttshY+LUb2cymhM84LQojBORE1
LvFbAVOGvUjYHCmKddt6rqf6yAJFuzGKfq9CF7gaTIhRq+s9j+oNo9B8rRLcJnha2adCel0bQGwA
KNQty0QQXVZ2TC3aVCY9LWSiBPom1odu3KZtkh2ijoHhGtMcqBysnKuorl/0ZdLcd6zg1u5gjWCa
dTE81ItdD4rlvDGrAakodsorqTACEGlYeHsEhvgRKKJxCY4eiJurRO62ytAIXfSG86zsrHQfeGb5
tXJBlrJywlLMNf/IuIjBxljaNxHDLR//ZukbTT6d6PR3rTXPewd1zC5n2Q0iLHhDGsgfC7J0ZBA/
KGJmkajt24JBH+N8UM3BAUdQQaKkxkRTpN3RTgr9wZ76hkkyqqu7SOZTu4IL3tEbRXAanHw0topG
JUKpp/0Yg9o5Atqon7g/qrN0y25vMdLnmOmKN0WE1941S4CNGJhfiQtjohjllyA1lmHqNJOErIIH
vgDFZ2ouwJq0dl9ZYzJFbqrolgVygv5nYhvdjAZiwrm4ZFaunxskvHAL9H7TR2FJgqXW9+V2MEkO
Mp0WazN7a++H0iyADJrmbQdasmpVW/Uic3KHeGOQpWXvHIAah9zOtaskZzTeoG/q9/m4LEppiZ1s
hze8uFJfxPlNhtsUtIfKomjFY2AdHVj/z+QNV1Uy3NH41UdIPxmOGyv+rnjiTBAxAbJmYwUKw3Li
T5ZSySah3EXkCmwF63a2HU3sHfxeWnsVRPHWSujxtCLWN5an47iBm7CHeWLCsB3KKyzgOw1qVo6p
khdsDnUxFrCD0X64+piuWkqLdYO4bo3fZHwb4nH8MZTmWxOL+kVm/atT9uwfhB0Wd2zwHIb8HbBr
Gcfs9qzhLK0a9Wqp91ABzdovAhYysokUJlaOp0bvrKNVuY/mPChmCkMKrklbEufzxo8aVoiwOkJf
ZCLfRqiCTxj1h7sWu+QuKAbtASFeuxuE4SDnyJ0bJ5mCNxc0w5Z7NATsMVt8DZ16jPHX3sTwwC66
iggFn/t2qyXKWDtQyR9CmJFnwEvoNBNzTnxhtxnhgL0XHidNLo74NjzUo6y+GkkPEkMrg4uKa3C6
QwE1m0cUEUeJIP4V7KmWBdYmrDSW/Wjn4/XgAoZlEjriHAXUQvZarxVE8g5ywzwz2iYtrDKqq0GD
d1TYJ4mqErH1SBTH6BgPUIGXHCp2cp1mBnsBRnKXToPx1DIyJ84Qo1Hq9MMhzoLiIodsMladw5SR
oHItfhZx3e6rIS2vumWRFWfG4Z0do15zQbc/cdChtnbIYvfBiJobe3DTY2woEpeCFhZGWOY/mI+7
N04jsk99miviq2GvVbo093NqC8K2Jnu7YJQOeV8avp0GHkcN6qoV1YDlsyIfz43e3gu92VKnAjOV
c7Jxs/qzFhR+NRAI3k/al7xHGorvWHyyclZ/jlvXflzQtJSObNalqY8ssxi5kDOrMKfZMTNSwFsg
gRQ+Yy4MEFeqJeBNhz71SCa58HElBPwNRrmCuRgc/9JZXv70Tfwj79Qyj2ub//0/TPtvTo6f+rTF
APkXe5/muuhu9DjajwPGMs0SKSIBj6mzB97NFEmxUJ61T5Vnjo8u+5bnye3LOzOaw5M7mdUXEtWS
DZHEbkdWthnuoo7VP4Fq81YXGoM4mTLMqj3tkjPoQejtxgwcbb4BDFc2pYRG4Pmz7bB7oqjJ+3Vg
tvmOKYW9sZkJubBnv6FPh5yijcWdBj16r2rnqasa46C1pdgElWc8m10nT62B3zCpvMIHWcZNmwoE
7FmakvVu1UxlK3c+1JGUL1Tq4U6g3mL5OLwWvbh0bfdgU6GsppQtCm6cyRdzNKE2yc9BnM7nuId3
jBGdGFvdqMm1TNm1OdtsrFlRLSyiN7MFE82+Lmw53BVF4QaNRPEZ7Gtm+mXssrurI6c/AxOZDlFF
tYsbz3Tui6Lp7xokD0Sh8Ti4maLU/C46PX4rURr6pa3JDVmK5rVgau+tMAKixHAsfVNMvXOy207b
C0A3fpPMBZtRMvrmDXK+8XvfMPmKyLfMO4Gap1bs68Yq2/YhvZOzGAmseo5vgkG4vV+pupWrTpD+
hq0fNAs5v3dzmnNCRznaEfrXCyC2gE0q7IErN7p3GL1xOJiFzV5Cp8I22Cf/IKKdUlANw/gYKZZ2
sNdcIFVulXfYF8BynYEIJXf9e8mdvZff5lKJcwpTlCclhC0+SHOr08uTwDxE0Z21VPJMFHk2uUt9
b7xX+noCYKVb6v9Bc9uzt/QE8HG8FbD1+LbLUPMuRFz3rkkGNPmoBx7V0mDU772GQ2XGw2hpQaz3
bqRbGhO1tCjI6+lWgqVxGWrATcoZIPREZFZurK4iqy1iF+i9tzzue/tjyJoQBVKyR8xDDqNBUBGb
iQ05X3jKheuleH5Ckr5eSwyeK4L/AGrlfXuxxzrZTS6wUx5i9Fvs0h/K2iZ3QSuvmhnHe/ZAxdnC
FXxVnWGvi5hKWZtQ0a8KSuEj+5qKnS9NGojj1lkB5yrXEWAFlvV8D+so1I2FbiPWHa6YC6tX+VTx
HbCmXlrGdGkeGU/TR6ZJnd5EacukgCbTzpcogPfO03nvQr2lIS0NK91VS5OKogqOvuGE54oOFulk
xK1LU6uW9pY3uTS6tLyMqZ2nbGmDnaUhdpfWWGihS1pF9QX4f/rVWRrobmml56Wpzpf22n3vtOel
6Y6W9ttbGvHpvSfPlvZcLY16v7Ts7dK8j0sb37539PXS3OdLmz8vDX/CQ1oFwA1a1Kz4wt4nA+ky
JEBvLvdiGRyYbef5v36iGktu2AeD2vsDldoQY5wpMa5/fKB6dRNO9ji5Owb8D/Oz9Vy9as/Vdbht
7hEY5XdadvvrV/wpolfajNqA8XpQSG2PO1/+9IqLjlU5AD53veMGX7OiieFp2Ml0i9ZoNgkEKZZo
2ap11kaYRl8NMZNNZAfpj9kQo7XgOIJtngys7lAcQ8qaA9goa7NA4b+bRaB9bsB/PIJc5cnt5MWA
YMFedKttOtX7sSqqs6Xq9IgLaDxwMHO7MR1YOdK9dsBGdz3VFL2zSraZbVTbqYHy5BIZ+uIMCdrg
IcgOfSXcXTtl2icVD6Cw2zxFz4eI08w6Yz711HcPERvgV+QPpExkA5mnyRjXTzZKa25HZWaff/Oh
Lj7CD1+jbcI8N5wlp9rG9f4T27Uhj4der9J2U+vaxzyND60ZuBsxad7GNGm3TM8SF91mLc7yAwiN
iDux601pfGncKMrXLPvCt6nvhqPK7OmkuUZzcRnKPlPfFU8WuoKOdfSm070ZpJE1XGvVkrUBBCDl
1kwsrOZySvd6y+yASAWQg74TahJ9Q5gXm3biXVme2VMgB3P+Ws8dEirVOqyh5+U8YsPH0ZS8H1Pz
+5Flvx9f0XKSecuZ9v6B/T+z+/7/iLsQlvdL1sXxVanuH//zVZX/6x+nV2r9uP4wsf/z5/+c1kvn
D0kswAKz4D4VTOf/a1pv/UG/AuCCWTm/OC5D+X/5ecUfXBGCGT6EGc/0nP/r57XMP7gbTQZPhg2e
mlXZfxIxBWLtw/WOaB34htT/9rhi7hkaXYdZR5GKsMLsMhiItxHsMrXpb0skKsXGCwLEkYY2RJQH
jZ1u2EFVp2nsg0MRhtzSkRS3dL+Rr0+jRH3XjXtW1mrDAYs1ptRCo9h2KCH8oKHFGgKrWVVFOx3U
Al3MGjRRo5c1O9lG+qap9GhfqLq6wxCffkYnUyOTL6KdMhbuRJelJ/Zw3gEmFiVMnCvwVVF9VHFv
M+Xz4lfXqx1cRyZb1CApvd5vCkv4bmKXuxSAzJZ0umxVlIPTMEe3koeiyonKxW7snmdU5agGirH9
TloQOko26OZjm2vFFXNlPJ0qNo6nqXbNc8mQaBu4RQCIyX6zk3leO67D+hGJNDETrNUHatmSUX/k
BN8ymiV/pnE8VUlf+mOTwzBMSTcf59baG0EqjqmMpscuZfR6ajD4WGsvW/LndSi7zH0dJW5y/K4s
AaAnkKUenAQ+v68Y4Xr20KXm46ow8MCwx/Yavf4OWzr9TKlUfiZmqtvrdmk+y4h5K0uYKD+ihIYj
lnnEPyNNrL91VhccSStmYYO2kQoRkY04DBoCN5ALsfaoaTA0b2ZbBvxcl3k/JoOZSjbOKA3iTKtP
KAfLV62MU/gYdg8bQsGji3VCuYI54U+JywiKeweLYtPUI2y92TI30ewY/sz23o+W/5J9Eb7QMO7M
K2oy9aMa+BZ8kznXUxrbNPEIXsrwE09LIPCYJiuGlCAPjHUG5BmRe+qGd8qR1sFTVXQRCLAYVdYB
2tqyGHBQaQzJcVBE0yUIqWWbGv29zR9pXmre4muXjJ2BkRXddT5VAq2SxnGYa0OxDQBQmaucVzlE
tka2RWQEP6bS4T2R0iWICzQiT1sbXCoRs+/KvEqnCV49vUsRmRHijXrAMDczA7nEjyB5OVsK26W7
gPOoy6K+L7CX1agLsWxsu5ma0cQLc43tLPwh8JisxwBL14Rqs4TFTeYw7Nq67VblALCLqjLriLbF
U/IWCG16naPZ+IQ93BVosw3rh+4NLrd0KIoKBZMikA1/ILZFK8bqvir7rO1vQH64JKGnWPFgXZoF
ovle2HtPKPbfpoYeBATvDO7P7msGfVMyEmBTRR3xL0wdxQNcC6xUVqkRYdKKJsfdYhD2Qbx2p39n
0V3QsMUQylvFAUVSVM5GRcNxfDQmGTYr9I/eNRvHb6YOpGUyCvENjlm21/WsvYIqL89jF6b+bFT2
hQ/Fs9eGW45Po5aEr4TXxQeFmO5QTli/a7ND6ZI5rXcnU898YPSyxDTOET45NVCP8GFmLRzgmTBb
MdUxZ61DRthm4Bhl16OFD0wY0VL1pfe9NguEBGOrtYwZ4uhrTL/8NQySfusQSnQ7I5ACMLconiah
LgkOt3ZFRhs5ERAFbEgzaMVWrbSAuQDsKc7IUXR/wPLzwh+i9kmk65cmobwfbO+F9rPcMHh1QIPi
tXcxGm7i3s3O7WSJF9cOZcLuDJ2abGBDrltkEZsS7RGm8RK+m5HSha17U4gDhOkCIzh4P58RCd8a
a6HgTNrBuEfZ6OIcVXq5GUs3OOPZzZj+aDqur4ohULnh09FfkY54nxyLjCi9aTz6z+yeeQioFsRE
q952863QXPj2o+jKR0f03kmVGcwU246/wfi2j7ST00bvO31n2cTI9IkVb0QDrYV8jXRvxkTZZCIi
BwsSOCMUWW+K5ZmeAwLzK7LRj0442l/IWMKgEUd2vRMDwX+M3ONbjefejdIdAykxy6dIBL2PL7C5
Cp7zFyTSsCvrwh3XcHGweg+RfXE6O300Gi36bsjci1Yk+/SbjoABFB1jsid6Md53OVLwnPSUY+kh
4bcRiRUMKXHD+uWgkptQKAZ7hjXMX/EVNvskVfEVpxQguLG9Z/3kZT5PSyz3ODbML5zbHvabtMlW
QkzO/Yx/e9U3YE7XlaerI+i1Kb8j1W18SsYi+kFcSnjtErY/ZjliL9f0wfsaDk3CxLW2mfiyAB6U
cj5DFWBFq8/gJeNJ7UF/AmDzoAxuSRe3DVAYg7wnv1Ses3qmobTm4dzXmn3rVJE0iQwyAuz4GIpn
PRwOHr3mNmTEeGixPBMoZrTtVjJruQrZqE0cB5GxwnAC7U9YcXRryn5+1VzLWDqvmZ5WTwvsEAib
zlGchGuIgtoKwZZ9nl3VfzGbMNlC6+pYrSpKZE/hMAhhXJerOAjSNVyw/FgRSnOLoxHSJKQr87vV
F/kts4NxkzYTOzGSAeZV1bnNNxZSiLfnnHXeUGnH2Z2778SaT1u0oP0DPO4Q35MN7sIiGugYVmH6
asYewtN82QbSAOlqPWU12QVCkPpdO9ahQ3DIaYBC9yQHwzj1ii2Mp+ndrrQSSIt2wZNO42cOMR3U
uaiC8ZK4kbPDr5ocG8et+DTBZQYDLhTFcYJCeCIPHrH6dRD1vNXcQD42iddfon6w9rOaOK8RlJxc
jPeRbuSHptdsigEmwyuZOJKBhhl+/e8KHfnZL7U059e0iV7fhu/fyw+V+Z8/98/K3P7DgFCCuRa7
+ZIPQv/8z5QR8w9Ek1TlxO64FqIZ/s0/K3PD+IP8IaJELMnh8kFJ4/5hOgZRqRYVuzTBuHn/SWW+
ZJz8pREFvcaezEDutbSiEIGWjuSvA1qBTzWqrZzx9qCOnmp2HOUZu9D6BcI7h4zU/dQZ8hVL0F3g
IthCk/MUoek7M1kk5ij50pX1rQPIZAcioGNS1V4SDl9SzozYLzpWnVXZ2JDps+fW5VGlA2UdROF7
/USHCd8y7wD7IEpem0Ny9+s2+yNe7/0vx+jJEDpZP0iV7J/+cgk7zRbMhw0vN/HRr2zT4EdelxdU
Rev/7JVsvkmBiR3AHrMZ2rCPH2Oo1Ybs2dv6jUEtinU/ybUzyAffKEP/1y+1UJb+8pVJAFDLU3b5
xRL8Yv6kfeJ8ZT7Iw8nPnf6bDCoWRSr/3E6YcGrPOAT9sqh1+tTXK6f0Zd81a3DP/UqGVbQLaHP2
c0dGbCy/8F89klRww2h9Jpa6fg614QSC+RXSpS1KKJxO8ZWV67QuLZozBoKk0YU860Q8bANLpwLo
moPVRM267dn02oRv+WizXp1+/lJV8YtVSSqlFLDgrz+Dv43B+Mu7sPkY3jk4Rgxzuaz/slcIhIz6
ydI8v3BdNFBAqRUYCubDDGODnVc8l8rhEOnZImMHIyhzZffqLeN4/vUbeX+hvw5yHFsaAKosqb+r
5X4OLp+iEU17KChSkW6tjKqiQNLkM/GsHKFG9i3r0hPDMpqY7EQ47WOBHqoPErmjkmUZ45n3Vgcm
dkQRIKodFdjrnIQvajJI4BHX37zZBfH41zcrmTTxEMJbqzM65BHy8VMjHMTV0nYEIKXPKLJw2kl9
eLR7/QFxxg2d2mPTFQeMzft5dOA7609aBKoJg80qov2u2fn1BumDGNsg9UfwoZ3HgaHy6tfv82/f
Lu+T/DHkgja3kuBJ9/F9ipAsuDiWmk/410PpQv2mLgE1O4yYsTpiIxqDqNNBB6veot2p55ee6TZJ
jqy7fpeJ9vMG66f34v6EzdSd0sgQlgRozWDtlfoq9QxIRtYK4eSu+e3LvT+TfvqO2JBzNaGhdCXj
wY9/d8JCUnfOpOdbLXl/7BaLlduSsaQGrgr7AUCUuUWbUODJgWNdLeQdvGkAqKIXOYG0T5Kg2YRI
DqhI8uegQ+bdeFuVNI8z6O+TiSF53QXeuA1EfO8p4JBtwuLHms/Ui/Y+cehcQX6RJYLmb6I72cAL
PBEgTpkI5Q/CYXXOWNtuYaJjk0NFuG9dvKaFoF2GNcDosgaUjybi8uur4uPDnPERFwXj0kWL6hjS
5tz7cMvjRoQm3/JFMOjYEJ23JW5mTFxoEze/fiHz77cJszJGYtSQvJAlfjo2BPAzMw+4p61EntjN
fc+FwVbRLcFIeBa4gCb6nIzDg13Nh7abrhihvgSuWorv4KUOXNRozRt5QCA3032dMeJp65uxyHa/
fp9/W65K5+P7/Gkyr0OnCM2ySvF6O+fJGLZNKpM1hLjngAOahMO+96OyR9qpEaORjflNDR5m7ZYY
amY0OTggtVvHbrTNOFbWnmK0v6mbWmF9HVLCi1xCxCvHPs60vk/dgFylrNrbviD2wS47uPMY21Ya
UyguNV7Y0XsGLQg/VwFAh5U2oF9BTa42BYsQ+p7i89gmr0FUmtxHw/Qyie6JUCGHXKio/6EYE9A4
h/U26KrwxBR73qa4XH/9mf39IqLaETZVD8c0s8+f7ua09Sg3rNzzQxHctkDpRNuvY0vugtLc/vql
jH/3WtQc0hKmZRvC+OmcHhP8Ko1VEIiF8O/YdfPnOS6tU0ku/BO5sTYC4YqNx3TThD9CGQ/rwmqQ
U3gcsENLrNo8wbuwElFfsD/85s19nMcuN5MEcMxdy9CXu+nnsi9LekMJl8VuorLjFG6l0E5z9ek3
n8DPlQqv4upA34HfIRVHJPnxlq3NZSHmZCGjGqSe4zIcIEvNxyizm+Oo8Kemuw5hWb5mlfjEiuhe
kKTEqMxeSzvvNtVM/k1Vx/lGNuOFIVB0hmGUolSQ9m8Kin/3Th3X5lDksmCO+9PDpaUrxpFOjrTr
FDxVYua4sN/EIokLGRHhgJZsjYOTS0LJrz8kGoqPZzJpPiazW0fCJJE0hR8/o95V7VyEReCrUoLV
lTxi6PKQGVi5eYXUAFWi+s1LGv/uNR3DNIlM5YSFvPzxNT016TYKd3Kmq2CnzMWrFJdoR2xp+WZM
aa+6b1Haf6oiGyqN80owS4Sa62tbx2R8a0VxSxIMBl4LJKFcx8njrz8S+28PYKgU1HcUuBKgH5X7
x/c3aizldbPV/MbtfIYRu0AE2yDhdoGkAowunbMTqKLdMJo/EgH0DPU5oAcSlZzgS12x8UocG9Nm
/yOJoq0a9W3YY2jU0vgyOOmujFDFCiTvXll8czhvNxLreM/M5VDwr+eSDLMEtAvYtcbH80OgmGi+
T0p/7ICuGAitGKwg901BDwYDJJk6/c039Dd/g8R1QdtC0Lvg3oHP+vETyOO4pduIpN/08tFU4p6x
BJEsuOBKMpPXmdfWG/AAN+VImBKBaOuMFTc7cXJv2rC5Iu+8InflMCBonSxSez2ahMW0EgyA0p9l
BXxFecxpIRScwwYOtUfYOVMyHPSDY6ww459lCBqFEcqrK8gLdEL3obe8L4YZ3xgwajCVH2qYHn0C
yHoAtkPc0/yG87uEpFXd1l3s97xRQ1d3GeHfY5IQ0MzwfqyIGmhbH31guEL7s2v/D3vnuRs5mmbp
W2n076FAb4DtBpZh5UMhKWX+ECFH7z2vfh9GKLMkpanKjtodDbDCAIMupRgMms+87znPqfTTVKD3
zx5k1ll4FMgoGOZqQv2+QweWAt5DqoHqoIq7aS+F3dwDf6eg2qeCJR3hr3xsC/c8jW6NwZr51fOv
H8bv1n9Q3oEFiQZbu7HB9mFkqPXESYxcYT0mT/JhqaE6TZc5REhwndtP+rt7nIvn9GwTP5f/611P
89/v/+fnIPrLlDx4cn9uRlrVT4wkz0XRv62fvP7Zrn5i0om0VE2lhKfRr6Mc8q1+oh0wk49jJixH
ptjxN1/rJ7RDwRePYGMNzxHxat+cSJJ4wM4CvPFXhvFvdTY/zhs6Q5RJEcaAqD++rh9Gb43UFLHO
6nxGL+TO6WDegVewXczNkwjGto0DoJu7lnGSJcrjmyu12m0J3orrPi4vPn70h9UfkDH8EGKZo2FB
WuZ6AAugDyyz0Hloc0yfv/40efwm7/YlzOKSQrCtRrFAleUPY3IA2pfNVgJqKghVCp9ONQF9R7PR
lENUF9mt6AbBgjudz6KoNkm7aQDjIcicNnp9S70VusTgfgnicNVXxqkWdBOlBtdeiUBHcge/J1gR
YuiCY0lBuPDrs6fi9t3ps+Iz4TqzEsOhtlW5vCkYyEVcGnqTq+hKsf6yOMJdkFZCYeeNCiMffj81
KJyRyDG7lVUH/qXqaOdA0sAeymZJYF9+Gw7I4gNTvBPU5MRT1IWchiSuNITtxAg4cjqzXcu/leOW
PspYUnZbEzO9x27K7PNDN5dF0mxEqsVORKarEE2h99nGcIGkDkurP2s0b61qwdLt24eS0TJsEfrB
Iu4clBjwAC/osa4zwkDV/Kkf+7VCZ9+TWjYsjJ4uJ7AG4zQtSP61JbBfllnDKPb0hH2qHk01oF3T
LlG+qIWkLGRAcld6KF4kAhTVyOKTlbyJCKfp+k0QVwZQBAIpOq8qjuUAIw7ZbqJhM1mNbpzaP+8L
g/pg1OZL0QjdOQSwbqqRInyk0j4+MU1S5EhsL1ctuFJq0iUIQSh+94ooE3Ob+Om5SRcPpE/m1nai
6/cdotiZ1nryQ6YNzXNWV+JRIx23AInPWoKA0EaaWNbAmML/1OXhCD7YYIv6MMGyIs3Jb8yefD94
8t1UP2wt06LFSYAcuG8yirLCTnsPS1IEK9I7yuk9uQ3FR4Nbo5UIjUYw3ISIPh+1voPyPS7zU8lk
CqrTK9S/yU7P8tPgD5kB6N3rZGrs8HmFqf0aMqbJj0swN5XyrOqlWR1F8Fh8bUiTcXvljVhBN1uw
XFSufF8m596rhXvP0aTczsy8seFPpCemoVx3ckNqgwPliBTX5y4x+0slFKNFqTklGItSXHugeG7K
vK5Pjc4RX7bv1N89XZ36j0Vapi/V+wlq6/78FkDzP4nAT0wNyrtxzfrzeW36HHn+2yntjz967QoY
BMwgvWGZq8MV4P9/m9X0A3PcmlKWHzPq36XSmAcmN1Zjx8Y2RdxWfv/w16riOOFRuBjXKYDrf8Nf
+130uGjSW2BvQKgsU6/1sejlJ1oWc3r5wi/Y0FN4y6urunHbW6+pGgIG26taKIR1gmeHWQfn0HGv
WrT2MhpYU60Nors4LJpNkaf+oRNa9Qy5OokgIz5PIkhw7ke+Bn5E7NYcHjjKyNpz/Th6Bvzz0I4Q
vnawhFkeVOEUZkS6yqzWucpll0VXLpU3SqrGmxQMzlSQ+8YunZBZJdXWIUbRY1y4DMQKbjMl0EXC
OgaH6dGibsPQfwka4JauPv190Gc20KNupgtCu0CCj2ReluEwjaNF3eeXeH68Gfq4FNkB3EF0h+G0
rqv8Uo1VAV9hEFNoA21oFhXRlsiNFxVKiBu57+CryU70YjlZctIorvdgknEDb7usHrA2lVdBLceL
gCoNlRQC6tE8KOiJgrhjK5brjnQfBl4/0VUN70RuWidkUrb9RB5qEu/KvOruFVhR2ThqE9CRU8C9
S9nkU5bEOWcj0S1gaDfaKcWNQEPoF5pfTCEqCZeUKPso5pA19EFTpK7/f0j4K8Z7Gr68eCRGyOPq
gtd53K/9YnT4YYjVP/43qVbTTbxJtvlWU79+O4D88CNexxISrsZWIGOCpuE2fqP9Y61r0P7Crr+z
3f+xQpZFVsjIBBEMkj++bSN+8+oTccXcxPH4OuMhzd8ZSyRlnMrerhw1Fo3IXSVF0lWSS60PK0dC
2ciS1ynaOu113aen4Hbm7hyxdcF6j1DZYOJr+DTXyjUsR4s+fnBd5j4JOTdOV7EDFSZmo+Lej+8t
dBiht/QotdbCHAfQokFN5JTxoWc+9J1KtRPcee3f1O297FczoS+IIRgu6bXYrdyfK14xV1BfmC/Q
TKIl9vKGENknDytkotGuC8m1Yf1Ekof+AltkEhYkrgq2L+mHWoAx0RKlsyZOpn0rTCKvX8R6CF2d
VX+nBshVFqIeQJWUKneS1tFZ590nFgnNSfsgWsl1WYkXcT6gZkf8Z2tKn81KqqZq8lhF57oJsblu
QlJAWJgqLrw0rBhFb7eGvJKC4NKNhkNFKeAzwgxX46NQpI6vxydKJ8GwzzKoWlQhcqRPtSDM9EBc
YSymzhoE1PZTLB9qQqqAeifCDOA2zWgSzlKG7MBhiVSyglf7SVF100AvEGmVp4pfrSpdOZMc5TE0
9FWXcq5t32s0B+Qvnd9fw3qcyzE0XRWidUAp3fZ0un1gXiGsef7KjTOiHekPUDn3z3JSmILuTyr1
dNo+Plu8dyB62JpQqTe+iw+D3lDCX0U03Q3xdVHhGFPVcoWybOm1+gzYIsHzhg4uKllE2Tmq/AUt
1eMqpq7Ui4ig45JNmuNYhzpUzlAAe1e38yIIHbt2lBUykXnXoT1TUeuRXTvNFf84T47FWl0UWXIs
9XNJMHGIks/uDxcameqm0c4KiSRNbmHW+y9qoa218A7hK3VtjeSYGFAhsELJmxTkZuWtMk2D8oQ8
iSkA8inSrmU2iKtCK+aNoq560TrRyVHs+tq2OozGXnUVZKBmJX0xsNSW7pFG2cFQH+X6cEYwAaK3
1M2B/wCss3gqQypVtABOzOTUyHFVOgVNGvMhrvplFIlL5i9w0gJJY2E9nAxdBWLG2fSZNk+hosYc
0MYsVNqC1GM2VW9k2T0Lkiu5KE4LlvUlYKKku4cf0x1nco8xOZGMu9yBDSh40a0QKDMvkxYkAgR2
q6tzvJnUToonseMcm7g/h75M3IaTatORMXzMQsPO9OH+zei6+n6nLI9b4Xcj0LgsosgtmiaRR9a2
kfJm8zeMfHQMz85MT8NnV6hvHC6fU0j3OQSeoSlw/RRrgpfPhro5p3N7GLTdme+rthSW+RzzDa52
K5iSKQ+5xjr3SF0o/AoSoZVMvSpcBfQvMi35k6dbVT4+3Qi26fCIDOBMMBLeeL7Xm/MusxyijkSs
WG4UkPRlhQ0MJ6zhG67BnJLuzEbSw9vAuJjhKUUUi5FXAjFtzLssWeQe2jZDGDS7yOGjZIbBM+tC
9cHaSli8bMs6OdN+c8nAulCibuUH9WUmSNcDGAwIak+u1l3Gamk7ikk8g0fUBX41Pliv0llHMxkp
mPwi1h71h6oSMGoABwiGDEt11q69plm1Zn2c6aSy+npCMpgTzOny3efGIAHNbK7Agp43EXLwWste
EiHwZpqSXbWV8GJ5SjQxff0Fj9BlqQe38eAviqbEZia9ZBGwNeKuLTj1vpsDolLh1VuTytO+tATJ
YOq3bKN4aD3hsMennsbtjJaxK7YTyLbUQ7WbhC5Uiy9RdboZgemnuEBXZcXskYnyNDCtJWlFLG3r
+iYoquscGZqeqLdDmF+7sAZrvMPTBnXzmJaiBAjuXHGp5cklgsOlCNwAlfajI2aXCFCOalmZ6hTQ
i0Cb6oG5chPxEIH4qlWxMEdk3UiQLOuYCALRmlnQXXyISK4nzrn1J6IUzdqmZZbxb/AzLxsDcISB
SLc/Re1ZOeAme21eWVSADfQH5W0wXGLgA8RvTr362KIMECTOTcElXCCE9SeBI81zHKrsz2dem8RY
s6uX0EMBXOmrGp85oSh3eUzynTXSDJENkzqgYOFGN1bdwC+8SOHY0tjL0UC2LTX0Br5D8JhHSEwE
knjNGKqZdaOi9XGEFNKzMM8A69hp6pwkvIa21aSrKkeiOWjzIM0u41Zfh25wrMp9O8V9aOcgUvAH
S/x9BbOwnrM/mDpuSYRFeEtvcokWcBnXngWO1ycLsiKs1Utu3VI76QrlS1Qh4dP0W23Ir7q4RiYe
1Ie5Y7wMpPU4tUeCcEnUbyS5mAzIQK6rvp8WrhnNNHU4oWXFEjw9x9BZLIxC3KjlQOp2W6xTpd+E
uUdRr65uxUiBmEWXcuKT7Feo1XUzmEeNQcNIEf2ZEB6GsvZFNyRktFKHDCVAHarf1nJ9LHbdQ9wN
NN0T0B+RshTaDrmluIqpyoPP+BITs20CUi1Ua63Xwqkb3uHeszHBTizHOysb/0KJ8WHytKtB9jL4
NOq5Yl1nXXa9gifPX6QVblQpX9O0aULCrQfxvnM725W7uVRbjwFBhiTWNzgHtbVjPccGU4Y1UwUy
FM4y0uOV86ReB4RbFwTr1Epm6wrNKNmGQHRNVwS0XjBJsc8nEBEbsCFy8AzQG/6BiaLy1rCuWkKS
/E4lw4hkbW8qyXe1e2m4OKPNwjbVCwFBvVuSxFjLPC7CaSCuMXcRxTSciA5kil61K+YoX1cPAW9o
BEaH5BRZgc78cC61jxZYxdhQbquaWIKe9zqUb01rRVAOWQoXIuBom7HyhsJiOKl9ber6Dy3Vo7h+
6YJ0EmfWQ6co0dxqygch05d+4S5DX3pq2qACM+vFdkjjtsfPb2tWO5X73K6s1DwMPBoUOJgJWHDj
L35PRFAn9+qTUBDuY+LITykSz9t0ONaK5MpDyDIdAunKCoW7tO9v0hAIbBesBqcyJk1WAFVLFAJG
qzBii2zS6NSTetq0yWNaDwtzMJYVBjQdZxASVZZTrtddCmru2gXq6lZURxXMptJZDkvFIQlT0gRz
G6YF4wFs6BGMnmezr6+sJMsmeSAvg6CHpo5CmCBOcMuOMRrNwPIFTXWFipelHbncg3qSZsoLlaRJ
IC3citgDyMdSWpyGbcboCwIjh8baVwsIAvJUdRSaRiq7eBVH7hSaDGJwrRAmJYzYWRQKvf1f3gD9
2KhZpmWatQrlQLRZgV35YnwLgBjleooVFlfKWvGkI66NP3PoR9ly5hCjYBgV2Z51bYsCbCq8iJd/
16b1XYPlc3RUXutIf7K9/Mke8o8/ft04ygQgy/xXNpdbbxjdjVdp6rhxVN6kJrOiem2tjBtHhYIl
HWs4ZLJpcS5fi1DigaJT1hqFebuWzO9sHK2PJdLdvpE+tS4BqdQ+KqGyQshbNZFUUDz+S23oZwa5
SBmE48DJsMUH0izqjc5uBOfKd3EQD/qdAc2itu6JsMMxLrjHjjd8CWt9kbHDlNgXBaAOi6Oq1Sad
AZPFaU69VvySy8qCnAGy1LVFMBRLMSNviSzXKDsGVQO7ba63/G2enERBsVShwoW6cqEX2pmmw9PN
1QvVkc5UrEy6+9C53rwnfciM8ksIGJdD54DAVCaql5L5CNGrehiiy96Fcg3/Wuv0uaG2p0ZmHtaE
0kmZepao3ZeMGLKsSlY0iWdZ3y+iGPQc+4Vedq5Q2JhT01GvSt1dEtl4HjsqyB0P/FmpFcvBQZ8T
uNFF5RpLOHTj9rq5rwrrSjSL20DlkrmiSrqjfpgL4Qz9waNAqFqexSdjYMivl95b/eO7pfe4+cf5
Z2H4kXhqPnSp0OTJpSeiPkfsMvKp7diIT7AonGt9f24AnbU9St7hYMwEtkcNd+bXJ/CdSGqszKA/
EdGJUrTFhv1+DQ2D2UyxIED7YmDMiKbF9TIn5keyG8A+s9CTsUiQx1g7wyrIhy8kDyknFGzBjOjE
cRr2c69UxRwNlD5pQsWfG5ITz2D+nnT0cAioCCc6a5xDcUTvDGykVC2Kp8yE4BRCUiBAnLGCU2DS
dCA7WARpAIaU4xx7vu0ZjohkUX7sW0a6thsu2GwthtInmEaWbhhej4EOn5pBfQxKlTR67GnHvz/6
/bUS/U//1ecdJtlP/bwKNxkRmD4h8t7bOtvrGMlfvo6RlONNkVq4QRr8SK6kevU6RtJjpgMkUvij
JK+M4qavvlqGSLZrjIPEmr8K+1+HSCJ0R0GLZerI+qVRyvg7Q+R3Qh6qfZT8US1xFtTsxrLj2w0i
a1kD/2bQL2AZ5NekbRi3uSG5p0QpjpmgVtHdVYL4MFKfnk1k/vfU1qkrY9uuwTy16cxo4FEj/rJu
C6lJj5oYubpk+tGTBvDw5vcftas05v9+2Qr66XNGc+1/ZMOIljM1VowaBEeMxVZl1F3//Lk82TyB
Z337TP7wALvH02TKZSpWdCon1A/eu0uwgSOXRUc1+sHfPJ7GAfJvJlRUiaNTZXxyvz6eMm0pBA10
kDCnaxqj6W+0kbCxvCu8fLN9fyy4qBHSSgm69DJqjXiEeZCVBX7FtRCfxvQwFSsZjg0hMRe1UpRH
IpTPo1QmL9hu9Co4a7MRy0ZDU4unBsPsF/rK9Vlpmf2XLIjxZiYkpGXzAsM1KH+WnOs4C8oLIxRV
otyI/CDFyABFSjHJxZoxoYhC8I4iOgTGB3SRHhqCzLLDJk3VU7CDylHUSe2mcfqEeEm0XjP4Ftki
jZOCZHjNB8gTNaUuLtuePnXRhzSO0HV2/aIXK5JV5ChqcmLoBErVOX7tYFpnEnTRwNT9iy4zNFQD
Q5FfaQZJ6vC3u6keQn2eEKGu32FJjlddJ/XYRhsZl2URDFE0Z8eB0k2B/HaXB32IB1cR2C7QwjLW
HeF47HCBODwGmtAdWUGsHkmQ2NcaEQWzEYJ0CVupvhGdQlthIIzXCLr0hVCp1pJVzbAYkaAzR9AN
56RhDQPPTgNA4+ps5FjqmPOGZCZ2G3LtPVp4D+GWY6O3ZpGsN1QFw3Y4zgRdeWmdprsUc3d4xpIS
05p2M7IR5FA9t8gXkeidBQ5iRjVwrw01Qixc13G18jJLPOsDFNSUNFlzIXLvm0UYARJl3dK014ak
C1/YR2Dd0FtDvIY86REvoed9OPNBxqxMQjceAqnNF8Vg5hNJrtindQRJrajaQ7pKsyQ2ZnHmWOBy
w4rQJxCJNoXHZGmAEiwPyS4iVCSUkuqeJBMsntBpy2c3drorDX0z/FC1ctjQEXo3MZzaPE2zQi8n
bppE0bQiOX0R5kFpnWsWXAxoGQF4Yc1qiA3shSj1T9vB6HwSGPNUnZHcLCjzmLSE5wSZKU0K1K4O
WoOE+HCU5pE0EawYtyS7puwe0pB3K8qo/tn1dcl5rBFHTrR33LMPbKO4RZdNGB9lnIK+gw++huvX
wIKbKHwQ/E6t99aa5OUFV59wxbhUnBc/yIz+CCW68wxTt1riqKilxyxq8P57hS5R/IudgUeqwxMy
NwrFg+9LvOoJO+HEocYYmYde25aPpJ10M6HIiMcU/Zj/Dd5eOCE8OA1nTc3KW02HIVhVHpofW+0c
sLttH1/nlas+9drg33UuCE9sSg7KIWo3o0AwpQokCkgUVSlpDzOPuAGETEjfySUFTDHmBUUmmbth
JU3oLdTz3hIpuNM4Np+tptBlolktaUYEOyEHTVcZF2LtlIeN3pTNiHZkx0z2zYNVaOVNgB/6TO2G
Ya7VJe4sIHc6KOHCai4EQS1v2kKjVqq1oGJxgs9JBxJ1Cp1BBrywcZpZLBOXTIXdU2dylpDVKuC0
JrQH2eNNH5fhcSKF+Ab0QMc1H4BbPSS+rYOdTKws3fEEE0sEDI+oUg3VUBMY+kwv04akI2p7tH5q
gyIm6SanURj1a90aPHOe4sx3ZpHWd4vcFbQFIdnioZGFlPplbuNdYYXDE2UCVwduJVIWjCuBrDjP
PbUASwKLTFVj3caZf9k0ArkAUaNLh2KrD0uVoNe1b7YQwmCFAZtsE2HqpnVym6aeMWsQ285Lx3Gu
qpohZ6LE7kBmGuw8aiIZNa5KJI9hUM3gHiJTeh5E2MnL3LVYeHTdYe0Uw1PdKwRV9J6XSoswpDhC
f6jn3tdh5mGhQfx9l6VZeMeiRW6PSGlW0onWEcbIGF5dc3e6xhZ7VyJ7m8hbQAJ5fyRoXQtcwyxJ
dE9NEHKOL9ThRITbkPGsBukDSDb9qlJrHsJcrC0ibds8uJdSNbvV8pbacJ4XKeiAWq00BEKjupnM
KtKwKgNo2ULOxOwLpvkgXMtmGlfcEoVBh10T0Q7ot+RjL+jx8DZc/mFm+BUqLD3rm24pRy3lnELs
S+U8y7Pi1B1G71lLThtpAa5snRW5ET10nuu9eOAiplkp+lcYrymWWuQDAnWKQnMR0DP1JlC5jZnT
SxRvMFT6SzURwWAJad4dqU1Of0fpneiobhskUFqDYgkRcJWeiYHclFPJRabcmFiJ2yxXhqnQo7Ft
Yo+UNWz9RLbUBIZ1MYimeY4Y7kQpJHB5cgovRMTst2i686LuBtf2EPeQhlg2w0kfZNmsjslGsMVc
FYlgJQL2wcjDZEY59Jh8kba2AVDzV3Db8ossNZBqRKCgwRiJuKH7iqpgGYqw8VKogFO3MqAIIHQj
Sj4kANdWq3KJInxRgazTbfK972A/WMeVPm5/w9wiJjixoiNPGfXAEHrzcOqT6yjaDDsJ4xA92EJa
k6V9IUspLGexGZ4iZgMmaqKfI0psx+6Qjgg9XDpqUlbrhBjkF5XJZ6G4FYxNS98YRYsnhay55dAq
7lKuyvJa6TRlaYbYDpG7RJFdoeF5zn36JhMkJ9aqpnU5D6O27ibgwbIjiaI0YF2/ZrMnDTkkDB9W
I3gp9FxKDqOZVCEssE54GmkM5LOgTfLMljoXgogKya62Kx1uy8QD87cog574jsHPw8PBJ4RPDtTo
qONRQ2VXBceD5avH9GBMshax5dxaPGfTEvvOow4GH+k2RLRzNY7MNVhEYxlUVSJN1Mwh5bsT5CeL
BwZyjpRckIBGCzkafHUWh666FLUquxYTtqRtze1Prdy7jSmAxjTTwwE6s+6S0GQExlkSWvqj5FdU
KwqrTSd6UWVjyQHND7JIhDtl+di5UrbSK72DNBMQqNyGgXtWaqUxU1JSdltt22eMMqVizSUb9/Gg
BP2ERnp3ras+mkmNMPZnx8s9Ch6CchLUmRFPxhzQmtDYCt9tldb1HXJOg21NblIoVRqRAcBx7wyR
xB6oAE13L+iecB/WKuKDoAqotFBTXnhmZpyPTcQjqIPhC+dbrKCG9A/WUPtwDLK+ZHnmF+BOm8Ks
rqy+Rc8TlC24FQXYAN0h6hkXpluYc6PX2i8D2r+5QZ9lY8k6S42sDIk7rkqHBplTkKw7kXPFXXCr
2hMJdz+jg+8UFz4o6Jzly6grqIaIkUqGFhTNspo0NaDlQp0u6gqm/WFWVGTpmRbZWfNI8qQzNAC0
Z40WQakMBqknlTJuJLsrTJeEb7kwj9EdDCSJq11ZUWK2aH2ag0iqOnp9nczfvi3uWmA9wbTwPdLp
/CFyTn1dVoCYAP465Amxhgmtw2rjegaTGmhHaR02Btcfn4ba2uTq1ku5i6Mvqurla7qXqMMK9kPr
AHkY1tHGnQjIjI/9UjPPpRHc4ksjw4WnAJ4L8y7tKEMmK4Rgt0K7hH7tezMf/hOZBEXpJTNS4GGN
SFtajLklx7QNEBngOfBkAA2jBom2nJmUqaI5lbf8Ge6C606IlzMWulSZ64gg73w6bJk1IDXUlyAW
LG2aWDQ+rRFvQ2CZ+GRumTdY5JjJQ1r1Y/8dqq6d13mXTaIggKRSVnhgR4QOwjR/XY1YnX5L2GGN
iXkT3cNsGOE7tQmmt4DkeEKGl6nP+y2nRx2RPZZnwsPZcnz0LdKnzeW1uOX8sOqFJVNs+T/dlgUE
h114iep4YI1WF4cgD6EGDU2eEiaTdLMC+TyYohEwxJMNaygfsUPKlkAUNG40cxqw1DlsqVUqRjgB
ky23SNwyjHiqSIMZwUYOkJ5DZYQdhVvuUb9jIG15SMWWjWRwSPcaEgl8ImnEJ2XtSFLKLTRvKYjM
daFEkJYiMYQO4uTkGwakgRo1cTjFCGeqRkyT7oCBnzgQEgi3cQtySROQTvUg8ixuOU/aiHzyRvhT
uOVAdSMSigx74FBbTpSzZUZRHBaumi1JyhyhUu6WLyWz5xzB3GCn0hFARaDd2K1VJXfNzJ25ZBL7
1jHCgwSKuxhmMJ1TZSEKZT1pciOYwy/qZm4h5zM6t2FnJ4ExHKqBh5pGpANrpWRf1djXTjlp9QhL
GaYagt9mFulzczA5isBLE6W20ZJXScczp5lC93XaBWG9TlUUF3aswFLEKglYLyGV8sIQ6TNKkGFo
OWELOhZjmeWUFjozEtAfWKdaC5F3cpbWFQRVy3LvEbVXD70INsUWfMmZur0c3rtlaly4gwTWj91B
cNQiM18MUJMmPfDYq450rd6rpDviTL0LzS9Ge2JnIILRte4IfXG7VLPIPdb1LOS66/6R6UUW3WHD
1xZpKMo3eTHQLUz9FIupL8TKHMQQbFpDVYlrooPOajb0xQeNIWbpsyydhbw45Sm8+ZpttMLmuEBD
Rd/JD8j+UoboMCUDiCj72E+vSHw05yzh9JWud+qlOqTKoaGXwiotNWXW6mnZ224AtoCkbdpYjLwy
yc0mDq6u8a6AWzl3HtpwhjanzhgeXTivZU0upR0lYnyGUsc7UhxPXzWqjGcpN83etxVdDE81QamX
nu8pZ75MvJ/tgCk9L6LcBdYrxsLUE2vj0Indvpw6dVBd9nLkX9dR3awAUGqPvLvSSvIK6zkHhzAv
LBLzbF3ukY8JrSrdyFXKql4Kg0Mt14NTJE1VZ4sNtYy4govl1zXOwtqMg8Moqb1pDQsM3kZOH9IS
ukM5g+TgRGp3LER82dDgIHTHSVLliqcInUBo3xRMdYBkWii8Imo8qNJVdEnjzbyqkJCHZJWBwbYx
vxErHwawXBW5O00BeI0RoS3Vd9XwkisplhBpqA1Z2ar8YrAZRP2Th2U57Wqhgv/QGbRU1GLWhKGZ
rEkKaQlHJehr6g55as7rJq1Iuer6yX+xOY8yJ1GipYLXl9jZoiMIUydT1kb1q52DTKfbGVmBWO6q
/n+3Nv3/gpXq9RSnm2oz20pHL+rnol8/E2pZfYs4Gn+7ZWZfpf/ZP/palPvxgf7x/FdEq1S6KT9/
B7jZntf2pH91mGhDHlX99Azz2zgYvVSMSBLUAn5o40Vp4r7+2tIPJNxRNGDwGo8/9F+ofb65TD+7
EL/+jrsr+ut/8+4LPLJvrcY74fpp8ra6uhUVvivH/uQSfDjCm0tA1ZRQH0McaTrbn3eXwLDGtig1
VfqiX6/Qf8sl2DzFPuEtJTbdx+rtJaB8PLrT/8pF+HCMNxdBOTBx4tGHMHffkl7Em+fANA5GIzgg
JDqAn+vbY76g8b3Xl5e0A2yIkFStr4/5uy/PE2DpGtpwfGfbn11j6v/9S/Dh7u3GicOnf/3TsIgG
Unh197oMsnygs59BT0BbbPx5/wwYEkMFFTMett1l+O8aC356GVgUSh+bMz8ZDT4c448XQVLpCwID
oh33w4vAgKjTHtRGocT48+meBRlY774Pgs6IiCEXy+XuS/KCvRkMLBkP7ti1/DpgfrprANt675dB
O+A+m0gFlB89Bya/Fi0K2KPu5XMNiKOZZHdHdn7Gb6uM31kW6AcaEb468p3dt3+/LDCYLRgLweLB
2hh/dtPPJxsRwQ3t+SIwMTD3Y8xDKLX7efciGOrByDCDayTvfvvpLsPXXNC9RwQJbiGEFQvPxfbn
/dSAy19UR0LMuHz8XG8DrqWR2bjXxAh0AJKZaRhjesKbgdDQD1S8ljpGy29vySf79opm7qbpPcYC
6wDFi4QO4eOXVzCtQnZ4XTF+vuUAgrF9RwBCcRF+MBCOUqHx5/2DbxgHyEJkaRRbbn8+30VAfglB
Y+St7fUOyMoBGjwch+brwgexyJtXgflQ4z0AtvI6Un6+fcKoldn/ImiKCYJM++EuyYDuasJ7BVq6
mw8+3cIIJa6873ggWQcq08Aom9s98x9eibFkYFoKjtbPOiluEQDfybh+d6cgs1NQ8HejCnv9pu/e
CIs1EgtIQ0Oltfv5dFPj7jrsPTLw6rNdkDApf/uib0YGi6XDlgPGavFzXgcZe97eC2bxQEMnOOLY
vn3LNxfBVA9Uwj7hHb2+M59vpUg90SBEZv8RcmQ6oQd4Pz+Me0YK8bIlftYayk46rOx9AfQDSiSj
U/V1Dviwd+ZBADWAgHM3doq7KekT7ZwUEabNvk8BVWV6IMhlfzg0muaBavCwsXn+pKsmNnXivkMC
YnFYzVi/R3zZm7HA0A6oJQJj/Fo+4U35XLsGVnFjBNRe60UY+PQnaCqMkvu33557j+Vfxhv92b42
pwstkMrevl/dOODt1vF8f/jqFokBBAVgLNjNEZ/uxo9NJd7LvV9/BToJudUUTt7de5YCvAyjM+31
vf90syDrOXV3V/bYL+u7LSMgpx+tj9H8s50cO06ftYL8tWi074VgAGRDiHcCKMD257vXgVFAYUf5
umL6jafhL8yX39q1Ew/Dy7ZR6z+XP+rn/uwffG1Pfv/719bk2HoZ+4/v/uFVnz3vPvuPPu6/37Ub
tu3TN7/82k7dfs7rn79+we8/+t1nff1WX//j0n8uNsWj129/0b+e5sgb/dc/4RN5xeYfq2Lz9Fx6
b/uHuw7aHyf0r3++O903o+Evj1+Wm/jtYXeNiH0PS3jTpnh72F1tf9/DLjdFv0k2bw8M+misle19
ZD/ePHqb6IdXeleR2vcj/mK05M9lBN9m9l/d0ONNkaB0CN9fpF2Lbd9vcMxzGn048LZOu++B/yTT
Z89Lcrp58vofv0O76tK+p3/+5BNJ9PUhHMeX183pvgf+Nap3z8uyqpNg8/DurHfr533Per0JNqgw
N+8UH6/9rX2PfemHof9uwHrd+ex74KtN7Ef/ONs81W+vyOuaet+DX1fVpvjR0PK6ctn3+DfPZfUP
+zlxN9G7s99JTPY9+umGwZws3Kp494y/ViX3PfqiDjh69fa8vwkj9j52+u6Mx+Nu24v7HpdZ+Rsz
8Izowwfu7mEZ4W0u338PiaQ7NiZ7f15RJz+fnr5pyvb9mFN/SIv3y4HXvcXfMMNeFRgh3j9Bf2xc
9j3z6Q/pjl8v/HbFN26SKHZ+/W/jiu0/WzKdbXjNuNVfj/R6dHCQYxlq329yuknG6/T1QG8Ozv5u
74M/u6xxNv27t+K1hMamb9/D/4rAu+dk9VNG5+7sVWn/s/9TNsGeX2HieZuq8svv6Aevvb6/4f5u
5xmM7B+fztdPYCe37y0+Yir46fH/hkfo6plXy/24xv+jxLPv+f9Vo/+e9/rH49F/Qpv95Yn8aL/5
Tef7/S70q373R3/2fos9/ovH6HlT/Pv/AAAA//8=</cx:binary>
              </cx:geoCache>
            </cx:geography>
          </cx:layoutPr>
        </cx:series>
      </cx:plotAreaRegion>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plotArea>
      <cx:plotAreaRegion>
        <cx:series layoutId="treemap" uniqueId="{00000000-F0CC-4A45-9785-E27439ED0277}">
          <cx:tx>
            <cx:txData>
              <cx:f>_xlchart.v1.12</cx:f>
              <cx:v>Sum of Sales</cx:v>
            </cx:txData>
          </cx:tx>
          <cx:dataLabels pos="ctr">
            <cx:spPr>
              <a:noFill/>
            </cx:spPr>
            <cx:visibility seriesName="0" categoryName="1" value="1"/>
            <cx:separator>, </cx:separator>
          </cx:dataLabels>
          <cx:dataId val="0"/>
          <cx:layoutPr>
            <cx:parentLabelLayout val="overlapping"/>
          </cx:layoutPr>
        </cx:series>
      </cx:plotAreaRegion>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plotArea>
      <cx:plotAreaRegion>
        <cx:plotSurface>
          <cx:spPr>
            <a:noFill/>
          </cx:spPr>
        </cx:plotSurface>
        <cx:series layoutId="regionMap" uniqueId="{00000000-988A-4B83-837B-0CC7D2214ABE}">
          <cx:tx>
            <cx:txData>
              <cx:f>_xlchart.v5.9</cx:f>
              <cx:v>Sum of Sales</cx:v>
            </cx:txData>
          </cx:tx>
          <cx:dataId val="0"/>
          <cx:layoutPr>
            <cx:geography cultureLanguage="en-US" cultureRegion="IN" attribution="Powered by Bing">
              <cx:geoCache provider="{E9337A44-BEBE-4D9F-B70C-5C5E7DAFC167}">
                <cx:binary>1H1rb9y4kvZfCfL5lYd3UoudAxx1t2U7dhInnkkyXwQncXS/kaJuv36rYzvTzWnHOVov8NoYYGKr
RZWq+FQVqx6y//vL+F9fiptr/WIsi8r815fx95dJ1zX/9dtv5ktyU16bozL9omtTf+uOvtTlb/W3
b+mXm9++6ushreLfCMLsty/Jte5uxpf/+m8YLb6pz+sv111aV5f2Rk/vbowtOvOTawcvvbj+WqbV
OjWdTr90+PeXqyS57rrUxNc6efnipurSbrqampvfX+598uWL39zx/vHsFwWI19mvcC/BR0QIxXxO
0Pcf/PJFUVfx3WVFjhDDRHJE7p/5+rqE+35Vmu+yXH/9qm+MgVf6/n/37j354eLVyxdfalt1W93F
oMbfX55WX9Prly9SU69uL6zqrfCnr7+/7W/7Wv/Xfzt/gPd3/rJjGFdZj136h13+XX1N9PWLt/r6
6415QstgfiQ551j5yL/92bOM9I98wRnmPru9SvcN9OtiHTaRe79jpH+/fV5G0ra6BpgWT28nIo+4
T6nyOb5FECBlB0G+OMJIUinurSgcO/0nkj1gqn8O4Vrr3fOyljHX5b2ansDHiSPKGVgIsHQAST45
UuDhAGb0MJIek+YBq9ze5lri/bOyRJBCaHtCS/AjIX3FMacHow1cRr4QzHeizaNiHDbB3W2OCYLn
BYawhsj3VOEeggoVlFCfHISCZEeIE+ELQm6hwO8ffRv1H5HlsBW+3+TYIPz3s4JBaLNrfd3dK+MJ
XBI5Ej4RWLKDaZfEEFMkEhjC+/cfJ2j8gjwP2OL+RVx7nD0re5xc6+m6ekJcEP8I+wr7DCb8TvCW
EDkYIgwxdeuvHDv8ghyH7fDjRscOJ8/LN52k5f9RVkXxkU8oh6XJYYDII0IFwVQ8YJj/QLAHLPSP
EVxTPa8M+N11dm265Lp6QicmjrhiYCN8ZyOI2rvgoUewrvSR8PHBYPJLEh02zs6tjlXePS9Hdgbp
VQ5G+fqEVqFHgoNJfHWXzqo9qyh+xAXDlIi7DIDdP/o2xP+SRIetsnOrY5Wzk2cVXl5d6+q6u86f
MMBgdiQxYoQ9EPBhlQiZMeTFh9cgvyTRYavs3OpY5dXzSsL+6Doo0z15nYWI20iD75bvCO/jBQFe
BOXkHk5OneWXpTpsHed2x0J/PK8Y8+pGXxdPCRp0xJivpJTgpHYjizhiSBFwY+JHyeV2hXTrwx6X
47Ax7u9zrPDq/Fl5r4vrr8n0f1CQJPSIU4WhKHmXc+0DRaojopQvKL0L9w5Qfl2sw8Zx73eMdPG8
oHJxDZH/2iSdfkq8+EcM6viKQjHr+49joW0pUvmU3FWMfWd1/4syPWSenRdybfO8wv/FdZU2Vt/n
RU+w2ofgT5mAyst9EXjPnfmQKENVTHIsbxNl//7Rt+7sF+R5yCZ3L+LaA/omz6jD8uZrapInhAmB
kI4pYgxwcvuzZw7FjhhRUDBGdyhyYPK4OIetcX+fY4w3z2vJf3ETQxvlenpKe8CSBAr0mMq75Bfm
/06096FFKaVQUA/7Ya7daP9LEh02yc6tjlUunlnMT+daP2nPhB5RBB4J0f3l47ZZQgUiPjrcdrx4
XJAHTHF/o2uIv56Vr3p9HQM6nnQ9L46gEKygDnaXVznoAG8lICuTd0kZkvvB41cEOmyRv+90TPL6
eWHjra2y68/3WvnfR3OKoK4F/ROo3e/5KcmPoB3PwIn9XXjZ9VOPy3HYDvf3OVZ4GzwrYLxP8zx9
yqYutN0lQhSRgzmVUkdMSgLkiLvapFO5f1ycw8a4v88xxvtXz8oYV9dlWrx4ff3VPh0sMD5CWEAR
Re1HDFgXMiTBTNzxTL8mxGEz7N7rmOLqeSW3VzcQLuInbWZheQTBQHDgO+w7KP8IIX/L9bqL3XB5
10H9kigP2OPvt3DNET4vZOjt0u8pk1t6JBlH0Mxy4jaGvxMJDaw7B+WsMq4eF+QBU9zf6Briea0z
vhdGr5+4NwKhGzofCBiPd0uJfwAE3BSF1sndQsOxyS/KdNguezc7tvnjeYWPDzemexHcgNsq7j3I
/z6tgvKi4lwggQ6WF5U88iWBeC+chtUvCnPYKHs3O0b58P93gnW4gHPrz2+tsfeJ/5QXTIAzR2DN
fZ/M7nsvYJ9CNYth5PODFfg7wu7D0hw2x91te4L/H7N/H2YG/6BNr6EXuPnOt94hB//86vfXAya4
c+vPeFy3ujr9+vtL6SPgNqAdi22H2QvVO0SsvTtuoMcPA7AjAuRgtKUPCWgrCjDeAJiFK9vmMIW4
g4HUQiiQIl++qGrdJb+/BGqYwgz8Ioa0GeIShfq9qe33S+xIKUgnIN1mUKMUkOHdv+Dbupjiuvqh
jbvfX1S2fFunVWd+fwmZd3P7qe+isq1gSJBtHiIk1OGgSN18uX4HbHr4MP5/RA59xYth2GRxXAfj
kMzHUdaRFcZJHXhlNkKL/wfH/cDzwGkfeB48kHO2ZReCMnafV8TU5KJAw2ZmJgtmFn/r5yYLpsEb
wQP87EmEgpHcZ0F3RPqw8KAcWPOg3t1nWcEJpUkybAhG+SouOW9WbZzg04yQ5iKP4v7CzjQLC9JV
67jV/ldR1P1bU435aekzWwatl+MzNA2NF+TWsDzI/Vh/YEUmhyBVgr8WIsZnFhHzeRpmHq0MlpEI
slElcVDOxSiDgdY3XmRpIFSOr0qlu/6YyrTFrzqm0du0ICZemXSO1l0m2U0nknpj1JD1K2UK+82O
XnITizRa55Wk6zoq5rd+SwQNunaKw7a32Sq3XX+Zidl71UIVtT9pmc2rIE98EMXKKPqgFJrTgCTt
LIM0LmQcxGqSLPBiT4bNTHUdlEXmtSvrD/EYGKZJHVDZ629l5ukzacSpjGE+4N6SjSer82oSVxVP
82adZzQ6m2NvfpUSXr0dx+J8TEi3YRHqV3HafPTKJFspRC4zNldhxeX5NFodpD5JgrbR7Yr6nj6f
kiJZIWv7VYSECQrsF8naE6oK0pznG+yN+Zk3mY+pb7OgHFm+ntq0DoT0VDD28nVXZdlxYXzYKZE3
K4rHbsM9f9NH1RTmMbnEOg0M8d5Nbb+Gyr8JBB6TELoAbF2U/ilpcb/KGwqP1zoLEI6/VVnqB9xm
8I9kCiQa6hNTdP6qL2QV1IlBa8Hg4USUaN0rdDlYbAJba4AOhOqY5BdlFedrIuLPQwRTHZtCrVnl
hemALutcr9VWozlN/HXEkvcdzuIVGslXbqNznMvTts6KVYHLEDWjCtIhblbE0MuI5uOqLvHXTJTH
NEftqrRdSFH2DRKtfJNH+iOHX/pIvaY0+5b76XnZxWdxk+NV3kdt0Cft+1iL0OMmUFP/KonysKPe
eVLodNP4E8y7UZE5aKO2jc8zyga0zlhk3rQdf5169ceqz5rVQNkY0KF4hfzxRtgmW+ejFsd5CcbT
oxoDP/aroO8Gf2NpmgezqijYvM0Cy9RrMiXxaxqNn5PIfBhjIjacDAaUkacrEXlXEY3Pp0yi1UxZ
FNSeiVZE1uspj6pgFPGrOMrrUGjyMUc+vECkAhTB44oh/RxxFmaV1wWFoHLVyTpgTd2vSgSPFgPx
Tk3d9Wtt+LACw14m5eSvonqYAq8oTBCVANS8JfNV55k+iIy8GhC8aSXL874COzDUfPbjut5891V3
4ezOLd665S91M+k0Tu42If349V9XdQn/fd8c8/cft3uY/v7t4n7z008/Fd7U21aVcT+0lebHWCDM
nXTbcLb3yz+i6314ceLn7V6qBy7uBde9FOI+Sd3GH4whrv1w6v8IrHuJy4/P34ZVX0KBD0vKIYLu
h1WhgD7KgUGKoPMKCzoKMe0urFJ5hKB7AYEY2hcUOk6Qvt6FVXEEu0IYhc4fkUBl8IH1fv9qe/aD
POLu992wCuPshB6PYCYZ9Oa3Td3dkGOiMarz1BcnCV77/I3pHwmfD427/ftOmPZJ2gsD4WTTcfCU
wTxP04eEiPF2T9btlqz/QGywyu7wmfTyaRgruUl0q/W7QcwovorHuf62Y74D4+9nG3+rheyP75dz
rmweiY1PuJkvG1z6KEhoxnGAGCpJwGjbRcc/f9hDunJSGgO2z4a4EpvRUEUDhWisg3oSCpobP+bi
gZeBitlBG2/Tjh1bSL9FTeZPYmNxwy4wHlj5fkAZEueT6qox9OQsdFBObQNFgJ898IEXUk7O1CjU
9HL7wL7w5XhWJzayK2Zskt66oQfNvx3o72Twh3m2NcPdN1LpPKDOUr4ZciOHMzHRiKya3JDknOdJ
Ri6wzW2+ak1bTTJABcPtMaqSXp/8/AUfmB7CeX7p9wPPbCzDsjBt9E6WZWv/pO3so7POS3x5CVkv
Fac/fxjeTw//ftutXXfs18jS5NxMfGPjuG9XiqhQUvytyWk75EEbD30Z2El65/UQ43xjSV1DHuLF
ipTQi1li0K0ediQo4qnsCz6AvhXhK0i/vkk+pI8o86HZ4rigGtzCoKaOb6bJyI+onuoggizxzTLR
HUdUqCwVhmq+yWma3iDYqnteeWluV8uGdxxR7Q28aRPON0Un+z/x0LJgjGa5zM0pxw3pYsiahrR8
09XePG/Q6PV6LZq6lgvFd1wPGWOspiID11MzSMwnIUYWtC3gdr1IP8LxPYWmAk9jJkPtNUMYd5gV
QUxV/HXR8MoZnmSTV9Wm8cKqnqR4a4AK0v1Zdp33bdH40vFkRiGLhpGrcK5xuZli5ulgTHOjH9H/
do4fcGTScSR+nbPCkikKa0/N5fGgcdNvimHC6bpNE+YvfIzjQSirIwVrQhl2nSXdSSXqCm3mChfj
pkm7YVyGZOm4ibbu24iOpQobks9XuZ6SN5UU/tXPbfGQrhw/MeSjwgOkUCHxxnRTGC3pecymuv2Q
cwWLjJ8/ZesXDllk+/cdV5coWHko2ahQF2w69coZvfFjrItHFvsPDU/3h6+jdEKgHBFa2ZIxQNnI
Pom5bjbLpHcchu1lDa1+IcK+AAt0RVxumPVks1B6x13YlFZTMWUqZKbPwQaTGr3AoCmdFz7AwXPu
e7z1R9C+j8u2Om0wr4aNzuQ8vF2kILecI8lEDSzOReibJP1TKmPejmncTsvkFw7Q5KQp0MI4FCko
69KTbqajHyR5OaBlEBMOxMZ0akVHtAxzEzfs1JSkV0FmmX4sGm89z4H5LxyUTXEWo3IAE7fR1Oh1
FlMp35be3IuzuIvKfAPL36n6WJSK/mWreKgWZjnbQv0u8IoxjmQ9D+AKC1U0ZwksoiUsHHIfskbV
DRnrgqrL5n6VJqIpj/NxjiWUNKBc9b5HnbALFewAdIqEJ1XuRWEpPbum6SCh6lLQR+YH3iLlkHrJ
/lvyvhvTlrQ+VEBmXW9mHPVQ+YnmuThpfCqnN7Ep62+Nx4byhEERgr8eKSXVBZFKZR9VTjh/RJQH
PJFwsKyqjDf1kLKwkZGhKzH7N804Du0yP8qdyGmxFirLYhbGUA76xCH8vDbIK5f5Ob6dvTteuqVx
lXme9EMoBaNsZbEq58CmejKPTIMHYLBlH+w+wKTtxMmoVdhNQ0ROFdMafR4bDJBISILqoEptUwZk
Fk38pSlnQxbqzQE4HaoCrAz1LqGguBM0LTFlMFnmLXSx3AH4zOa8tULLjW053oipj9ezqL31Iv/K
HRSLyEdV1o5zaGzchXMloYqlm+wRJ/HAnOUOOIE/kngjrLPCjKTlikANch1NNVk4qRxswkKkVjit
55DAujFACf5QxeyxTO8h0R24YdFUbCziOYzl1F3YqUIQP9sEZwvnjRM5k8x2DdXTHHrRtj7cj/k6
ooqFi8zKHDTTpudNl8PoXUQYFFOhIG1KnC6TnTloVhWZVS/BrF5HklVObR+IHMr9y2R3oJwhTyOo
aM9hi9Pi2PhVvOo5m49/PvoWNgccOnPwWkU8mWfsDeHg8RtYCeb9Mevypgq7QYqFb+BAlvayr7I8
GkIKwH3nd3W2wazOl62QmQPZroJcZZjFENawW/cUTqqx62yqFrob5kAWd2URqTmzYWwK9iotSnnR
jMVC0R3EQiSN8hzTLoTmQ4RXmhOzksmYJ+ufG/cB0DIHtDyKTe7NUHlpqnQ8y7u4O7dRVCwElQNZ
qI96PbZZd6xtPJj3dECqeMO1EsmyebPlEO0GsRynfRv3ZISczc7QLuKfJn+qHpn4D+hm2wveHZxn
Xs6UivpNWyQ4oMaSoPV9u1B0B7S0yRiJMtWD5r1PmkACVvljtMys1MFs3sza84y4E52RlgS8F0tF
d9HKVWRVgvuNP0DRmGxHN8sVszXHTuaTo76JCgOjj5mfrKzKbSAEyRaq3UFrwriqgYwJozNy06as
OI7TeGGxiTpozeEMPZXGMLg/2zIspK9haSTGZbnBtomyq5ixozIqprzf8C4aghH3JMBN1C0LUd9b
9ztqL5OGVDVFdlP1cxUMSXpjsxkv0zpxcGpm3TV1MthNmScsEIx/8npDFg7u4BRFXNMp8bqNbFG1
NmN6bexsFg7uwLQ1/phBJmw3mfCTQGRpEVhN5MLRHZxKmnlx6vkgum/xhYH2yNtIxsWyFhVxcDpa
RioGI4czhhMcg7kCfsTa6zxlls0Z4kCVtKNf2ibuw4mVlQ482vCwGUj3ZVFwIg5WcRoRXY8lRNbI
FGd+ZvDa5Nm0WTY62YeT1VFD44nbsPPpXzgjl4bRy2VDu0g1U1ZOk9eFaeK9Bvf4aSJyYX1ty4Pa
9QJ+mpYSV7ILsyFRa5vwqzqP6mUGxQ5Oq9x42lfWhl7apSsg1ZxL0qJlk33Lvt6VHNrCQ2NG5W2q
YvyaTvgD4SUQPxe0b7CDUgVkDA/i9RTCsKYLZmISEUyGxstcL3Zw2sfcJjnTXQjEWPSRdeAHAmAI
4WWZBnaAatuCoCKqbVjWel7Xo/ycpE20UO0OSCOVtrJPtQ35pKdVWTYgev5Y53U7yIHFwZY8sGtT
vxIsbbyyC4FE518oE+OLwouaD8vM6kCUdKTTcP4rTMckSgJaDh+lShea1MHozGo/i5Lchpr3NMBq
/FS0alkN9nufcyeWsoGNQ0phbC8zV8xOF5yZi0UqQQ5C6yGK4o7G3QZFnrfysug8ndHC+oBLz8O4
aeTsEW8DxxC+KSf5SempWOZatvvwdmeKl0CermvQSZFUl3VcH0dlssyTIwedrBkmOkLRe1PP/Yke
yCvGl0VQ5ACzmXgn6gbWdqKMz1U9hpWOlnU+kQPLtOjGxFoQuin/mHu7yuSfy2aIA8nCz3Qz52BE
luSf9ehfqlks81PbQ493bWjbPh+nQXThZDJ8NU8dCTNLzXqZ4A4iaRWNW4pfFxoPuvukyk/8yP+4
bGwnauZFajgcQORteArZrYfENfPpssAGm4f21QITu20LBCE5ScUYcMO8te/LfhFw4LyX/dGV6WXH
eO9tWvFe12sF/eUlOmG+g8gkTlrWJlMXWgX8ioGaJsCtuFo2uIPJAcgj01RFZoOT5mQooN3e0qxb
NFOAKL2vEm0tyr0CBlcFf0tt8yVlk16oFQeXcATihFrlm40u6VsOY4+2Xzq2A008pJLSEUPZGKjT
51bF2VnLRrFQKw46E8P6AvJZmCh8FsGMsj8KkSxKsJjvYHP0LRtyH5A/0qnLVohFol4TyIDSRa6F
+Q5Am6FkEbAoujBmzbU39B+g+fDHoqnokrV6SpEWFPRibczXrc3TgMKJx4vyCCgIOXMx6SXUo0cQ
fBzf2hqdjX27EKHKQWhWSsRkQk2ocnpRAOFwA4dBkWUaVw5CbayBc2n7DujMxSXzilWmk0VJClMu
PrlXTTEtTUgIJ6uhxHqFWfZtmTkdgE7QUTCq7AwwAMSn2IxnqeTvlw3t4HPUXZQr4ulwwsUQFLVs
j6syW0ZdYC7XqeZD5ffArwmhhTSvq7l+LalZ1pdnygGobYjJEzzosAZ+ShEYq71XXo+md8s048Bz
8Ch4RWbBov301UAGNxr1edHQLgOpg8CTNKI2YS7id2PTnKKyXDYPXfIRUO5zkRVMh3PfJpt+iMna
K6ovy+R2wJnOQMHXY25CP2lWOZtel+qxtHOLk3+uqphLMxo8qAf3jdRhUvbcBlqK7KIVzRgMGbHT
apn8Dkh5Xo1VXnMdFin9q0jYB6/Jr5YN7UB0BBJiIWSkAf+9OemNxrBRhS1r1cGBEvseNyYJTzUl
IDjDH8reqwLmNX8uk9yNoWPb5BolJuQkZbAlitqJBZUqknxZkJYOTlkSx8qqAqbk6F2mJblK22Vr
cSYdjBYpb2HBDENHk3/ZofRNRMWiNhTsgttXeaGmqGz7SYc0KknoKdJd4nhIF5Fv4biW/dGJ7BHv
U5iJEZqnYNJtSNlCRhdzCUvlGHndaBIdVn2DAtTL43aIl1WHYdfDvuSdZtYyH1QO7vFVP5FXBR+X
YcilKcG2r8JmbaxDGcVVIOfpla/TZX0z5lKRfJglsLMp1yGG3XUUt+cadQvldtCpU+hOiMFrQyPU
hxTryyJvFy3imHDAGY2szOMm06EAzQQ+8MKDdirVMn/o0oU6mrVeVvst9G2SdqVJfmk9f1kK6pKE
EYJ1VsVRG8YpLbNggELFxiJPLFOMS0XKMh9oY9kEuPGncqWsEO+KFM3LLOpSkfqMiwjIcG04+9u9
dIa9hki6rHvOXBqS9SpV87GG6VL7DOXga6fcJIHy+3xRDQc6/PsYBf4s8uOxAt3HySBXFRTPwihi
7bI+AnPpRlNurdJl1ITKM3m76oem/GZ9OSxcNLqEI1wSxAbfa0KdTGZdxiILQEP8eFHAcwlHUo6j
Qj1qQlsIsoKdnnoF3xSz0D9yB7FdAdx4Q6smNEzGXYBnkl/n01jFwTLpnWg6plroYQTd1ElWB2lX
/jEWeFnM4244JfVQetKC3ivVnEwGmeOhqJOTRZK7fKOe9nRqiqEJs4jPH1AdxSdMqiZfphiXcETB
T3IygVn9KmrNsbSKsoBHtWgXPsDJfqEZl9dV04PmqRlOtVZ/JG2xrDbPXMqRzEsCJGDdhJJ179PY
XA55936Z3p2sN46mgRZF3Iay8v+q6gEHCRyEuVApbN/VtFAyV54tm5DqTP0loalwYvOyXzhlnMja
IW+cZsrrEJDqBwKoL4E3eXKzTDFkX3Y9edCjL2B03k824Lg5y6vHWEzfU9ADCxqXZtSmI9DrFKnD
XuRxFEC3OANnI9NxewiAH+cnZTMN721pilNqqCfCLklafgVb3GT7Fup/Rr/3ZSlOcuhL1idZXjER
yCKFYnw8tgoNcGxB1uo/hpZ4doWmtsqv6ySB7fMCEkuyxhxq7RvZ2NGuCwxVshVsPO7GU9t6KguJ
HBN2GtXZMK0wgmrCR9jmnk3HmGZGrqkcYcyhSLv5OG79xMBuOzLb45KQcV6bvqTVX6NkLHrbMeFl
nw3mbRuqmfh9qEd433XTzXyToZ6rVSUJzldikrE9iXEd++ewoR62aqF2Ju/hTL0h6InQp01q9Byi
2lfT8VAWPVv3msV808uBQQm7SHq2ioumrCGf9f1ppXRKZVDWqcavhirK/NOC4o6FM2h7WHGa96fz
7JWvddUjtmao7+cgi3Q0vy9wVstlWYjLfmmrFDZ3z34d+lBsCzjJzpM5XrZrhbnkFwSvxplq6nCq
m6hc12jIwrFF6cLsjzneHg4wsCK3FDax86SGkpUXkJj6y/yCS1ODLfMTZMFFEyaivIlY/j6S6UKl
q33Y9tBGGgsCcsMpBaHxi7OI42WVTeq4eN4DrQZD+SuEL8Mag8jz88AvcL1QJ05aplFMRQ4dxzAm
WRaMeftNZHpZxkodJ5/B3ty+kqgO7WSb17D9Kz2paVcu88PU8fKJSJGtiDBhrHN2ziD5hn0Ftvu0
yA9vj5nZ7bHpMu77vunrMFex/VOrdoZORKW6hWp35jmuUjx7FIwq4PSVcUNMZedAejxv14vkd6le
XdkOkZd0dQiNqm9Dw864Z5ZtuYBDRvd109hB9+0k6zBBPvDIOiPHAk4ryci3ZbI7M77n7UzhQJUm
LFp/VoGsWwo9dkXIMi4GI86kH5qqwGiMIUGA782Fk2CGbJOm6cIEweV7NXKIsjmGEA49Gr0CRplY
Nd6AwmXKcab9gGD3Mk+rGnaiFsWZoD3vAtFqsYzfz1y2l8ngcJaorsGTVVaeJRVFf8GadlpWCiZO
eiPHsp1LA/kqlLLG04hFNpSokwsnvbMOIbSwfrp18FlawtlBQxsHtivLZZh1KV9Y49GOsE4Ovami
NwmwzW/m0pbLmJ/MJX3BkUxw7kqWNyGcR9V7p7lf4RWKhoE/0jt8YHs/c4lfsB80ikShqnAuMNVX
TZ729SqSFWnWg6m9K9gR9trz/CJbQxaX+6vYh8XoceJxXi+zvssPg420AtkM8s9hahO1glO04ACK
MqmaYtky2iWICURnWLNsPVPU4ehVmcawI3xqpw4tq065FLEZWQ1bUkkVwveLwOk945ANLMhy1i/M
UbADb2HmUlcEHjBZArTl2X4A9v6XRa7DZYkVXTl1voXDphpdmdUY029zx5cK7iA7bmdsTC7LEHLb
44LkZ4SYZSWA73scd3hcpeeheIATRMKO9WaVewxaDcP8bplSnEjcwfFOMYaz3sLIarWxCYHzyXi6
MFS6PLFBwheHV2DRMNWj97nMBvpFexBuFsnuEsVMxqqaVXAUFqQrr2U/vyra+JGzXLbz7cBS0eWJ
xSP0GYWuq9CMJDnDhVYBfAn6sCyIuVSxIRep6nNahjRXdRxkSrVnibRVsgymLmGM+WNNRYXKUPIq
W7W+OskZnpbFAZcyppsqjiM/rUKfJcO50SVbyS7rL39u021yfEjxTuLpD/nUDxjiezGzFrJmZGJ/
UyAMR2sJWBhVi3Is6nJ34ECOKGo6XYSzlp9hoX5RyuTDz9/g8NSh26OkdlNn1iNoDcJ2LNghWEdZ
0Brb3wy0XXY2ABxjvz98CrlylURVEfqNiqC6Y9RpKbhdBCn4BuL90WuS2XHWIHwUJ7DGx6QJ4MyH
Ze6AuvwdX8xy4gaKHXjo8LSuUmj+rrKqyvpFi0U4A2BffNUPUQNpRBHiRExwkh5Cb2vYPLXIV0IB
en/0SaSwIh9abx3jeKzPMjhB8zWcGMntIunh6M/98dUkIiVoXIfI0q4JYBZlW3+P/Hq9ZGoy91DP
0ktN2/spOExO3tsOvYtxtGjiMORoHo4k6RTSIDuUfPk61dBfmi2uFvkc+OaGfc1U4CG9HKiqGyx1
9K6fvOZ9lfBlW+zgqLf90Yu0wtujOottYqAum5LysEu5WqR06hIcGyh5oajcAjaBUlndqkuPxelC
xThLOTt11WSntADaCpwrtoIdse2nufDr/pHxvxcr/umPqUssE4ySUQgL3kxYXr5pMa7sSZr3rT6G
hZglx3CWnjDrlhdjfe5NsCo4b2TWlp/ga4HZsRVkPpXMm3jgz3DYKRQdvTx/U1Z8JKuybad0NcdJ
NH+uoym1x1UDMXdl/4ezK9uWFNW2X+QYKgryqkbEjt1nt7N5cWRXNoCioAhff2ecp1Nxq27eEa/V
GG6ExWpmkw/7T6Ky7GHTg733fQdl1GZ1eAREKroyVn0WPnYJ+C3vxEVI4uPYF9rUKNiygH+7uKqL
gfx8HnQXhRr/temfSNpM202JJLkGxAHXOKcXQvKhbZLheeOCP6Z92t52wZJrSNwUiXxCd1Sc0j3+
TdP5HU/a11sCALmGxKHW9CqiTpxIAM5Wptk5ncyflC4ue+6ftsrVxbeukWqD2cVp1hDTOC8mSFdz
D9RD7VAhtGdY2svu621/ydU1mMzQLc62XJwiHdFDJpw8Bi3bT7c9/SoSd75ZUSMScdqmDHqzTfhs
h/RP6/TPKQ7MGv8ebpK47VexrOJE5dp/AKo6e4Es8P59H5LoD83Bf/uJq2gM1VPWpnoWB7MTQevO
zsvcl9uCZvu5d2C0/aGo/pdPfo2aAzyhXTcq20PbWyGOa74nQIdF8tCrUKQVEN23dZXINYiu7dA7
aRaJRRvTCEA3+hmB6Macil113CIIjqARMIpTgnGcJe5oSfL+/95J//IlrkF0jADLGcDBrUU7M3vm
0uTHqeCY+9N2k/FN6ALCLr/+XyVijmfTvmcRZDqg7Qeue/uFz+w2aiu5+Lz+99ON53Pf+2U4MZbb
IzDXRdl0yW3FCuzl/v70rUcrkqxJd+qzIjvqzau64P1NdRxhVwc5pjqRksmmTrb+Pm5ImU30xjW/
OsaexBKawXh0CNmh4fNR9elN9SG5xtB5KJX1hgtoe/fpA8uh301v6+KRawwdYIUXIVzIhuvBzfeD
MRaKz+TD/73ZLxviH26Aawhdk7Nu8yTCZk9ac9B6yUrPZXa87elXpzTmYmnyOOpPrDf6AajXz3Pr
bxOHJdcYupayNtrStT9Jn8rjyu14F8/yNigquYbRRX7H3FAt/akfhrnWXfEYscUcbluXq+O5D/G8
GjLx2qqs349p6j7pRYjbmoqwHPj7+ewmbmeZjbwet/lZyOk0LNNtl/g1lM53+96qFomUtGtfjusI
ZW+Z/yHy/ttmvDqfG9D5AQw/HCKzTSVQY5WmUBS+bc2vLtgAkR6zWd2DtaR8NbZ6mstmGfltgDQI
Uv990bny4FyInINoNYW0LGSzPEy76G/jQZJrNN1Kx2ZkM+G1cgFjz3dAAfxhZf7Tqv2HIHCNpcto
SCBO1XanxEdke4h7lYNg1EJsE/rtGB/0OQ+kZPOm8gNFd81VsxX5BglLTf1xXnk8H4JO2vS7Ynm6
nZqC9OymDjzJru5JyS0JyIrNoWf7cswbC5nfSNw2VyPXCj/EpSRIYc2BONUBZWE/glL5J/uKf9nO
1wI/q5shk8O8OXiWhFLEYqmYuDE+XTwT//uGz8VKIzJv5hAUJBqc9X/FS3cbfwjmJH9/eBS0mhtJ
1kMLxHzNXQdHhxT0rZtO4jVkIgD63PQbginT6Q+jyAfVpbdRKsk1YqJTqNgnna2HPl7ictdpc2ga
QGduevNrSOgezQlEYOylnbTY9tyTuFgPnRFmrG/7gavdPva9hSlpx+p96ShuSz+sY9XlNCE/b/uB
q5tnsWINW6PXwzp1+qCKzNWaZzeNPcg1JhT1Q040UeshuYjQuXyGbEDGbgL7w0Tp73tSsy0zjcXD
txXa3tJkcznBceUPMfBfzmp+teOzboU0wzquh3RI4DoikqFEx/bHbYt+dfVMAq4tMWnsYUs7VRZR
BDbhnsW3JVnXiFD4v4g4i4g9TIB5lfAjaZ8lI/btpne/BoRmTmuS0NkeIo4RXCZCe+h9ftvCZFf5
Yb+4ZAIqwB6gaJq+jmoXP2gc2G05+TUaNOSdm+2KEDmOVFZQNoc8Udb8SYLnciT/4dK8VvmSCcxF
xESKI21kvr12q+rV0dNULsds0bgFb1r/azBVs5EmSwYENLiKRfWW5m017uttYCpyrfelu4ZZS/H0
th37ugCSquKT/3Xbq18FMzHgCwDPuBz0rn3Vq3mojWpuizXXYCqus9jCBmo5bGLdjqor0hIKw+G2
YHMNpvIK5UZY3HKwXZDHxIhPIRnyGz/pVSQLncrChF7PQRcdq5TchwqQ1Ntg/5jq/z1Ojswzy4pG
HyIVLdUQ9FgS7W9TbgID+u9Pb7JMLslA9aG3c1eFXMmqgLT8bdffNQZsTTxazktbHIdhDB8D/JLe
hnj8k9b7v8T4axRYQ5xLVoCVD/mSgI9yifE6Tf7UI/y3p1/FMjjcoF3tOT9mEVrnW/RzkuPHmw7S
NfpLJGnSwNKCHaHz1chyCwD42W43X257/NU5TeREphAv/JhrNQLDOuy0e6SJHIvbzuq13Jc2xYrE
SfMjN0k58PRexjdeftfgLwhxzdaneLTKkApf8BDjbYBEco38goFC33Rs5sdwkT4SLsmqrCvcbQlH
enVMh1h2Nvgpq6HCdTcu+jWmt6kJwpf172c0zgEqIkplNQX8AQ5aj9nYv7tpq/wvyBdkhLqFjFmd
0lUlp0xL8K47p9ZPtz3/aq436mQe5DqxYzbB1Q3ofJPdX6h6f9ITvBzGf7i0r/FcfSR0VriGHpWO
zJ1ttk09Gxa37QE8VdacWxVc92RD8/8orv9THfzTj15a8f/V6mU+beC0NktUCrsb9yqRsArUByFw
6uSxa3Yhy3lScJApRzLjbt8Hv4zsPElNO3VEYT0IVcogNn/uGh813wlxgN2NMSCtoiSDDw4mhvGi
50dBk0I/baZxCT3vUcZmUS5BtlFfxoT3pC0XyzSKooni05U5n6f2u146tSZlJlivziQIyD3XHgU9
a+HNt7mlEp4M+wdIyLmtL3MB1x3IfPt+N2OZ8DWiWck9tNvFXaIFhTa9Qs/SqhK8ArniBQ2bxk86
VcgdBzYUfymt8I+Xdc62mgLuS8oVKySqbXNpfwp+3emCepmY8fuEpi1by31J4sSVeUHb7uvYZ4L/
VO0K7x0QOcO0qBJqX4P/cgHp3emgPHzeIBplKud6k4iagTjZHAJGNjA9TJvdVE2BnQYLQOp8rup0
C3n8kBQb5cc+X4MCL2ye/B1k/MeKUb3RpyFe+6KOe+JI1TE6IwsrVFEXCgK45T63dB6B3xymrq0t
R4nFKnRIdhhx2mUeF1YWKWXgjWz9qckY0kbEEqrWe3ytqevLpUBmV/Ikkqpe1Zh+m62itfNhZz/X
Pnhy1MuUi+ewpAV96+aUsWdiG0IeQ9MVa1vLAI5KduTwLoQiQqBslU9gaBT4XrrvNV6ujQNv12MM
VWNkYyqegrjzlOzux1yofmqraUMz+MzAQOIfk53txldyzOAk1hbRRQZSrnJ0EVgsAaAtKOiwdVsP
Ht9yms4wjOQhPVMxFl0pqOBHKrqxmuju1IIC1sOD75JZbuYhXo04uAUx6plO7Tp83Pe0HQtshyld
jwPJDVwR2y5LoRLbeVmjx9EVXwtLxumB7wFNoC6P130pnbZo5pe8yFmKDMpaQkjFc3glvktEAQtD
CKyI/WFMXYKudmyhrRYwZrZbC+5W7A21QHJSiKzFcv2RygicmWVjmf7AcpUUNQwN8+EH+iCFxKFR
2bTVZsgn8yzWuKUfAc+a1XHwDDQhPsVTfh/yKBWPSedE+NWPclrBmFmiKXuecWi7w6g7n561Sob5
cxcp+GgivImW5iVTGdfPsbUi+ZEN8ED0ZdNy1Z6c27b8Pl76bPoyOOrzCpr3MdjorSMJh7RzTuXP
xrpWtLA6FMWPnNBZfwa7PHQVpku4u0CVmPwTUH2mwP88RdnPaVi2cFap9v6jCPC6rXSHk/RzyLDN
71qRhmfL4/YYp3MxvBTLyughLnrdvZ9Ft4dXB45EGmESDd2Aor4oEdOzcXYc/xKY3HQPA52JP03w
vGxOc8qT5WGd4UBdDRn8c78WNM34r8SJ5hkU8ugeY6TwE+wQVQ4ub+sWAkFRvfehcPcwedjCHcSD
yBfJ+4zXWoLp+I7BYHR8TtqmT85u6ld/iOZu2O+4X2J6YnQX8eeYNqJ5380cVpva2wiaiEPMDXgo
cLXc7rdg8uXJxMHGZ6Kplp/grNFML2vOWXeMOzGx2u7Dhtjp8mLpjsBPJ8vTzDf6U0ITYKwadGnc
S7fHC0JJN+3uQPPJLm0dY1q1PYgBAsfHpoWbZrlHbGs/doXh2VlprWlpm2ihP7qOw32zHY2wQ1mM
SRPDHCgj+9lIZWxtXRpHtTVjmpSjDE5/JZbjDeo8bhPIGe54iz5qzQKL2siMh/EiyVNC0C6I59mB
mHbI9eK+pbC8pXA8a+HDXMEKgj4hXWp/NzjCrBpkl6qKKpdPn/0Mf0YIHCkFybOSiBD6s7NgyX70
8KdbmrKbLdsR74N201QOFte0K9Hx3sxPt24kf4NHxoILQUCthr+XeMrlQ2q7LgeYOGLSeRhdqvIS
3M8xP0mecHHYtpZIX7aJLcKD202LDuYO6yd+FzceOSKYbF0Hn08/RWVY+j76QHOxpHWX0TWqTbwl
vGY+hOFtiWH/e7fZ4PhpVVPU1LNLG/9I4Dz3Gidm6D+gi5x6UfYS3q9HqMa39p4LVDDPHl2I4piJ
HvedbZp8Bs476/ZH1caDqKawJLbK9MJgRUoX0/QO7Llgkvc2FgpkjDGz9rXfY5beTRgZD88TlO56
2LP6DA430BUvZ7fw5JwQbuxLbuZo/J72eyEfqSQGe2zslOx+EVkE7AQFyTZzmNqi3474y/bhkCuR
mU9UbF1zb9p+IGeQaKl8WpcUplgHhCNJa3gZkeZ3gFQyNM1NN+R3ZurbFthmkJiwR2BRPdx3g/X6
Tg+KADOcAkMcH4yG6yHcXf2YfsBvFm9b0tn9m4RoPDjpcPadsmqG/GJbRYhPTbU3ev8wpNSSu4Jr
cF3ycQRYVW1LEVVerxYub8vkdhBINpZUGCgU3SteN89fdufb/i4a0wyTo74R0fpRqTCN94DudgFZ
0Rj2n7g1zCigkRrHybvLpIbEFelmFp5CzDMFS1oVfHMuBnx6CM1SOII9OgTk+QXuF2Y5x7bj9m63
lOeXm3vvoAnQYhmNKS3HKY+hV9eGta3m3nn/jvBd8hJOYwU9skwhvsG61g3LS2yTYv4eFqOzoZR2
2/Ozz0i8P2fY/d2XwezwiMEfSabmRaA17t4XAot4H9Jh2euRrLm9w/0f6RaLm6rt4AJjrkXyZKeA
j7m023FzIlKfWOKtet2wZtv9PACB9zJsfddX2dBN5suuWZp/VSnzhYI9MoSqNVaKyPbXCM3U+BWq
9Rn/PkF5RXyb5SxS1FcQRCSVGtKB3SlmjUf+1sUFnco5Wj2uQrnj+kC2B8lYGuUbqw1EGiYP2CiL
fkBV3mdVjEt9OId1Fh/Ziv19ELGTtOr3gPmLYmP2OU+Bi6iIL5qhQi2aMZgUTmw9pZLldCvJHqv5
WXdzB8pxAvnOo+aDnJ6I0i6SJQUD6/swzXY/5kmfbS/JGC/Q38WclX/MitF1x03CKed1TjvypTBw
ealN1qAVUPSRpc9+1A07xsvg0hfMn8j4XgpmwkMyjPOEgJnhbAAWD6BacRIQUV2eGiW53qsiy9pX
D+RLVO20V9t7E9wMQjR4r6mrIGPYiIrxpNcvwqDHVHaqlfOBePBq5REUteRQNGQc6yVuUnyJvpPJ
U7bqi5MrNZfkpwDat2srXmx5Wqt1jpO1FGH3n4dCQjWpDArEv48a5Dby1ho6PS7jioyr6tohqpIB
qnC+QnTfSuYosZ/TFbIHdy11Gvc922Ok6QQEXm1LT7LInnu8QvxunUbLqjSncy18t44nseOof83j
xW3HlAmZwJlkgeRZkvWkqIkEErM0JAlHjsvI2XLJm8E8r4BO8bFSVDH5KEzjXwp/MUANSyAPpihE
fCjgYANLaIWUo14CzNrfnNyi9izomNuPq2yS7f24rEmFtvScfvOycXDidl12h3QNRpYCLJoJUzdY
Sw/dXWc1hDUy8Kpx2ZIqBMt1OcEMidZ2idO7FvnAZ6cYeWghpaRKyofZVF0CK25otuq0nKZsoPeF
a/2vDOyf4SnF0VGnMJjAn+YoXV5jB4lXlEDEPrb04obdopBfXrdIA0lud1ZR0Mif0EIHWRt+ogRq
5GDyPvmlSD9NLmoPIh2oKJXa7cMmJH9pHRT0a4FtXOX76qq0a/q7LMv440pbf98mu/zm2234wIlc
qj6m72S+qE/5wEdetrE2gJ2sUoi53OOeO1O2yHb90cPezd/RLW3fYGiu7+3gC15jO9NKhTXsx3EZ
8nsP+GL2yUUF+9BKB9RCDcN7Ft01im1Olg12bgGavO/iX71tvP2U55T6cuvVXgDKmWzO1/1FD+As
/R4gm1Isiddw1p1nk6KO6ck01C3dkuh+SzIQmkGfdvH90iUNfzbRbuxxA88/fgtUprTiPtvsw5rp
vP2GzFXNh9ymUXqne91nj8O+SfivtuMmS5fopXgjq9Txy0xWog+QafAjJAkM7c5TtHH5NergJTxU
ue/zvo7N0NlyzXukotyurK8WiRzFlQ2JCJGlz/3a/9yLnMyP2z5t4QdMqRzSoc4WOXa3xNnKdTmA
MDQcoKLTpKelkP3wbk9Q+x+mMSPqaBniTo2KpoVL+wV+d5iZSskLSDVD/gD8LEnqhO85PyegTe1/
9eAHqJfV2ELHleft1t2b2ZCYlhAUKTCRCkMq/TuUxixFFQzIZngwRhrEhW5kLnnSCkfyg0Cx6r6K
XPBzNmEqQYxy7GtiiIi+Kcy0UCbvUw6XQjShuwq7A8lS2awbortZ1r3eVLsUnyk4/fatcIjtX4yZ
eTrUOZsj3FfNmEfbB+rCsLdllKaMlNY2i6p4Q2T6bEKx+78y0P3lr6UHm+1QDLD6e+9lt3MIDuTT
8gqP51zsh3GDuuuJ91E6vVKcMkTEmCxzgfDU7QzNwm4Eff9uIHHn7ojoRKzqLCxIAeDaTmkLGfgJ
9QcyvmGu/KYvuQhsXKx7N9hlad2Ji1Ysb9JE03achsjyszF8zfHFAndLPady374JnoOLRDvBzTfr
xLwddRurqOJiTR76uW1oNWP2aOE0P2QtPgnrQQY06LJXi95mJKUzhZzM2xqgkgshgLl5nNp0Prlm
L97PJPUW2UEegn7xUspygZ9mCVJYuxL4ixXDdPSuyH3VwoJ0PQdiUKB1fGWlsW6KdGlX68w7ljjW
/bXB2qQ4BBHHXU3d5V4tWwOPibsGafZjD2ku7DqSKHLfDPA0fdCtnz7zAotQE2uzRJZxjynzm5Fh
iJCl+jg67QH7+oQ8IGH3FlfA8N050p9QAiT86wSJc9ZVOW/j/r3e8q6DJHSiaL+W2GQ5qQpEVY9q
LgJxLrAu6Z+LwcWhWnDgP4kkVwfZ9HTEUWvW+ylGB+MJ/QqSvxbjTsW92xb+A52YL0g9bEphqUIB
AZ/gEZO+H9O2+QY9i6GvW4Wg2A+LeLI2RmYWIDDizpIVXaWDh+EIEPTxXc8WIp9mS4x8WprVPKxa
T8N3eDbb39EsjKn3NcJnzHb2JtbsMtwRBe72PXNvFLmErdswI1cHrsnupXRMHUFW5rQctGuRGwC2
sMHsrtjRr0UkNOjv2OHZAdAPi8Ti0ukB8Xt5E0jGyjQHAv2MVjo3j2Qu5uiVMID4AApiY7udN9q2
VuKjrD42YHQ3Q3/YY1IM7DAUtH/XzvCGPyQgCsx/7Vsqtirq0Ln6BrkDOMgueWGyw9ilPsXW7NMP
S4965OTHwZTpgACqy21d4GLXpmv3s8iVSd+IW7ut8sokqHZYJre9HLZCRl/7Pml+FJfU5K7YwTL/
5Kn+bYW0GdJdPidIZlUm1jsOT5Ci4nRRv6ccR7YsYNlRwRYkzg6SZ8V/mn+CBCyCLw7Qt2wylDIw
VT/uKXPsi24jDv5xzxt0BiOuoIxkNKQ4aiQlyt3ndJp+SrmTBHEu64bxDUptfKjSpXPkbrCZ/4XS
uQ0Pi0yb36qTgeew5PZb+qg6l82foiam+e8Elhn5L5SWHTojQ5s/8mkRiB1x56u0TWb3uvCGaVCN
MFvKWtrGr31EKbrZSD3ih9xBUPTIt4Wm9W5DTA4b3cxWSrXuH6CJnGSf9cK3d1GUmc9Fw5JPGLfb
cJoa8C3uogmF8S7Vvh1oVkDQNwyb/ow1Fw9jIgBrowM8saFxkk3nqeN8rnI9KlfqqBFfwNTdyzkH
T0brzNGHZdfRK6Nuf6I8dMVxaiAxcpC5308zbCVOiZbxOYOPMWLeSMxbx9vcv+h2Ant426D3U+bz
2tgPboXE6zdocKA4M95l3Re0hgkr6eaxDqkbBoQFThIyIeNg4B8Xsf3U7RRJIkEroW2RZQx5BHlY
FqJ6AQw+P+RFi76Jg+M5fErYEvpTqmP9Bvn1QbxPiwkk8B0ODO97vEhJ+i3Ra4Ww7a0rF/TGyIsW
HcsqovE6n6apcdNxmJuhq9KMaffjgnU9T6NU6mFnLEj8hojMe5FkTr6QljkkbL4nx6LQ0XQHCCVz
79CKHg8IE+N4XPJ8MHXabTIBXA7OrYfJxQgi0IG5x7dAO6LR+aRRbjuAljfv7XsTdcNWjfmayPso
2lQ4QX4s/Ipy2CaVEtaQD22YdhyfpsByCBcfBM/Wap6tuydTgoSz68cHr7v8PdDLMxgC0HdEnwNC
DSRjzZcoAE5+LMCQ8Z/QZ9o3XEQmTn7ZYmlTBg8cEdAeMHLV43nEhKL/1oXZqApfCoT3QnTIzBEx
5aaqbm409MshXsSfIJFWsIo7qtfzPmUzDOrhmw3v0majRV9GOWQPj46TyyGMhq1t4a44o2JC8BH1
EAx3ZwtSBi/TabcSxxjzrt8r7s7mrBcbt/UGRe0YSEyVZsnblCFDqzfHl65i2UbB9bHUi7eeQuml
jqE333+RaGhkpRrXrvsU7wHRo40imtxTlqi8UjyVaT2hG7ZV07ihtVWCl7e39QAeV/yS6Xkp3sEQ
pN9KDxVofVh9k0+lT0OGDIbrxP6MFrgqlDmoHvwdvGw2duq8duwnxR/lPhskqPQxN4lkVSaZSF9l
62KIJmsUBV1vlHrvQeAXx3QwsfJlDrL9hgZmN4YWhbpFywGbekdSCF/zZoYZNTfNUzfFfTgnWbyP
T1yjT1tSTRz00nW3/I5z0nfPaWhGQEGaWIx3a7FF6SsoaoziTC0kOMx/Rq+P8G90yxHgIq0qTFXy
9cfolIlgkBhscY4k2ilfYqkuX4ii8KmThesBvD8UYOp5Rf9QVOBXWLOW0BxK0oeYpjmKy9xG410P
nMX2w6Wem7qhtLEnh3jt6iXXWhwkIcVcp3CksaKcF+W7I6pByR+aDPJrAF/Kiz0Y3NKmeuh6vt83
NmZFBZ5Iy/MaSgwxDlTfKMyzMQqd2nu67SQgZ7E6u0OTYMK0fkZuV6IPm4gS3Lww1DO2gTxm+5rM
v1mfCxmhdkgyS+BEDxGTv7RQEnwugQmZxWWqkCdmVSQXfqKpTv1+FklBijdoRiv76FDa7xp/eJ8N
GXKQnUwvOevl/jnCX8OjskssmdbjRc0aBelWhC17Xi8V9EMTTWJH8gW8LASmfNO2L14lBsXKshKK
A54J9KxYhVlLjmo1NoqPP3uP6hpwKs9U/HuxWzQjGWA5CqbJgm67wa1mWu4Nn9biJUfwaJEqFkP4
JTpMI74Ng5vEMWuzMXJYXU1GmCXTpX+XId3HWU45y/KjRmo0/+50lruitAmHWrNj2Vp8TNCf62H/
gv6//cGXbBVvOlqn6HVqMfB5t10KVSgW+EKmFdtm6BqDNqcXee4U5l7YJJkmx4Wh8KEH+Ciu8wNI
qW3uqoAZ0oRKt19Yz+o4p7Z4cBqTpEdk1wV9RFqUmQ+jHMRyz1ripnO0wsz8G4njJq7oJWc7rpOK
1lKy1EWPUwyBp3fRatYeMQ4y9BVHZjwe/KqK5bk3FkQXlcds+xgkUGRVERsMeXoiR0jMLG1kfxbU
6OYjcQbBf4S/wbCF+yjAXxspK3QN5dnplnjkU/CgrhK22/XOTyMndwu67O4kBQ3xG7qKeX7fC0wC
Kx0rAAAOoG7GS1Fjbwb0ti4dteg4L2m6VoSqISpx5p6oNj7DrDGHPMYxTgCtno99lGDeQ0eMeHwp
YbFWlH7edV4vHcuzO7uvPNzpbI/iEZJuqVs5enotvNKmlSfDY54sxrzlBqrqv1mbreoRiW3PjjLv
Vv7BOYxmatkWQwt2IsCpr/04SvrQtHIUH1yBhXnwaSHMfbzCUudpw7umsBz3IX8dVqba+31YuPiE
Qq9vtipekS3P9TAVCm3rDBptfVytOMw6qqD9Qb2uMQdkBT8KQIMvEsbsKxQMY5NUnEMAUx0URkFm
PSMBW7Cwlg16ecU9PaLxDDAORmnI3bj/QLDsIFfxvBPhE6YnzX7ccJKPPAT2iCKaRg9p1HAkdjSG
el16GeMV6SkeKNUnMbA5fwxyAsk1Sf1kv7p+5RCtECukQ4621bvvysTRnGHGmQJ0Fc+m2CqKxob5
pjZI1r9OkF0w6fEi9Zqgp7HncF8vlsC3oeLKOVF7tVwc5ayhz/nSZOM5A7nc3c2jXkndbl6Pj6mB
Tg1apDHmrZNf2Hrs0cRPysgkSXTEjNL2tSxajrJTz0YjQyKqJ993Bpv3hya0w/4ekgyZRe+9a5bw
i4w5aX9oMcXyHBNQHc8xur7zEwjai/0oIUmN3GbMs/0xySLj//JzPuhH79vIoMG3p0UVONKREv3l
FbOV3hiA/WabPa2xMq6yHsah5wWvMNRrSFNRARtPMTPPsguicSuOHGDSZ7nBGfhT7ERrnhYbkvGe
wfYuXL42a8B14PZ/ODvT5riNJWv/FYc/D+4AhaWAibk34sXS3SSbFClRMq0vCFIise87fv37oO2Z
MVs2OeO4S8im2EADVVmZJ885uTC6vZNG+gTMp+h+atpK3WHWSj3jdSWrvQjIrDMOSALpVuZPbT19
cJR21L1FUbSWzWI3LXKJ2tyeoFMDV5FJtKbzoZNjrqDsTmTyfdjOx+9yQKmOvYEZXTSVs2iuSrzL
P+ltK3r2XmQWTe/WdofQH4iJQVEyVhPV14WpQK/Roya8EbHspx1hFC/EMS+T8blP53o+VqsszF/a
ebAMipcmHS6XRa7zL7Ys6vHD5uGoH7piCN0Cs5vGJRuNNrC8nkfOXBqYt/ayOPKyi1Ea3NAoKfBg
IDdegbaaDNTKZHClYfaPCFcb20VYJKZgtuoM1K5t4o/QJDQyopGhzB9TmI2ci8zYwLvRGe3Q+SJr
1YHcW6r0s8Z9GbZN1bsJej/DrWx4BLpH77sdngGSIsBbABu1fwStWBPFtXrS19Q1ibI9GGJeofZw
Mamn7tzNyEMZDlTOhhX/isJ6GVp3mBhi0+yLsTeT1Jsa/MPJQ1VrNjW/1WOoHP6/dW2PPa9i2ns6
VXrvqTCCOlex+yb0MErWP+v8tnI1TnFUXzjxhv1GlN9zvcVMI/xQia4NQAvWAV6rEioX/xYOszov
nZEfMOqeZ1+10mpw1yU2P9CwKgffChF//z0G07mzkLUYZVGVXR6ozkNq3Fvj3+MznxsKmbk+0q7h
c/Xkow1okZh/U0JzbidUYXjohImUO45JFRDJGdXrjmjdvaPh/QvDKloGr5k+QGGih5FGZ0Jh/zVx
lfRXxaRU2Ah2bQ3gJMaUsQDSacTt3AHdUmCliupVysx7eptCtbGK/oxtdEYsi2jRzInSyl3FNNPc
T9ARXEMebDzyNdqP9OLsi7ev9FdkqjOeWdt0LDU4xTsMARr5qV+qcPDriDzXnziZcCfFkSQnK52X
8p0n/Bcky3N3ohR+GKeJMHeWzUyOHtuZoAFrfucL/dWnn7HPaib6dTJ2TJgjxVPWal8muw7/nnRE
PaOHkqY3RR2F5m5h7Icbt8tFMuT63/zwM4ZZr2l9WQ2WuQODDmikJm6ogTy+/Zr/6qmc0UPDeUx6
00msXaQqHWf6GLpazOn/9z59u+ofyHEiq3XYQTwXsRZ48/YOUybX6tPbH/4XK1TVX3+41WrFVM8p
yyWWjvjegSlNnmotgrlCtihqtx5gYx/QlZj13xrPp587wsR2NElshMwd41DNX4ym7W5SDXj17S90
Cq5/srvP/WBkuujAQpGxK2wnBoF2ymWiucJ/nhett74YZN78m9LQSmuf1Ol9uib3GivNPIRdMsTU
KlEcMJ3x+zzqjG52e0lK9tvd/fu3+T+i5+r2t/vo/vWf/PO3qqbYj+L+7B//dV8V/Pc/t9/577/z
+jf+tX+ubh6L5+78L736HT739+v6j/3jq38IyMv75W54bpePz92Q96fP5w63v/m//eFPz6dPuV/q
53/+/Pi9SEqfoqdNvvU///6ji+///JmWr6ZtAr7/Hiq7XeP3v7B9iX/+/P/K74/FY/nTY/n9p5vk
W/X02P4EV4d/7P70k54fu/6fPzv6PxySBgcFl6pLDQ7Dzz9Nz6efiH8I1dItaThQA025mU6UTEON
//mzpv+Df4N7rkVfUapw1H/+qauG7UfWP6hx6PbbUjOFyt/Qfv6vp/Lqvf3Pe/ypHIrbKin7jg9+
vXGkbamaVLkzjTtTYVeeHSa0lWijJTMDhaYCWNQsnsrazgJdys4lxa531Zq/9FZSkylnT5UGv9up
FM1rRtVdkgpip12CdsyTSRM4+TLCAPT+8JB/v+VXt7idMv+zE063aGMbhXmI5ImY5w5V+ojCXMuY
d2IX4exS4oqA44jOTewcx6Z5hFJ1Y3WD30WIxTKreW8g/Nlh/183YOC8xaOSzrl6VmRabU+AvBhw
cQP6Oo8eRDgdVDUM4qYW3hCGoYs+/XKIm8FNtXdFa1sEPn8Elr1Zv5qqBZPjTHrcGYlo8yIHDGN4
IixSec9455ukKd9Tw2wf9OOFGLOOlNlxxLkYyVrDrofm0WDlOlaHPoJIJfv6oWoKuP0LbR/8sCqv
2SD0cZocT4ZqeVRmcWeWWnkEmlUCurfhIwDdFLSzUD+itBu9bV/s6fG1F0NZLXgDGlmgUMG7WQav
xLSoWlvYbehFo3UXDuK2USCKxSEPcmmsX7uwu4CIZ/tG0oSXUanYND3rZd+ZK4388PNKNgKRY72v
NNsE7Zrmm7nLXjSockE35k/lqeTHE361necxLj7qq/zl7VW6ZQ6vHxxbglaKqlmGavww2E6upZpH
SYNVqh7aAQnRr/A8gb7b3guFgOwTRw4o1Oi8k0OfZASvL2yYaJWkLXVxCiPc2B+O16J2ZN05+LfZ
XZwHdp+nFxKe2UGA3/mRTsctkStQbyvMq2JhQ5cdrERpl7zQHLZ0Hke7Ae6iR2uZJa2JzKc7Y2OK
NS17WGK9ZzvCoJaF1xW8/cxOAouze4etLiHwqvTw5HmypwJB0AHBGs7RROk3oMJXUZyhzhzhF9I0
CTLZ03lAFHpTz/bFqEMIzaLLAUTYDQvr4rcAZMy7yjxacMFceEQUxwpfWkIlcKHfJR4g6be37/vH
d20ApwvLFAQkk3Gwrx95LxLghZHbZhwb7iWMp3RtnDB+e9CtVTteM/SOpxi5eG9//rDKuLIhHIs+
mqZCVn195UEUIWgXFokhhak3Do7tOkn/fxuzu8U7w9KF5iBa3Wbdns8kKqEf6UqT58D6stzLtsku
2zB+euchnlTg52+f2bICeoJGW/5cC1YVrZSgtvm+EvlLyFC4jTXmlG5EK432KJvcUSbOlhF2Wqmt
2WVh5i9aZKx39Qppkv4G587iMEBydLyCQjqglakecgqxHfxc4bXgB55e2veKpdAgt+SNmJcWs6XB
9rN5SN1Ry52dQhshSHJGZTNvaK/OxDdTwwoNcjUskoS/xkwd7ahKbi0dcpXtwe/T6AGVXJXZFSt/
auZZOaQRaoBaJJBPmV4Eg6A2dkJ0X+bepilcT/A2egjna/JkpvpdUa/hZVinsBP19KUVQ3XohtgB
rCkPyuyAIjJre5dXyUsbhfREKmJuo0swuxHTfVtjfZdRJ7yxzp+skTUI1/xzs9YrxDrnPmZxwOjM
uG/9rkwc5TDFowh00T9oJbt92qL3smTdL/VsdszJA6id51Jg48TFGBVtPGrqQliGXObnU/LURTO8
sqYRXmTljZcI82vZAtNGQyE+Qm4keUhWDuLVUgKZpy9UEJ07Rr3tFwxBdaO+/4g11bOVcXoyaOUY
wX2nRUDgngaaaRkHiJ9S2npFqzxIWFS+EbaO58TQ2UxbD73B6OIdsQzum5k86Qavg1ZA4ikdJ3C+
0NIojOJo5vWnVHPu6dwVbMO297PQjvckPzoHC9Mxcp1XU3btR4vx6G5RDx9IMPZQAp5aFXppN8CA
UWTeBc6m7SgWgmXbpJZnYzzdNPlLCf6Ju/l41fTj1VpkLznzYvYzlbIfYfLqdhMU6Em/RoyI2VY5
2r5Q5Q3+5QgS6eSAVBuZL2hs+GHNOq+2I3OpyK9QK9YwaLIXJVJYsbxZhoG8mMjqvExtzC/jRiMv
o20ANjRZfw6jlwoEGXIx0RrY0/aVuDrOsktdeDRQZ9fiSa+K/AOgOH2DUbE/ddjorGn8ZOlqdYgX
tb2yQnmv9jnfkfT0aKUDudX2YsgMbjqrhRaqcXic1u4ysWzU2oGiFObgh3HyZIfkjGak3+l27uz7
JX+iZcsQKla41rM1Tgu33UjPYTnv5ExXAuLKHnj9vnZIZOJGzX7bAgUrTNP0OxL3zoexyoo06vW6
nHlZQ7JlGwqfVxUbky1mBaGOgN+osl1qJuu6QozxcVIVJdCmMPFqm0Vb9cnT6ca5XbKYoVx3qcKZ
5jh8b2EO3S8DVJ4dlpvE63pmq8m4vq6gBAQJMiVPLvDX10ZeaNbMPRVIIpIeNgSkt2M1IadJszDd
zX1YugUBTGE2uetIk9/he7B0s99ecKGadyJvHmAO2K41py+NxV2HTfp0CheDzF56rIFdeyQSlGnE
BToLthIcdq+2ltSFnN6BNvIQKQbIh1byKbJk6Y6mdoDxnh7zys78rCEqEaiywFrrB1NUx9PphNCD
WTART8DUjPBSWOnLoobhrYD0VJAkeYmFVRa0/nqH/6NPPP1e5gQTXbByad90btcln7GkIuQpfO5I
rM2sigcym/tW5k89+dUWzkBDCXm5dXMKSoNJeKGmfEhn7i0ZrBtRWeuhyc076h28pyHduczSeUKD
mXo2U5Fc5pr+Xk3EW8JiJboSbMeOVcmb0zecluxl2xJNYt5tR4G0xF1fc2Ond1AL5ybBCtZV6QCj
UTgyQ9v0tHJbNiXtp1BAhKq09kFNDe1otilqligP2pWlwsiR5bdIZxsEE0Tt99ViElGtVQmIJtMH
GGF9MCvsX+gjIpiUld+yDeWQw6K97Le3MyusPHOtjmsE5RAYjn9Vr/PlKRInAJ5+YkW5P0FeYgeT
Zi2rfS/zulldfsPiTux518381O54AUMy1HREhnWnZEVyUzlq5ttmzfHTERFYw3z8dq4w0MthqC/J
c2aZd1obBkucLXudqUVutvAgtxU2r/xNwIA7k0izG2mUM2mQRdc6BB5EiJ1bjEQfe+TV6A4JxfZ2
u7R9SEp2OFMPhUcVVMJ64QObkargFH/zLTqGTVzuy0zTYRRV1aFJuz7YzrjW4QJRzKo2BzaQXLOj
ZXHXgt6YB86HaG9Lh4ckzYNhglemhPnyGXJEdZB0f10dHaqrYhhxWitlXzyldvyChOA+VNOFA6Ol
CzTyqLfTJnSIi1nPFghxQLmeJdOVLMVSXSafC9fo24yxQzDmIHc0O2zJYRrQqbuZIJL4JmYmnmFK
+C9NfMjrigNv6ZsbomRzlRhxf2FM9Fw6E/hq1uPZR9FEO2+Y7KCqnNBPaRi5Fb1sqKso1w5tvUZP
eCPSJNChY++g3oxuj4h+j/iIVGNOXqqmesCaqt8x37D4xvyc9ZOep/WVWmazH9X9J2jB0Z46J/Fp
j2kPqqHBZCqWkoxYT3yoKKGv66t6gLu+M1fKpLGKttSgHquL1ozlrTZAAJog5nkGU1dYCU11YW8F
XAZc7DZre6NrsbGTxqxdMgXxaVDy2U+lgASQIS4Q09rt4NisV2vLdqIt/2RvZV4l68yHYsj/2TTL
THOKYaUhBADDz/y5TBNv2uw+cFZTPbowSF3zyCBHgbYXFxkn78ITG0X7jHeEEvQjDF6tKXPkQHUf
CGlcwHdDDVZIF+7J6tJ9nWjB4p2b2Uw7r7U29ZLUCLl8yof1fJihDXz2WkKH1LRh1w7mZV6NXyNY
J89Z38aHorFDf5pDutvC+sYslCCNlm/DTPKsaDFBS1E7r8L83VWaPvdYDchpMiBWS4OYAFFMqNRw
ieWKRD8oDMTw9A720RgZPsnzrTJlHhPSSBPVYReBpQV2xDuN4mtlaq/oaVYswumzpk6XLbMuXDsB
lnQc5bm2WHxyElkgZk0g81EezZ6omzaaDifIuIuyFLVHqx5bRc/8MiJk4qFL5zLBlLRJYtXv5oJd
u1U+a4YSTV0JS8mQvGhz5ezimPxJC4k0VRkvn/XeoE8txcrIMk4go7TCF3xBK09odv6lbOiwGqv6
MApChaJ1DyX+UG6RNe23aKWlxEk8BKsl+31WkQTHc7PupmwT5FDDZW6qQJ07xXFDyY66yjkXERxU
zcRYZqzQbNUtv7VV9Cb8HV/qbFPan1gEq9qdPtstHK8k89qCdYuqlN5K5OyNaXpyxgGJRznexTYr
JnQKCPwlY8pga71s9zna6p0G+rDvLI2ykNPadUizca98gmf2oGYDObKp3nVIrVwoNaxQZNqXmhYz
F1KVNDRkdFvm07FetK8UkM1OHc32qlNF+3lQsl9TzjR4a/sGXs/l1BLUIOxl11BvlQCWkQ1E25Nd
b+F07Yv1Ohs48Ua7h2tk2vd6kj3VS3EkwZhvVxzOyAL167olr1E056iliUXdaCdeL6YE4U7xyaHl
iY3QuutFzneFd44kKY1vVbRgvyYqz74kTQ60TF7kBiuszlkNg2JXJFg80yKfeM6GtL9UetleoQuf
7otGUZEps9zEBl4l0eJNWRZ7i01cC2H6BVkTz0xa0cWABGML0gXVCtOmyL27fuXLkmOKlSE5ZYJ9
ftVWhzzSmMo8dBeak76USvwCgeihbTmHutK8QfWn+qcTvZ8pwrZ0p9nWasQyuYHwRJVHTkBxLYJU
X5QAHbvtGtuZWS4VmoKtallnACKJHtAfovahKjh6xmmYPkQQLCGjqLzscpvAAUHtcgGZdB01nz9k
Vp99bIYx8QpVCxTIg95My4f5H7oITqdc21flMWHOpgfbx/Yj29GOOKQT9Rnc586xvn4tdBnDnJ8d
D9RiBAEZTMTNiMoGhdXkLGH4mE8dn9IWL+qqqk9FOJbHnFPvtPqpNwOIHMklxeoLIATfKrc+Qlre
W464KyOOyS7k5Epr5XkDqkxjbQ5D5IzXZsMbWbLtDIxYnyimR68jhyIoRPVd65QFh5lTo5BR4OWq
8c2SEMYAI7OgkOg1MrO/VIY1IeLW0FjWNTAaLr9AqkCfS4IFa/hD3o6oNgy8pJR40nwn5hhmtXPE
MaHSG0vj7nT2OjP7NDbC+7cLf3Nr+JzX/RYyYFUT0lLVc0fSMR3Ry6YLNtElRSedS7ruff/Q1ICC
qVqsu1XRMr4Fbxlm5LpDwgqnLKu/mM0vdlPfo1VG7RRT6G5pxiBVJbCkvM/G6FZl8qKnF+hlcGka
/HiCIVRP461VQPgQdk8C3EefT0DmqUaSmkBGU8Qv1tyPHlRKhOVr6U9Krx0FrMhLq56L46xoJHTj
lpRKaqBe37QqEBupr+led4qKHm0rwvCntj8O9vdUwRmyRLABu3nLAuOkci1qXt+M7BBGnfbe6EPt
R4icjoBOo4BxRaAC525GaZ4gY2On7MOOmtJm3NdlN4BIWOjVrSIzv2AvTeAFx/eyge2mQaZ/p2H1
J6CY7dDMsAxkrls34TU0hUt9YyYiG/ap7Ay3E2t8QFLHKWQ1hpsp+E7F1qh6Y57o/tsL6tR0P1tQ
lO+OTSuagAGW9PrS7GxtSDK4R2jXRhculPRTOGQfk8naxCp1/XVQUxwx1BWvfzO9rbDA/uTUsPX1
WXt4+2Z+7KcYvAGpSSzoMe09H/MyiEGt4wo3d2MLAhtgYPRsadnNPZoB4y6JiK5vX/JHzN4AHzWl
QXtCxcH/7OvrZa9SbobDvgt1O8gbqP9NxJ+w/bmfu3aEK6VMfjm1+SGJxvdmHdob2vnHpy+FaUhD
0j2jaaCBBb9++nE7UtkxgH4fxzFc/2Q0jrHRYnBoODvSeid2J6aVBAlD3HwdPeEBhmd4gO9V3hiV
IX+ZjMK5TcfhYOnDB7gLcwA/znKNaWyCiSTNZyV3V7ldM91mWiy37svkWOqpAzJYUEmufbnrEj4c
x0lrwwnuEAylF/gqagiOOojglSh8qMD1oXBGI/Zga0w+Q1NTT9Xj8WIOpx3RvwnaqDH2BcM9L8HN
FLLX7EMHCcgzgd4R50B5NrQ2OVoMg8cVIYs+lMKEDzcqo4+Tku0PMT+IhfIEhWmGTNcMd8toi12R
h6kv42S6hnM9EqJNQfTFo8FNwAT8EubrJc1AE8w9c1LfKpqSqQtGcjlg5DCBapUZESnU97ps7IOT
cA/4HWys7k91b3yIYgwqFE7iK9tSUDcrq/Z1gHC+h7FvvoM/n42coMkgbF0D9RasbOiL56MnnKhp
HSV37B1olX1g5hBIQQ5CV3ZIUFoy0lQU6oe6aRheVU/IC9bFCES9vcAqM3y77ZFapsMIEaCVqZ/k
8bdcpMgIaPO4GSx6tu9oBIjKU9+2MekwyrbckbAZXr09bVtflfulmoyjs318WvUf+ljcmxJkb5ot
UDtz0IOBuZgH6OX2O5v7/OSixaJtPRaLloWx9XleL/WwrzXUiJm9ixnCy9B1l+34zmY+jx+nS0ge
tOmolmaez88iDTOlYmGQVsxp7VcjR93YjsA79Qrw1usNz0ax3rnoeQThopCrDU2SzWCfcj6jLlLw
BbRiGEVNJZuAQgOi4Yrl7xhlGuAM5ZOCa8tFhSbaM/r/K5tqa105Dj1tYdMGIoafnx1LwyTjtMAU
arBqBQyEETuIBVY/TbcLwmi7qJ3e3tOculfLKtvnhjV+fjuInroNr8LYdg+kI8IwbRqs5xMg2Dat
FK1i7RADY8O4NN2hMPTWQ+nXrW47IjhMCrV7nNU1vOFBGjfVTIcPyZz9ScnkummoWsizRrobGLTw
oHaCR9l0pt/H9a7I4vYjfgTdhdlKvk4fy2PDOLOjrKfmi4hAgNy51JL95PTI1CIIRKOSX7z9HU1x
HqoZL8TxZOnY+jnMSjprXC14zxoNzZ/dwK46Ihifd2odwUQeq/Hy9CWcIc5v1SmSxy7mBxR5oees
6spwbHC6lSEvvt7aLY4NjKV3otj2JaJO9rXaXcyreKnBvQ5Q3oHr8XbxE7DhTBQ6VPBkvFzXuDvk
jdWCtqz23prlCILQBYqZIgperSbILbiXhcCLaKxKBQ8vsfoYzLtRHc+7DD7azcxv7moEYW4cR5uQ
BJp1OOW3uFl9WdtUJwgNl+Y0cLOGmrtRE49IxmX/oFTl97cf58k789WS4XGS8NC/khy7P5go1w5c
wxVMeIe4syOq4cYo0/GYRNMnzNlCTx8Mbbf2muEm1hJ6mEgA7po1k9/wVnKVJE89hMKalztssxQt
zlWTReojnsCSUt5Zr/gU6ziOMAcx+ioxvUBPyEO39hCov61pjXYkRROg9rRHzL4zdo3ABwoieusp
VvVlyJdhh0XFfcHh72dr+x5JyfghWhkaAhd2rG7iqwDF5XVATGHvMHcnN3fayOFtwwf5KvCe2ExO
WALdYAtsiO1+30+zstPxqwT0bGJMHHr7sKBOQ+kSDm6RV8XnJNqgtIRtl2Heg27dRB4rEEZcEg4R
vdGI8NWWNbL0VYovg516g2prwdIOe8jrOJEI49M06g+GgpgOkvGnME6+T307uDW1wFXRKxLzI6RG
GKHat6giRBDndhOgVQFuL+Ma3/W53yN7tfcG5dWOIpCFPnLJ2cn1d3rfr8mbhDzWDlmiYTpb3OFI
ef3kljmJqQdZO2NuvsDssG+3vdLiJ+RNWjS+461+GgdytlRxa6YbYJo6wpbzxnGBcEGoQ0+EBbr2
U2r+B0D8+Kpet5GuazHvdDVMb2Krj68ErH6XSh6i4cRDx5MElBnBgUfl9svohMcpsq7D1ex2Gojq
bF0uUVr5zcK+HlPai/xdryYn9BWHdQnjOvTFxG5myMVL1TXrnUBru9OadXxmhGB3GHT2AMqi8ogg
zAqgkEe7GPrB52nM24+AK0wKQUl4h83Z6hkCTGyz5gp0a20CiPzjNcC5c0H1e9fDRTo42ULkWJ3h
urBKiftGhbpMJSx3NeNwuu12qE5z8JBi/GwiBfC7kWNGiZlO4JlCpjtcS9iFvZLeCLWCBY6M5ase
yhw4EjfjYxxXys5hmprXjRGKFh6kG0vNCmLwRTJQNsR7Iwf+ZLWwSBz91PvfTsnXq6WzrDzDp8Ta
2S0AaIqXx66tTQ6nyqh8abIh3g5tP16PCo7uPykWRCDznPGEyxtd2BWOI/pPEpCa3UCLwrkA37UP
8Wo27+wG7cfEEm8dXKJsFFYOhZNzth9sWgmNiKA9ghnrGFDThdM01FBMKuj35arGV7NjJEHUWbu6
GlqkR4QLK2v0oCrY/HJiqKYxSfyLMv7kDBxUKpoAX62MFgBI6/d1w1dJrKr9WHSEa7PcDnczbDl5
kvzWLKvHZQsjUWmGdLdZdBikPtIraoLUogOXVgmu8BDp7isUVBerZV/nY5ztaE6+oLKofMSEL5nM
H0XMvSsqxjdY52BYgydJoA0z3gxVe9+trHVMANPfjtY6I9Vq7Sh+AL3XAwff4DuNhip4HLvJYdT4
PmYJXiHCUq+m3uj3lbWdpkVG470mL8kSzpmhYFK7uu1VjFJTINRheSpX4ls2ss5XpMp+1rbdAQYC
Z09G2O2yuvmSJJmCVo8zM2+5oVrKysctY/UdJVb8FcnV7z/NWe9o8RTkbAqd2QoUzh/E1DCvN10Q
ufAJaSy6CwP1F5uFcJFoE/lAP+M/pM3dRdyr9rXWAJYMuKtdOH1kHzrJDi3xY/JVjHH8MnR6v6to
tNNf7/dt1KFd00Bsyz5EELl9TcXcJrsp6+rXo9YFw1JBgG1C50Ig0AmcHJlFvlqfrUV+K+iNellu
iAt253iEv6QHRDBWsbnY+7HJSVnQnNMTYrs7Fo+Prh5XUDgFaodMJy54/rGj9/sk5nW8vbvOywj4
NVDrqNkdG8CEP7/ezQU4hN6XSr9vbBZxBgfCY8reewbO52fz6SoGlkAmm9j8gdkJAE3BBPy+X/Ff
8gbGo/htOn9Vlu4GJfqvS58n70SNs/EiJ+KQo3Oi2VDCNKiSZ18MG8wIJL/o95iYdVdhD8cs6Y32
AhQN9sNk38cgzm6tQjjB4OepmPNlP85a7aLXHrx8TL6v+Ze3n/V5JNueAnmJRVFh86dzPKZGy5o4
ag0slaVfK9RTz7/1i7KUtkg+N++Qws9o29sjMMEDpEEtYlPTyDPJxCCo3sIy6/Z2Im/QOjKiRzHL
oAqNxFNpNLnaaD0aefoZjeRFrsrPbWIp2PdM14PI0KIjhFrNZH3n/D9NIvnj+b/dlrMd/tvK06xz
M2LdxqA9klG3BwKB2pDTb7Ia0LmBegq5tbgYqgbYpuh+YcppvesqXhFuPbCglOpBQ2nk4pWO5Ust
hMv86AVcXr+ZtL51SWq/Wd3B7NXZxy7qbu3lhd7pd4K2wBChhMDGNQ2UPgpiCblBIiXx+hIF5kbU
zSwVnzqV6GMUTB/p9K0dTY3m5mFZMGpeKXg0Hag1TNcTFpxiY/1OVSS2JPX1s9nI1yacN8txbOuc
Au1o48wIGrXen+AMbJoiT/YRngNTAZVENr23xDrWSYxycvtxVE9fEzYS6vamoociYTeFgMMr5iiX
tTowoxdpYTBurSasdtddhzDxmi4+jrg25KGoeBcC1Daa9vl3wFCU0Z+mBY/7XAdB+x9otKU/A4DA
WeUwSQAaCjIB2T4MAv0+XrRH20HYqSEFdZU82bWT+t6sPvNP7sJxWF4CsrsKoHAW2NJVr0cZNXsk
BZdi4sEIVkJSAve8vatPoOLZ95WogR0JKVpSf51FGoiDIWkWFslhCZEmpVWgLdm6a2RfvuRrBymA
0TNeshGymm2YQpm13MzgLF5YjJE/1fGToOudTFA0SY3BV+ia8nwzjBn5nZJ+N5SwY6tDZ9dzmCsI
WJR3joE/e2lwXuEMm8Au5g9k65Jmr9DWuN7HXaH5IjewCS7n2is6GjVzAWiKY8z3rcW4ZDA2hiZ+
wSn7nYj1Y4CkejWh4IIBAX2cr/5cDJ3EIrLeY2z6rOM+4fEYuFjeCm9a3rua+LFTISUIorO5zmj4
F5xlshh19OS3AsspehC7rK4Wf2Pyrp3AUk+LTDhP9KDWHl6gsI3oA/6RD9VcZddWQT/MUFH72tpy
nRvNehgp1agFMprZBdCjElILpPr0jqf9j+cod2ySugPnbyjV2R235iyLbmZrSWVJ9lVX976S0bQf
VFqOsL9Uf1Tzd3DWP+mRcTVWhOrQ1DHN852EjNGeKux89xT4LOFKN+hdz+KYYgByiIseClKEdlzL
hosORscVpcPdiWZDSakEICiqn5R03UO4lX6PhSvcIV27hI2g7RoaQLVOVza26FTrZv8gVloUJxpB
qdFrRG9u7/CUIZolJhSnjbFoiCG5y2hCekWlxwdjlcY+ynAMSEL9c96IFQMoeLA16a67wtPbxRjr
g93h1mpupF7K7bt5glpwogNWuaG60FS/bc1jK+m53IwNqBZ+1ZUZa9G6m3br+q6o6k/DhqVvpTc0
ahWZw+sAVdtrErcGYSNa+vg2K2D+anT8drQ4ehcuVsUZSF84ccQTTDMAf5MXXU6N7WO0kwel1U5o
u6FVnGJ9ISbYxEuCX7PRYU/Q9+LXExvYqLFzcyA4XxYwxG/ilJfwdgDcFt3r+GcTX+n3INJQBaDt
6y/SRgas5VZ2+1JyGA+4zvuF3LaEEY9XUetQbdhr8auBPxIS6TF758w8jU07u76gMNSpDlEQaecF
omPPgPVzyVj0HOJpJdr5VsugyNk55DG9cYwvZW0WXoIQ+oKR46qfGZyQswL1CwyRVmvGFIdBlQV+
XyxTzi5ImBLOJKLjr6o2XGZL9aB08JVOlD3YAJoCNSbELTdmQMGDWW8EOhNeWkqLaK8WGy0Gvzq4
p3Vy1zaT8UXNTR89+LEd8T00rRVh5iYTKSLnhf/BE8wV9dno0nxf2mhSMK4Q7+TDf5JZYEpHl0ID
4uFUts76BSP01jKd4mrfwOs7ceoKgz/oGiTKOmEbrn0+uVG2Xsxqpp4k/F6YfIFvV1+cmIurOqA1
ah2E65N6l2/xrbHuDSR/UMnrX0tI8H60QN+TOOns315iP8Y9W1hkFOx7Faj4vK04YKrdFXAV9opt
7JnFCwhEqMgWGsknAgfuCu9EvR+SZ8maIj+lj0l3hYN9u6U/aFliDUfSNqN5Chusdpe6l26ykd1P
9MXu9HoHeJQj8QXxAzqLYWPOjj1WAXo1D0HbtFlgov/A+5iY8/bzOD8oTzdnktey305NoNc3Zy12
mioZA4mTuNE39Ai2NmnE/6fuzHbkRtIs/SrzAMMESaMZyVtf6Vu4xx7SDRGSQtz3zcin789bPYOq
6kYXCuibRt4kMhUKKZw0+5dzvjPchckElP6znLL/4tvdX3HMPcKimfhP1w7kiQ7tbraf5P2pdYsz
wD1OpI5nh97xP5bI/9OOzkvys6266nf/v8DSaVEK/81H/F/5OeP28//c2s9fX138txbOP1/5x7/p
OX+hMUK47dMtO2gMED788W+6WDHpq4Sy6Hg5B+8z3P/n3/T/spTyKFEZ8rLL+//uTcv+i2sdihO/
nXLwb/5L5s1/KKZY5eACVT7Hi0eXT6f/D49klxujRbI0osdo6p7jwfNeFtco642sfHV1XESaG8MC
qVOautoRqJVu8z6S/+QyYuHxDz0U6/87w8anUBL0UQwc/v5PYspRJcbMyAkdVveWefMAAcsPD2NU
2C9DlvhnzWj0fqMXIRA3RngBlgGEKKmWAf8p2aH5qfZVFhffZcyFWsZA40CMJsmmwFR/M3ug4Ahd
7Q0JTANXKooXACTI7R1gN49xByIlaezy4MFfWhuNgZNER3m4NThQKHLc+b7XJGoRqs8HqwIX6o2i
MU8RxZ4ULFRslTYJJSm/fl4BWbcObaj0Z4XtbT2kzgMzJiNgTypp0NnDftKE5RcpCIFdkcXLBEmj
FtaqZ8Q46x9C9MsvK2vlC/e3vyfkZDz22dTdEhjR6SqNMzRB0VT96F2vOwxqbK+x0yPFrSx7owj8
2FGL9rdICQSupT1vzVQga60DyA9sVwARv86OnzfAvkj+cjCgf1hD6KOcNO3XePKN3QA05ZCWIlwt
o7DPyCmNHb/E3Gs3VJtqitugc7geI/xPh9G7U0vmfFfO0bxpnGY4zb2RAO9yoi0bynrrDoThrQfk
abvZneQ27J2Z8FDVv8jGrDc+q58NnV/8TISI/HAXL9y2M/QS0ZpmUHdi4a/W3JZsnleFMqZLxAjz
ZWAt9D5N4F5TiEGB7VAVtpWdbJuKOaZY2vFXU6TeFglT+egUhM6uQmUMl6mmtGJf4mzoRdkXTxcn
bgKvNE5eE4Mx0Kxxab+vrkjvS/qMTeZiAkgsShsgH/BEN8Ozk4m5x92g7oSmOQ8UQ88yXDL0dsUW
C8YtH9D85jSaK3cg/3MiKzoQFFibum8hn2dZ/5GkEdPprq9gf0XMCUrD+OEujUYYWs4PhSTNwZ94
nhIeq51zz0WpRVfc/039itre38NTi94XiMp3Oeg4XyKk5nzPyno0tbBuQzHqq1kbCw6VUW8mipsV
2vgrEQdwkBn77uuo7x/zXKp9njM8dvoQGPJCcV8IyHcjaJtbNifllSsmwv2VyC00cnWIGxthS9zA
+C5N9LGYfINqquu3vBSCT5MZQZlnZJr4xW8BnoZVkF+8EGwDSg2q0Ybfo1rjdlbBqMnk07F2DpVk
R1+WES4zVN5IrQo3WheG76OsMb21Jllgw4AwCVqopax5ZlPv2V0wEyPMRe4GIUcwjIBAH0AyqY1R
axd3UzEXAbY7cZxjF5O10OpK8IR4GjWgh5KFcL0sexbY8uJVzrxP83LcAEa0LpEXX30OmS195NUc
inUek1oQmeVwGi2R/JyrNqYS1MPaz+G0WP4SnmdY2NfFFc1HxKkfQLNWxxYZ7KWcnP6wlKPcGTRu
144/Nu4yGT5FYKY/7dpLjirtZdBPw/CzZTD0xMnsgcet2u92wzbaclM26RFdLJXfABJaQj7NDp4j
1+ArsDKE7jDMe7k0xbQBFQ8YsaubYRfG2bSjg/LqhxI2YbkhPS+9DFMNtLVlLZNGIKLiygOBHIaM
1izQvv3GbkxBbt8win7FGEhtxiR8EyCErg5JQMvaln5lY+HK+Zx9kDYEEFje8AgEmoWBjQ/urWvq
BUtaGF0Vpc6Ry2/E0gbGnDMN4/U8lMdpLuJvtVWiafKilvcayUKPQ8LPdks9lRHCcl+Lc1xn8kih
EzpbUftfM+FB0aEuS9RdQ18ePVIGPpyETIclrZiwMclibEVRui8dl7QGnxSK30mVzfU2XNr+t9vR
RIbj0n8UJFMFtaquZWy8N3rqgvIuxWQ+JQF1JsXC4tfyizvGsuf9X5xv0CiVv1JxVH2Q/J4TszHz
DczJPcAu8ECLFuUhtpETbP5kSMFpym/k/YzWHuOtow8qnUf/XBdkZ3yRrNANT1ZaOM9EjQu962uj
/ux4FT7D0C7fqjw2LsRGlfEqrLigt1bLdyv8ZXqtU3KDuKRC5y0ax4+s8I3T7EkdnkyHMAcF2Fux
0Ick9yeOSt2ff+CC4ulPJlVaktSqk1n9tmZbPnEVdt5hctM8fey7rjr0rpU8D8glnmM2T4qGo7Hl
w1j4ze+ogGa+jRNXvZeNFj8BX88HRr5yPyejOikUa1+4L9AshLaZBoZnyXOYOjrGHDE1z3YsFa48
fqqE2bv70ULc6XRGo56yUDXfWPs3Tw6n9fNcNE1ANN24i+AywFkkF0CtYBTri1hCETgyibZ4FWGj
3hNb+3Fy37rYzL1rR6+RHsfsyQDqdSLk4u4FzKKtmVUhxiHfbMz3ym+Tb5NMBzJB6wSmVpFHPWvD
apDfFRai8prCwqy2fVIuGDNIBdmikmfrt9i+hVtAVBy3RvQYT3L6yNvaehXGJJ6r3iqOvtXBqhG6
uoa5Eb2y9gRfT0AoYL2R34Jaa0rBcbao/nQykdFk9ycW/WAXmbpCTmVoYzUDK51pqWBuakRriBLv
6ONwfG21VaabLG2gVyrMPg9zVtj9dsGog33gTkVbR0Wlg9RixzZF0SHsKo2ZCAFn1c7xe2QX3cUV
UcG+mmVliURpPfIDXhNIFthFSrKNj1M+LvRyHXpiY9rGxykugKlTi3l7rYkE4lDNCuCVmFJ7farD
0nBIn2PCEbgdKPIja7j4SDlDRpwNovSFsoGmE3My6Ro19/veT13rljWsuRFk8igsFdurtBXtE1+1
kylzspaZBCFkstwothynKermbVzNUYFUsO0+6lAtqzCVM9x9u9+FxKVwHQmc0400VpXlYnGvlug6
LrPc9Q7PqBO33lmRBLVCQku8jLOqna/YPOi2/IB4+BlKd5WK7Gi7H6gmBZbgEWkJkMgOcX5V7XpL
1hrrxDy+G/Hc3NgLpVuRhdiWkJN5D3dQ57Kf4TkSYpv5ezLoCUrI/HyfhkAnMWuqvTQTjxWpGpsH
snfitQeseIXTqt7q0LTmW6dNuzpW1SIBRhfjLZax0eJhytMT+uTsZRzCeGWz4NjDocoPKfljtzGO
BchNBqFfo13AzI2qKX337s4mNkeA1/20c8U6hSVZIw3B0cvG27MJAUJzmYYrObKX+ZPsBtEvWadJ
PRFZFRZRIPXkHAjPq3eqQe9VAiZ+wMnR2NS32ZuuYmEfx2g0NulkuWHgh2GTBynGqrNne7AmrUUG
/JUnzMNYTDBMWD+GLhI3Z7IRbbWIY585bWIiT2LQlFiCknDT9iEui3A8Yks8t0glBeEkW4qe+3ql
jM4Tgi8G8bnxuUxh3+3htxtHOuvPRhg+wRFubGBxtfOvoXSja8apyO3fFwS0Ad9jLD2HM7Mks7y4
eUL1ZozmW03Kxo0LrjlV5uScsFZBEmVeuXMgZxKeVYW/JTlCWJmFe9WI1Cmg3YHJ0uSicEtq481Q
C2fIjJ5Pr/26NPcZxiRc7LJ5WiblhOx+bPGAEQ4NoL/oT0n02ePMKb63I5w1sAcoy6wyXw9599Xe
0cJAzRuEGVbNzRmFFJ2Lhc9weghbioJkEifBJ7TFBOFuR2VWrzXyzK3iomHF1qTbIgndCzFo8Zs1
tA+NrfodrNtun1d2h8Wc5ubcyig7ETPkcpDY+RCQwkDhFsU2hiw5PwK5Ba6el+hu81dlF19G6F1Z
OFSrzIqzdaMzc5fE5XQwEpTiLYrL6o78UVa/XPMGU+KIsOpaUX2tIDlG55hNVgCTjfmn9YMRDXkT
vbPLRAYDTs+BMJyYXmqZNnM8FzuLC4lcpGjGLEdIVUBYAZsXm/Dy+KATeYxnhTAnOuEUVxf2ktap
9HDdZUzvs/VSyxq94UiAjy5+eVNDnF83Ti81L9POYSK1Vt6MtazJcEJi23uMZirakJnoyesH59Gx
Cu84mvW47S1U4i4uyn3I234a5nu+mahaixK0xDU+5BKbN4+Godt8U0kdhIRa7BHlHQl72hN5sbHu
8AB35JnGM1XKfEPVkRyhMKOzsFN9ajEibWbF3cTYuxoOlltY+MxTrK+ObNt1kbXOhniqAHRNgPZS
HxZn9NAZMbSLVJofwqXg/BtHPuqwrgyUB8wFkWYZpzhq/A9T1g7C/tl6J6/GWftNlB9rvQwby7Ci
S25IYuAmfwyWMbW/I9UV78pd6icq4PTQh8n4lpVhdRBlbTxZ4yCfsqXJOCslgSVIq+MzxsX4EhfN
sjUp2n4CyaKFtmokfE5f/RJxI1eG0591k56I9pYbzOM/TM3dJ+b1YmRyPSTGCxxQ6LMza7568tF/
zrl70GzbLpOa/GcCpHrci03KLJcCdrwrXTqBtlu69dmMEaBZSbVRJgl0qCw3jDKf0lFn1All+wlZ
zdkUIIXWZDwZh07YAQhp42iKpNiW1tSTZdh3R0bHTxICtvRKfJpO+1DZ742pLwOJRgsR7navvmXx
dC0n0wpIOXwm12AXGaDIizYIM+t+LakI9yBUdErD9zbyP+BWbOwx+WwZbKzzNmuwipUwSPVQBH5P
ahLXTHl2ssnmOW6rg+9lJ0/GBXFnznJSbQwIQ3p5UGQICuesWmfgvgOASclh6vNoL8bh2RT4TL25
hLFAHMQGM0GT8XBU6mBKmivYddlPgVcfKrQLfDmZSrVJMRpQpBtBXKViI/vc3BMmGe6qzA1POsfm
TsoDOjiLTn9VNqmLItUOV552NwtQ30ObZ/k+gWswoMQs7IAoYZLKrUS+1rXbnxn5i1c8tgSb4ebz
t9KeuRizosD+nIWzN6y9dJC7pUvqN2Py840naFEWxdQV1V19gtQ+PhO0dMukuUpnya8HgQ3V9tgX
zVepCWYskOgVq8gzoVR75F9iM2wg+e0YMdWH1COFrhEas2LWzpfFJndEubb5U/D3I0tpyPq1C4r1
A89jcxgxdtz0UMpdSFjgBvLmqovyejs22typsV8P4o4DsKoPoQzzaSQFiw5H+/MjYAaXBA1Dtbte
QkqeWJitpsnkRw+qGab35OPzJ1hxVbfyXABk3ahaTWd3Dr0zluRLlJhMpq0vlMExSEP36PvPzPEB
corbnOSHAgDFFA1fc9QqnOxIIjfCbnTOMiJqgs5qqx3XprGe5N16bRvmtjKK6WHIRgL7XCMJuLmC
zJKB5XabiSTdyfTIq/SLwPMqXii32HLbfqnJfjBK6e87dwmkYZ0kyusVtdauGcdv6LQiBHBCZIeG
6+C5heryIML42yBwAreV8SYSX16LVPefhhR1wP9nW07Z4tJAHERDN0aJYjxrX1wq0WzqlE2dW9Xq
3NiERqbSRrvGD0ndGSVCsMg2yBPYeLP1VrBQ3aQKufhCxCY19LqtszX06a8Bdfxq5GqGmEGMG5bZ
djUXCv2cfVBxcigyvY6n4gW+C+Ul0PSkGcGtcoHvCrApDDf2eTl/GLXn8PYY2TaZQjIScuIDnmmy
ux279EsaksXrW/0N5xOlHhEBt7gTrylI5LWrBWz/HPyIbTExwgc4rESX7HSTwAJI7JxRnuU8aCwl
Gy8fSwR0abiRYBrIZ92qtqrQDVrj0cnOhm+e6ilJeB3LZ9J/VsNYHkO/84OkG+Dh+LrFwjT4m6Gy
ipeoqfSHX/ZHoh8ycgfJRS1qHagm1/u+Tuxym+u5OgB1GgA/KOuARd0Oss4abwhmo+84MpDPu+KT
lv9FtPl6utk1zsPml8uc6wWEdXWwKH0PMZOhbQmrxCBCcVUSNLUztesFjo3appyGa1QwbhmGqn4T
VkoMazoPEfZQT2ytGi856gTSmeq5PtsuEzPahhBq6qKeiaDE0Gsu+lItDgI9siKbgwIds2kNnWxK
X58NtyhXPjHzfFBmROppmGxRccz+qqlF8jpK7TzwnG3tYT4DlOvOxLEsqyo1mXodSNjytnxt99F1
jnHAr5FsK2GiEzAX9yfQpC4gg+nZD9Nn9tzxHgNCvSelIXszSibfjWxvA2kJ4IjM5K6jxLwSGsOW
NVlOnUwYSho7kJ3z+oncgXG1UCfMbLOhaRtNeVhq+GPNNH2T1agZHbTxQSWRc4EPlQExjw1GxOhO
mhXjG6rlSQvvjF0DhQ1zodqF+8GvI0Bw3MRlzISqkb9cRl1EFcz2rVSpfky7qLHgTzEP901gBCFK
0cy2o3eiSrNz55GXWQoY0NsuSUMCRMJ7XGY463Q/ERDwvU1JvegzIXcVlSYFVTZs2CqSzYQ0CloM
uhe4KbB4rAskwzE6j2o+kc5lvJFnSPZCTeux7QzLevGltKD6e1lG9HNVpGfSvqOTG9ZWME6WSe4L
EgNyRIolXukZehbm0wROftcgIu3E1rSTnnRqYb8liC8PVq+a311cUzqGTneeWhqm0hDmo13K6Iof
QSBOalN2oUCR1pZqrG2UDNy8Y13Iszn2m5biD7CPDX6BKcXZb6X9DF0qOrJes184+MvroES8H6Om
L4GfN83eJuq0gc9dEK6dQ/EBsd3UXH3usp6dZrwjogYmYdVsx5+e4rxY4T7MXkEeXAYCRBlmTuUt
bSq1trTzFWIz/YFupYo3+ODCX2GeFC+UId9SH0dCk7WPqGVebD8bN+N94DWAt+8XUkUyaueT1iaP
q2Tw5alyDLSxlJ+1TNzAqx3ktVEIM6JChRkxHmRrmy03trt6zR6BkOvZ9RibZTa4QNNhQKeIUL07
oqokrR+8TJBd2Gh338f96zjH4OLt9j2xgD6T7wYRy5bqYemjBEdM13x3Is+IV2boTnshB6dZD46I
V7WksYnCF3KJ/YPn38sdlFHKG06a/B4OPJ0eZ9v9nVD+kzlfgM5iBMVJoOV93XoPDc/JpVt3C5CS
oYf3CC7yNrjLTUXKf4xdT6+tMQcZ2ts/SwAdq1Ym4qILauMWadipS2fj8x67RTi9/93vLS9QdUzS
HOYSyFckoxMqURusiIAYErllBdy6tMb2MaFqek1zSz6QPdAEBCJCAdSeEdDYAYhv88f+LqPULKZ2
CPbOFoV65/XjXixMJbejvXSHrCuNh3HG08/n8RKjM7pbL1mvtGDfY0ONaJpTRvhkzRPAue4tcTWW
xjzDT11WXijTo+Xhy7KyzGcypLJTX+ony4YsA8nFJc1zso526D8D4XZOcVk+o8g2V6acdoSO+1vC
fV6qPH2YibRCeQNlTBOrZgHusFx3TSS9Gaiy7Xc2FQ5nIaNRZ9vDvohWk5sRjI5kOGYK0Do8zGh/
eIE4kC2/rV9n31C/KukytSTRak1hsfDx3v16PIab+Z4/T0ud1TsiUNJLH3fhrV2W5Tj3aNg9H+QJ
7JBXGalH1aVIQombVal1ynV09ph27x3ZUQrO4tGnLjolxM+1TbJJivZtHtIPOVYMWokRW2MeJHXm
ERVWvFlYsDy3UhRr26jyJ3hj7anpKqKLIhW/Aa1SQdZOlDS6q0gChcKwWO6miWtn65IotS96ojSH
R82u6RJNcXpMedc+Cx0m4Tp3a8ruvmX2MkjeABT7Z2uw2Ys1UGe2Xt0fo9EBC2W1B+RIVYmMh3gs
kk6pBlFdYEB157vsDJHp2pSOychRwT2CccrH6BX2m9ngYKYAIvzB03n5w2LWwPszANXiN02PJM29
9h4jqtywdxXn28Wf89RdG5itfi4ZhRn34fSYTMt4iOoyi1c+UU4fMmmNF/p+QRKHJd90mSOJYcYe
oz6MuyvnQtfwt3by70r7408iGOjrGBr4I0uhLJNETZYyyZjeOsOb7LvkOhqa13jO+BDYMU3xQ0i6
zLxa+oQyM6+F/5JbCv29rhaOq9Ycv02mK1+HGO7NPneZU5WRrEommY5DlCIgxmtENgXU+lz7xMJG
xbTwI0mcGuONm7wOOYon1lGUceVgJzs6aidwhyJBQF9h1lu5dgFWI5vGj9Qtf8ZwJNf93P+kLTfG
VZOQPWo29s+cgo+FG1AqeL4pI5EOK9dptPuEk6Linw2cpu4yqyqmpDTlB2HevEv8b7O7GEJ1P0i5
TIgqscNqVw+j/JVSkGPFdtTBC3EnsWXVDzhJCGAb2Qm3aup3dQJ8bMDVy9vuRjwojcunN8RKBAbA
BvZP5NMRo+3fJ11QgToxfvHTGXYlwjsItmkSmLp9UtphDUkMbglQA/dhGqb5pTeUfmayFuOgLUi5
HcE3ekZT9CtC6VTC65eiOnVJq964Vih/VFiMxq2Tm82xM/Li1e59BKBMZQPiC8U1n4ysg63rTayi
bbEWmKOH0cGpRfIaF59OdmwU983EAxwt3mcZk6Hqkd5248FvtovhD4fKruyrOcaffndHJSXUtKth
Gr85NRkgnRM1WyRZNwIJ4ffXBc4Mk5SJkDzDtYJig53ro042WWc2K2FXD2wEK76+sV6jusEdm7Vk
hnrLG6ZFcwMosd0O6TBBkLTcVZi3R4JZ7rabpQ3oAuNdJ4zwaajBKbmD+q7DPp63aYn5ziTn75Li
lttqRmBPThZm+SolseWFZRPojzgNH6dyStAHGvpb2Ftf+cLQIfND51q2bfGGl48TMSP2G55x8jjc
je+jVHmxbv0mRvjFxbCs0yX0TwljSbqOLE1f4sHsn1ybhc8W80g0rnHHJSfpz3cwjedYgHO5k2Xm
rsNF6Gc9ZxbYgmHcO9qnQSNVhA0ieeFIxnhY3O39pnZpPLauX0AcQRCAErIx3zTUo5Ueuplpypjf
F7NALpNp3JJc+0JnRpWCP2LvVbWAsZOOu2LOk82c2d/Zv4UnChHoflST66KhoZmTQp1kzVE7pkDT
ZnZ/lzyN5btrLFuy7Kddmog56PreDbK6bnH3WQmgss58igmm2LNkYMzZ11PN7GYmraIvp/A5HjWA
I15LfleWgm5TOidW09aNnyrJTMqZ64sVAsBhu1YC01tcGxkFUsozLDb39zyXRb5n+0IPyNZNg0hC
tec5C08Ps9SXaHGGqxjqmxEtm5Jp3qUhvP1AMhxkODC31SkqI4ZxjUk+64a1yrC7w+FwHVe/m0lZ
kOoUKxW3EsOvHOnArjfyMBDgvSKga0A8LAqFk2PqIC/m/jMbkfHg6TQmdxXJMnnj8/0+20261wwR
uLrYq6PAt2jbNBavtIOtlsb7GO9SsiKLULaru0Wa4Q77O3PjOIKgrUUMajtlipVia42nedHwQJty
+NbPYr6lM/dj3bgodEktWrWiOrml7LpVrSSXDTtz6v9mjpMnhGoN4+KU9EURcUL3lXlj17AD3sl/
JpfQymX2azGK5KXzW/cXGzj/LAd0u0Mq6hX9NlJGD9VpyVlo5etW484wWMheK6tpsbSV+GFTy9iY
mai/T37azytyCDN7pQmAPXEXxD+ZgdJ52I24RjbZmgiDSAH1yuLK4l8TiVkS0N1pxzxFBZlApIyz
YDIw/JW98S1sdfvdJ+lNrbFVmSemz9w2YyrTnyHDStoEZ1J7MVkpaAgCayljmncGQ9+SePkByyPn
Glftq7DJFEsaSUIS12nyQWDo8t7PJmudwTTnYGqp0+k1wBCmeLgzj55lE0EW2WaZLh+9uVjWYemp
a18ULnSJfApIbxyXNZO+fmd1UeUA0CBpLZoI+pzoRHtjPZPF8e8NTsZYYre47SMbL2vVJpXFFCPq
dOAZJNkvseHtjUaDunPM8ewabF57zqMnRB4GunSCqyna9S2XkRPYfR99xPBdXpusz9A6oFph22Mi
5jCccQ9BhPm4kbXWQ2pPzJ3MtvBYePXdemqxHyUSMZEbcRMk5cygfUyyAm5ItOkNyz6bQ17ilIEd
uioXFPNkNkLMUI0izdntfqdW0m/6KgQ436XIGdosX7Z4f15cZvvrxLSI8OM03bLfLc5Gbt/kCAEV
2L9c2XJxH0giq+j3tf4x5gI6X+dN3qPD8hvkmFz8BzOxiieWtP6zbTj6xgJb/bC9uDwZs2KvVprj
MW3dmQDCKCdUqoq9Z2dmy0jO0UfHHBqzy9AuF5HobIeSpt1zlaJ3wUd4BWP9hAQvO2tqriD1O7Fx
Ju+tKdp406WA7UjU1elrg17nNo1agr0bnPQNGAE7AsNbEDclY72uxXIhyblcl1k4ClC97qGLs31c
TPFRFgnjyNDzjqmUD3WYFZtBFF4Afb48MMvArZPUBW+Eno7gWpZHBN3MN1vXLdahN5sfYdmi+gCk
8G4o8eS14Ss4rOkWt1G5cUO6OCz/0aaYZLyB1PEYsydMUEMFyGl5f3x/PsHGZPKa6/Ihq8Z2XbbZ
QVDOPpYkJgYTTdTZnwvIeTRP4lK7fhUw9/vpdfWLY86nKGJh5BnyWDYFSxvTi4YAK4D5EbekD3V5
cRdNO8WrBd4zWfXspDHnlkerUgNu0QxNiCP1JrHs5i0nEfgCU5RYxcJGKtuyqDZZPnT3I91o1o2a
8l0EMyewjQRZx51zVpgN/LqsZwCgh9mGABmxl41BKjxyTI/5fSWvt9wc1Y6dpHka7PGrbi1mPV1E
EEkyMdrLWUU+cG7h6ejEfERPQLSkH+mXsY/0g1eGU+AP3vKExDLfLknISMq3yqeG4uJp6ud7ykNR
f5tBgxCuPujxpOFvYMq0vN9Ki/Bt7DKySxeaUibSYZPx5i/NlfWS/14m+bypk4qpAWbtTVYi45dk
DB7SSVaHInbtRytRyYMoOwblS5xjtp1Ef2M2AJBmYp8Mm6cEX8MgErmDpU6IrJ0PK5s059nSMTXU
8jQsM/bdOdM5uq3kbi51/J8YUh2iO63oJ0NCaoj0PoqCcfaY0IQXNALwKb3+4z4KejdDVFkYBcz+
2xIq+43pRvINfdpyZbYhthARkIi3fvoVG471NGvF5iCs8hdMIfGWtQDtfWnMK+HX7rM0LXMfD41c
256Kn8aI9fm6dob82Mdp9puA3PG55HplMTOH18ZvpEQ7kRcBxjtna5BWcBwKIXZNx11D81yatzyf
p2+MWdSFlRXZAhWZ8TzyTndlY+A8FwMNuFHN2XNWGT/SrvV2quX+HPLwGEfY0GIh22vUaOtTEjOP
WYV3ZlVWPXYJNzEQBhFY3zeLjYWFNEjGM+MTYYYUgPY0tDCV3Hq3tAwyYKRDFPBt67eNe/+EQqfG
RWoMLX1tOMQ3RXFAmqwOj0XFezi1TcFjS6tP68y0gG2U/TRVXfiU+n61jRACvJRh8sztSs0j6aW5
fkXQFi5RFFOcnbos169qipdg7omHcgxMDSubsnZDjZy9+yleylVjhPHH6LjM3Pw8nRg7MN8mhI+9
kJEY2c41hXPqbLV8lnWi9l7M9q7rCwG6V7LHSxuuK3Z9z0zD+gAH/l3dd5+915CcfiOumddeFcnn
hZDMwzgPOdGDMxxoO/GPdTYpZhpsYnhVm1XvkHk0E2zFXGFWhgVWG84baPetW+gHsp0eiwX/e5r3
427wQ2+HmoyaM0qMfcnq5rkbdU3H3MnAdBoyWDvPmiRN5ez9XgwluSmW8jUD5kwt2Ildkiuis8cp
fGjTob06YZcdY4s/f7QgFFxlrgPbI7e+OHCMyxjO4IBVbnjGSuY5Z9D/RSuWpqmdz7t4nLBp5171
JZsq3GoZ5t/yfr6jvJAMv6qc/YdEfXUbyzD9nvnd+CAFSxfmtIhhMwA5nEhp+fjvIvD/aSX8/6ps
I/MOePrvtPD7If1sP/u/FcHj0fvzVX908K7zFxp3ASMJRwKV4Z3C90cHr7y/LCKO8EVYmKpwEWJz
+Q8dvI143rKlINzDRkIsFV/UMbsix8g2/0IcLzyIRNhFLd9y/hUp/N1J8zd+JITKd/05RQ0BjzZc
lX/Qn/s24rUu1+62l6gmVuip5vfYVvpfM0vybTxU+6BEfBeTK/anv5e5d+RypAzf1FY52fh9NA1v
x9ER0S302biPyMD8JyYcC3fBP/zFPEXqqoNLFGQTxIu//44+MaKcuiGdpXVX3ZE6m8frAWv23dsr
cH2pInn2WA4HfQh8cjKJYW74qu/lLKy92fjpsVOxOFoN6Q/2MqRHRlXTBUfy8m/kncly40jWpV+l
H6BRjckx/NbWC84URQ3UEJI2sIiQwjHDMTocT98fsxaVGfVblvW6N2mRGUqRBAF3v/ee851bZy7U
fzCa/27h+eMK8ZX7Ar+5HWJg+ev7zUOrMBjDwi3isupT0ylY9yHeXEr2mmEgKpQVdKlAr7Ko+ewa
e/mkj6tfQcgQnTM2/i85jsVLTRY6Y3RKwD/d1A//vCH+x5/irn43AP7z7dEyQsDowSeIuB//7DAi
l9FmNzHBduTUd84Wh0FjJq7a9V6nHNnmEK+wo5pTOXjzFsO+JAQJsRXvGfDJDK7QRcN2b2ZG5446
2qn1OLOhgJenQZ5ecyGKdxwSMCYSv3tArtP8GKVT7CvTqsvff5Y/DFh/vecj/B88Qq7ncay8GlP+
/FmibCG+FNX0Vo1lemtEF631PLtyM6sopQxnEb3O38TWAk7+WQeaPnxZ1XGB/g+p8hzE1uM4z8N7
4E+etUL5cVsVlnibHTA5vTiHHWBBTqvENyGEpD4cp+PQpITLyfxdiasSLxFvsRi8u8Ea13Vt7iNE
pAeFJvBYdGCTnapub1EdL9SuSC1JrsicZJdWaDRyIDDb0TC/dUvtnTtlp59R0El8pKOnTgI6wXlg
uCM5Rbj2qatsemEMyaGENICc3/7+Wv7x4P52LdmQhe+FmK28IPjtMUOu0BeiN2LrJF513+Dbgx2p
7asQbo+f+ZeV6/l+NGD819WMxeQwdqX+xQSw++GrdkDnq2HqumyfR/jnJaIjehfYyFGYQW5UDxxD
GVui1JxPUlXmMx618zSqhMZ+OVswkwp5qxZGI9D42eGMtOfbqBjz3UAKzH+4cVhZ/21N4cm8Lu7Y
mQSPwl9vHBWhjSJSOtj2RTvd4dAhr5dL66PKbroH6rt41zqOixqmXPBSRvLEId7WK3BB6AMWP3oR
PSCNTkv7599/D9fL/NvXEF2fUThJUFQxNf31nZXSVPCwsJdojJVrr2t+pRPSz4GBUzhPN3//Yv/N
ZQAJAoLDBmSJjeo3t2HD/kBxPIgtWL7wzW5Mc32K8/9gH7++5X/7SH96ld+e0jKC8N17TNALL8u+
bMx1t4jnLUVHsDa7v/9Ev7mCr1cOExZ7NDtq5MF++evl45bMlXJbPB7Cc0/w1pZPqHrBrd959sWd
e5bdutFYM6A31A8xAcmbv38D/80lhVMFwSli/ff541/fQGNpodpUCFxm4fQKApUpV0Kz4e9fxb3+
mj9fUzy1HBwQqbGEuzYeuL++jMuSGzFw4RAsuou6ogMqG+tHNj3OZFbG2f1c0zSf9edVgwzR0Lqn
SkTFuTSAtD1tNvGIQHtI/YaRl9J7ejDDSsyX3lXtujAp0fWZpF0zpkdQru61wlo6Kp/2K5f/CZrz
+/0BbZJCnb0Sdu71XPWbk3vxF5Jbgi7ctmw762TMSIkxDAuWgML176/bv102kKLXjQ9TFKZBDIN/
vWzpkrhlOFoxytZA3iSmsA7MNq9+8brceX2CJy904v/wohwFf3+qMUmy3nBcYmUFZPv716Xxl7gV
wTzbqdTPDLCarSepQGJSI988BibBCkjUxZLZsZP6nZytfBdq437PpetA7E9PnH2uA/Jw5SXBQ68I
QWFxa/dZp/ZYd+i3JNl74vbvDUaNzNb0MyM0DegV3VVbDkgz9HwUxQTJLezthzjQSDyqchVnhoLF
EiXWQdvYu47RDC6ihFKG0AV0FOUunDXDu4TsH09VjxA4yOgBgsADdDGIxFj0j4UfPcm4Ge8XwD5q
+YSg1d/XSyU2tRDyrW+s8d5qc3enUX5skiV3ViRSVKuuD/N9SV+W1m9b5u+EiTmbeczqdB3P/fTp
lnG391M/Rq48eP77nLnkzdvVs1LTQxftRz4n/jPnZ5KBdREJkpvMktUHODfGcUMpup1oC/AFWYxt
EFng2jVddee3efHgzAHieJfkEhyYSG+cbnS/eq+IznRU+13m0H1KsgLmH3ScZIsIGqd+wi71wRRd
b7O+Rkibm7UqgydBn2UztB4a7XpkeLmG8GhORKD7j0k6teswM9sZz0mMrYH28rJ3S++AoWAkcMPM
/oZOT/zLaO+20ONzO41fOafL18xtih3Si2obR9O3KmVQVs39rh8HfEhu67y2OaFDU9GJCKN4A1vH
lCgQ4wXwgtc+YrN5neUYnSfq0cOgOuxyo6RgLCJ69441TPfdvMx7ZynFA7Lo6rPu+drGLoL3l6Ty
V4T0cS+vYiO7jdQjFhLnrW5V+U1n3r7Oh2ZgBDdHDw1e9EerKEfmPNJOBZOk1tDFnMxLKZfh0UvM
iLo7B29gdebZShO1R+Zb3FmqlYdl7qxLwUHrbszb63jftTdOW4W8cqAY5qJbouVkb0c/cr5bCQPt
hgbundsxhEv59vBMVcNjOpY/0BgYEqX4hNoW1r5Lpgdb+vulecajDMS3MvdtYs4JALd9bucaS0vR
/EwSJ31ubG7J1hszDuCRs4nawrmxoB3Cs2iHDRxSdFOzFI9hy4CZaAKIbURlIEPo6l+g8OadNfnm
pqKbc1+L6AvJ8Htt2wlCTIfQK3KVsvlb2IfNwZcacb+JKds9pjBjnyJU0Awn8bR961T/TcWAW1eD
cLofJaCYVxkVwQHXUrWPPdNscaq46KN1f9tVndh0cRcccnpYu86K5FZ4vClwpfWr39XWOeNdbZSD
uKwr6gsr7Hxoq1YjU/KCLT8l926obxErfHlCopKfA/roMRaD2vZmXBQpP0CIyxP+xohG52Qhdo+i
+wSK5NZpCFPzoOz1kWguZaeDezGyKvAMLhvGw9OxrMTDomzvcUwrvhPC/epN2uvxxnd6zUM1pLs0
1no9gnaY3UbdAo5NyYZjVvyHaF4kS/oyeClyfU8tJ9tu+YBN26+ZUOY7iACGDQKZjnDS/Hs/1uPt
JIW+y5aEBi187DNxiOiAFfl3aZnTKs7eW1xiOyTn9YaGFl0jGyTshEF1tqr8rikgwBgSfn56Oh9X
OmrzDQMdKDKFbB9cq2KYk1DaBTuv8l+9pCW3x5N5t03TeuOExb012ONFJgZFMZFTHoBE/L1JUdR8
YlU8evZMp8dk7ifCwfKippyTfqQXf5/3LtEJtJjyzdwF951LuHyt6L3hTntyMGSI2oeXPibMjsMR
FKQatyACf9RTe0odgXmn+FFnfrDK6snfaxW4+86yn5oCyiFJcedaTBBLxyZvV8JW/duwIFFVra6T
D0l5RnRQUoU7k5uB6nrpToMz4FwEskgwh7wbUUyvB1c7yFG9BRlAM19jgroRJUlc09Pqa/9q1b66
SZIbjh142PO8ODWeNT1YTtbuMrsGGdo06kYEfXPxg/YxLdDdNdjfv2d+13xfOru4AjayV4ZaiH5m
P7vNks574103W4ZIAutnVu4xdi17lEOM9MHT3rQRXeqQbLpL50JtoleOcgFrKePnnHKwNJDzZVMd
lScyln7RMrIo7HOp1bgbWhbvPOseO+dXkdJHWJGQ2T9HQ1ijH0rVg6tLcwlkEZ1UV5pTuIT5yfY9
g2ZhSL4BlzRvIzLIdeyWzgV6H4HBRD4di9TN9343ZB9RIxbaz327m9oofFPSto9ZGjc3uSfZblPz
YAdFupkLTz7Q2Rm2Np8WsqwRp4FW5G3ijQLUy2Q/u3aaPSLA8Y5dr6NbP5YjsoFcnqcq4k99PN0x
e/1UVctcXxA7hWfdPnCLbnHh/Ygqke7qkvPiKuyuq0uMbw7hreLcv4SBOfa+R2Rxd0MQJF6nbdUH
9b0uM4Q4ao6GtaMCGAJjFJ4RYTSXYcnEp8ja6o0puAAY6b+axBebBgUGJwMUZ0JPXUxwyZDvQRMy
CfSDCut/G7CG+fhXQsvboKpD3mF17ZMlJjzv81LG0y5UDChaj663bVColg4GvMUnWQbWS2cp0rUC
/8jMfznWkf0t8ofwgQHRBP2HzIM6RoayZO0nIEsHr2TncQIuu/qp7sY7q/ew9vm/6qi7gTYjH0QR
B2T9wZW/iquOaBjsZxlmAt09KWa0o869REMvkzUHtWTXJZVG+eaYdDtZTnyvcd7eD0MvGeVCFMMq
njm72K+DdBX2U3fne3HyGnahcyHNyT67g1Y36APm8zzP/WdPQgfDzjZNn3XNm7EwLH15sx3/jHAk
3RQZxjwXZCiqAzB2Hao4h2mMsndo8DxURLNnvrtxH95WU2+slfSaetvFYX1RwJBwtufTV6lnhpS5
ZykChSMmsQgs1ApXrPNiJZxJ4C/EYIsE+/VE+4eczwAygq8VGptobJNnXzkjX/41aLjXldyb1mNW
2ydtoEimQuiUkaX52oh4fuvCpcRG35dDh6M6TZJtjpQoANqVx3codqedW2Df9CiGGFcllniXLVtQ
qOh2B+4YkottMcQpNHN4rav4DNZB8eaJjmdctABXhb/bItGFaXE/FzQoEcz16l6ZtD/nU36pguWH
H+bfxsofUcwY94bcTXkYx+VtXNBq9EvVrgkF7CAtL80WhVa9iq7bje3C0WMiBUeZFhHmyCpA319G
463rdc4ONHe6A6HAWMUKaySAxK8fp1TvULBt8opISXbXDCVMhc6qN3V+Qv+tXkmnOo3J5+KHl0i7
z100fXfalPA5+SGK/o05iH+osN48EiEPBtauw7VvV+FtOeG52pB3W20a0GodShPG0JWtOox08XKo
SmsE9Fu6nJMiUaNu7oYnqy+KjdNEHiZh5Y53xLZJ0mcCIb7DxCJWi7cwPrSJkI9lPD8lc+UdGr+u
32cM4Q1QSwY/tJb010TS9dMCQ2tv5sba1lhhsJMbGa3QcJjPcYwmmq9IBSRkc4KnvCsPzova9dA1
j5HM9WGyHfnOdAtNgTPCrGhkDW4gRgpVqMegoOGywjqGeArjzDEUtX5F8MCmE0WT12JqRWQbNAs1
q50h28Bym/3i/8EP0FULsnaDQnXNMSb10Zf11k2ho3zL+b+/D8s4S7c+rdZt58bVLYgKS4CcR5OE
OijcY5keWHL9xsNo5Vo74n+jJwuqHfJnmoYv6WIa5i4heg4va/b4zGIebob1BNGSk5gsj06u1xPK
pk9SDJfd7IHH5hl2t8YjyQUt3/KAD3PczmEMlmJGd4fhLLLOduolhNLNXXEu0za57zh8bEVa1BjB
ymY/JsQbZmD1T5WMXsrJvsHc3PxYRplhvQMl4k9W87QINISjGsxjdk2F7Ks4eLxC0T5SUcaXEeX8
GZ5UsuJXyp/XpfCjkk36NOoK6xqHXOfU4VFhhmjFL+EyDM8hTlzMGEP2k4WlvGMINb9o22SkkSC0
hUve1x/a1Hhf6rQ4pBKhUzlk8s5ZZPs4dTMG31x5RyXHAUJxhfnWQryfqTG5Vy7qAFXSe9FBlJ0q
DmzfqjjzkA2NVyOxJIto204+wXHVHB/aKZwYyo8pQs5eYtXz6QzOlqlumnjqARU0un+0+zSknbJ0
5oDGBVZNOQRf2oH0v1ryOnvE2qce2yg3cAYsDckVVx0BcCXVJBJbmrKrGsrlrs2j+oDfM//W91X3
3uZA8raezeCApPfFjgnE0fnLCCkS6btxtj7kOrBiVUVhQ56hDUBmSu+sAMuWI+DQTAnBQpYHuzc3
affANgmS3FuIDGQjlgwiI/NqOXX9wjAUEkUZCcwkhEksbT3cFeH8iLox5OafChgOfARrpUj4+cW/
+sFaA8jttgwgwY3EyCg1tVUkLlYqsw0DV04hpBr66xab24szODRMbZvzHX/d/ixVgjBhmdx7Z6rw
FlkceLDdWtN3kSY5yDRSx7YJXORp3dS+zi5emg77svU47FqLGXER+z0rgzRoVPAcgF+bLYoqLEds
6gZ8TlAdCs+yvdcqSfpfk5sjQHDpHNY3BDMHiAZGI/QpNlngrpbECQ1xooidN5ykLeseTNwQnRzc
KAjXhXgbq7k6qCXyLuXi4RmyshapLkYBOIogciHLLEJdk0YrfT+AYGApWJZxRliaxemugheKCmji
cAtzR21B7hiX+EU7IfIZQcoW/XO+rIRurePciuZceHH/kk2EH2nLDla6vRrmrGj+tah4gajk+vpm
sZrqh3DUBDK/ZIs07LDYY/Tk3cIhW765td//SukDne1FWJ989PZ9THQPdoMUzxu2QpYBvhvins1Y
Rd2diKS565sgUqtoXMrdJCb7lm6YZD2fCCzcIJrKNm3SqPsM6exdY4v8g9KScjHUbQTgtUMZ5bJw
f2uBwhbbyNOnfEijhhxzq4ZhogP13rdQ2EvlJ2+MlHiupjKj0Muap3rCsZdcDdM77E0/SpcGlAZd
6Q8+wxP6mft8Wm6KgtzrZaEFht7KkpfMhOXzPM7DziMk5aTSyLkvREFwY46yCevUVPc7Uy/DEdaF
u1VWRlw2jqTum5cH0yFn+3qV+C0GVvg0yPkkTn/TLXnxveG4tNW6GQ48qvLURqPzoPrcClbsgHWE
MQDH0nq4xhpjgTYJOrgwZZecJ5IYHYfCgGr4hyvaiPCqRZ7caf7CIPbV9daLTQlwVd44Ryis8yaC
HLrzNUtoAyvwtVNS3kSxim9zX2ZfU1hJcmWbzNzR2WJnqDhYY4l0wxEtvUMbtMsQNczEFPaxTiBg
hN6v3hW6/3l9CYT1CKvjy5z6qdgG7mQXwKYySvuAcSbgJc9AaSAaBA4oH64xCSX48ootGtBWsegf
mYU4fj1F83A/JyEohEGcB9ZgSChLssmGGRFlXHjjCcTfcuxg8MD4Mu82vwUJI95nUoXDYh8MBjEl
S8QMw2r5iEb6cHIPTP897CJ9b7eh99bz0W8itmF0wvVwZMbVbOkuea/sTig8UlKY88SIOwtFGCaQ
PF/pssCW6izntK7aUxx00zoZWvVpypl2WzVaJFxR61rkNCHQ1kOCJtGEBMmOPAeWI449R1qEoWxW
GnYrW/JQuPM+6BZrD/QIJ3l3TY6Qo6vueteqYRZ04bEJXYnCgfCdJxV1wU9aGXjYAffjurRy3HFO
f6mSLn1wrhgDUIcoCIPROyfJuB6IUNiawJBNjkPUHPjGB1SQrs/QNUIPO6bxqZniN2154WsKaQnK
Zke6fLQ4tGareSPYe0kdQ48WTWOwiTiuvE1OkJ8qUVVrDgeKqNoJN+bUwuKNY32edVRAxbYts429
lGldTX31GBqqYn/S06kL4+yn7MiuUpDS1p5gjFZksn6pSCt8lnJcLlhsw1fm9Q0lUZZUycof0T5F
0m7WJT4UtIH1EL1GxOXQgy3dp8HUMfUsRhBKIDiZCznEyvMiEJlkY/RtMdVrv+ZWif25yvYYvvs9
23Rur7LQ1sgxBYaLOPUlxy0zfbCMtgPlr8D6Ejeao31Cps+RKXSEOrtvVbXrs3C84FayD5ggk4bV
NGo1ZZebId4SmsA50ivu2qZJbiI0//u0gSagtQhuSbxvD5rkbNT5S77BekcN1F+xLEmuHrK5eejR
XL04M0btzv3ImuB7XMZiJUjAxfoXkMESpMs1JLcL1nj6zsGYiIOUqX1RjfDWCGGim8ro8pz1xXOd
xi5ZoFP6q3Vc5ynsfB/2XpMcM44gW6udnkAwkKyTBPqiK20f4B8UdzM7KSP1etvLfLwk1iKfgqWq
9v3QBTtyYJsVDV3vrGt/3ItADbuxx1LDMOQd1659Ilve2s9JdSSsJdyPPrdRng6/BqqVT4PVCUPX
vB7NiB0A2Sn5fIrQClUdIaUgiO/gaYZpT28oCaGowU2Q+PWX9HkYx93CPNZra75jZl1b2/Q//b5a
TlJr7z4ahw4BGygQtbJYSQlBHPc+gbTY4G2rJSUQF6kr7lts9Kt2IPdn3Qk8tbkJVQq8IgfaYrfl
KUJEtihrG+c1UilrfK9i8YmwTe5HCwagqTH+YPUJHke7Wzd9cOsuw8FS1HfNAHCia9N7er8Ns4Nq
j1r/sbGE/SNVgDDwygJ70RVIEbRoJxpgL0Xs01awwzWDh7WbZTT7plEdvS5DBJ/71BJz+emBbVgX
XvexLPKWmBZHrmTWoNVFK4isTUUu24EFUQnXkSAr4IiPoccIGrfkSg81kyyOHuFJWMiAu4UCOShN
uGo8YIeRU+U0KSknBGiujxoT4KmayOXzmoCifZx3kjV3Y4cSh2OZ4VPBgPcUtJLoZ8giabfSlhvs
fJMPh9IY5dNraRDbWlmB7LtyxHs3gVX6nvAfeDw77PIbcjCePfR+1FoT3bbCoOLmub3mxgfbJQK/
uGNAQSujy8xjYvnJEx5h5JdjDBc4jNxjLDzAC6170wo3Y4A5aW0OOJGz70mYsCuGObcUMVpN/mxl
S87I0fHS+LtEUCpWjvBCTLiplZyCjPpkLfFU6/c4zovHWIbCA8cR5eXajMxHGNBityDoFWw/FGrd
wmQywYAqXbIfEiafXtfTOGhXEEIuuZ6Kp3HwWW1ZN/CP5Qs9TSw5Ah1IFoTvqi7H76ZxxSe+OeTQ
fjxW2Pc5N/fUdWu3mUsg14OLlcA4w4FUn3pd2nzVFIMT1WIC8OQxsro3GsXdFgU5dvt5CG/CQNDD
t0I0uINgtSrvIMhAhlXtvZcjpqzUd0BaKFoDfS/Y32UD/s+S2C8H68l3tEF/iefiUXAgOXPHpe/E
M7dUxO1K99IGcOB8dmK+koVddSinNmO6BIyzyuM9DLEPkEEX0c5vKP/mAScUxwzcne1xRogsI4CI
gEVwDHke6ckwq9ZVRrNRCvcqsnHGC3t3zQ5Z0CXLS1UhZr+6ZwZE5nJVLlP1tUygazrf69cce451
nULbDVHCRj75sTU6lgQxaK+f4qYeXuQ1JX7OPJrU4HrucgQMdlmcr4ajLQAMZwPAhSZF3yTJG/UC
ti9UaaB50EQfJzyVH5mT95iFgHaelqG3JYrQ4poVBdoLJymbbjVKljxgT/QLTC7jg7GdESUoZR7r
T9Xc2WUtnlodOxy06J9mtsVwROTvvbScvZlYcemtzuesEd3GTeblzYRUbdWaURadjYCb5T7oqjeN
kPoRG2Qid/3gmQ+wRsVh5HR89qGNvJl2cWh+MdbjSLSIdZOb2D7PQKzhU4ZcBvRgVr6vepnce7SG
flKbUoUseXKXTbKmUcH140paaehsE+GUL5Rw2abvuj3W9LWucHz7oJMYU0zFSzW0h25UoAcr/Tr0
VcsVlC8MkPcK3i0hfonZjkvXr21jUO2jWabHnVvYWhgpsq5kL0MTohKPMMQI3OS0rwK7+1Uv2R1O
GUwxmSFStSOVtmy2QaHZsmnkrxcoQCdcNOBC4DMAzU6xGrhK7pDKgzBpUMMEG19kP9zRFQpRo9KH
ivrzza5jequB3x4x4LefWC5tdFAuN4jOOlz0VRtPT6Vw3HndOkNxwBlB1YDa+BZGLv47OA/dfqRZ
F69t/2pU0mG7muoARFxb3A0hBMd+UtkNkxNGDnC6DnMXY1jubIJTVghwl8syZ/UB4ZkmaTqN3ENU
2GWJ3gI1vWvy/C1nVfy5OB3UNsQ1T4FKJvrEs8J3tvgsYSKcHoaCsdmEvnnLumGdysyFgx21jX/s
3Mmv1wEC9TvNOeZmMokcGKEpn2laOiMNXsqGh30g4HKjBy752nLH16LHvB9FS7TNYMzudeSQqxoD
2Qixka10KqDzc4ICSTK4Zyo4gkI6porTpm2Xx1p99gQpfzXFbK27cLRui+uJVy9udkGv19x5+JPX
TVXmDzm0/gOPkvdwlfS/+qkbbqPYEhtYJDX1nhiIj+9duO/Qf/08Z91Ck3+LzolwxHDi7Jy0+sSK
O2OggdczskrvAw+BP5jO62SsTZxvJe2Gm4Qp0IbcrHRTZ15wGZc4O4N3EUQJhPBh6OqxeRT57G1G
7JmrVBOUXqZ4E+kheRsbIOJKFdbw1mWpeHK4Px9TRfrFKL2BvsPSXARSrVXDHGrNztNvchZZGlST
f7TBuV/ZKCbbRIWonrJKFfuxD4ZvbcJa1xCIBKOhRtm2MnbOJ64s7JXrsobxoWQ4oMdu0p9wz913
MUXZvXEJJ2acaK1dhIrgLzyxjsIYFJAtwT8WZUMopGdOOJLYcmQz8e3opo2+W9p6x4L8JafQOxPH
9MANRbeebtK6Kof8IbWcioSuvLtWDj4swLt4YXS9V1S9475h8UzXaddPB27rluOjR8tUV1GKNSmT
L2Fr9+a6EZF0g5zezJg2whDJwBLf1pODJDusup8u3iqPnnsSesN9a1XmiJMsXBeFhddl0DnymRS/
7iP2YvXE3ZV9K2rlvOFmLTdB2EuS+4TcJU2y3Ad1U67bcKS+TAyhoUPp2G+oLoeXAlzjxo8qPE75
4oA17FziSaJAfsXYXjcqsYttHCzmCTuDuq1BVezYLUri4Lv+pp5tRT1qTy7jF+ePKnlcz17dniwY
QBtXluUN8X8QVq4Eqese4q2XMjK73p+WOxotAF/TwvpeSBm8kmgU3dQUSYfeSnv6sGG6h5qQ7aBe
bEt3Hj+tuHWPmXYTZxW6OijXqZPdYseeH7gjS47UfvfeBFP+04tLeumpXJ6ItZn0ylDvqI1hfIyC
YUPXeIW+kX/iZJyeDZlEAGrDGraCPQ39kzNX/Z1fNK24s6MaqLRxarRLlh63glrrgHuKCTqhtQ/G
S7H5WEHlwMNIy60KBjQqjqKrB7/xGcuUe5eqhoOIE9K0KV3N88yjp2TPEDNaype0q5CQgK5kCtqc
rcZ6CWvry0Pa+Vwpq700o5/srGbOrqfaKzgry15tq5vuIcmEzxCcpotlJtLb8kdNq3Xn+vn4VsCK
fBCON79hoBi2OUKUk9dAXx3DZHxjWXkLitI7G+t6PtBVcecVvnuqy97elxiCHuSQFetETMXnNCX9
rtWuve6qKaNUsVkdEFgdqA0zuW6VCzEB+Yc4lmHf7qcuWt4r2QLuGCAM/sSbznmsV7a1Kjknn/JM
yE1N/suh9etq08NRW0s8/+vWv0oj6jFiaZLqWBHVtuNYuO+8cLxRGHLAOTjOm4hLQAsR76rC6V45
jzRbsxOgWm9Hzzbnt4bzrlF2cZTgXB9U2PbbijQleEl1dBodWhp5/UvTrwlm9owyGec9x2hs+Mbz
4QPnqb1O+rw+tGCt6LDI9yhNP1EpfUV0W8GGhrsscXZQW7J12wf5XrXNF7BdGEsBTo+sK1dXu5kq
jL9Jq+lWdvJWhw0eZZadeQk3M5wjsKjGZm6cbnlk16PjQw4OnWM5qSfTOwcUQ+sQU/nB5NAOhYbO
JJgKDSs9M8iKRto9VY+3zLUOC952kmMOY25u/ZbutwEhf6HV5R963H07f5DokdVCmhjT/fwjVKYD
rizzcxRmxZPL/OtZ1FSMzZLRCq8aZ/8/lwYCVsfoHoD3IL+DQPXPlMD2bolkAYc761/+UMz9f+wF
oV5EihcjDfxf/+d//5z/S341/xaM8Nwxrei+/9kM8q//7Z9ukNj9By4Qbms78mJUxNeIg3+6QWLn
H8SWxy4id/6e9AMEr/9ygwiBmyEmXtuPAmbD/3KDuP+IEeL6kUDObtMdjP6f3CDBVQH6J4UoEVIe
CSL8wiAAfYMx5K9SR9qKzFR9ZzyAnWb9KgbA7zo6VHSbmcLNb1FAa26aU25iyEzIpIav2XW/AZN7
q8LSviQ4tbei1Z8DtfSqGKoRXUYwbiywwRRhbf1UKLs/hZNkfgK/D3IfZ1yYw4+BsooNbvv0UNNX
X0mp7kKFA7un5udUJ96aWLW7YDQXDMZflSofHFPDoJUCZHCc+wBhrE9fendM710aQVb7kTat5IQ2
zYfBGJrE4jpWa+T0kfXlgZjW2668jnMHXYUMsuWDtJJ4k7kEltmtoW/gQXRVGAhOOP2WGyjVwW1a
U7atVMjJlSAc85rE8pl64zuxAG+FPXBwnVgkzxar5zaH3M6MgQ5OSh9nxYiAIs7kYDIL/1YFznx0
CzAZS2KaDS5wLO8t3uQY1IOZMWALZ/zljPFdb+AjOCyaj5zTbTir6TZt+2JvekrvGk/XOcybmH5q
n/zwyCw9BPRDb1I0uWgAoBMgXA6xFXAEtEu8yENgPro5TvFoLu1a6alfu0zO14rR7I8Rb8M5CSb7
GKMIWmUcSDYo/fzzUnQjNU3zlTuD3rNnh/cdJvudlhAvxxzRu2M3EbsGRIoirVFCxW1301aze4n6
5VMpejMch1skImPx5jXmjRInXWsOhVT19BhZ/ljuinGrGpICaL/Q6Z7KX1kdFYfwD+oRwOFg4sfJ
/jEp7tlw2E6VfdOEMJT5qfLAxDs9ZQwfsiB45tiY30Q2XShQ9WABkq7fQMkrtjQ6JWlA8v9SdyY7
kiPbtf0VQXMrkDS2gN4D5L1HhId7NBlNTohoMtn3RtLIr3+LoVtPlSWp7tVAA00KSGRltO5GO/vs
vXZOVjaGp4WOg2wRyO2YcEFRtf1tWd1vPe5ZJ655z7xegx/aKHHaiLK4nVlUbAoFSWqou8dQgIWa
NEtrXXCF7p7Smc6vwRigCpYSE7cAns6F6kB2nbVYrbeZ8lgHpLLbFX2lnoyIZ4fj+vfDFDxyf7mU
KA4w7n0MFjHmrG4oJM7MwQj2WECi8JSCQmz3BUVvR7KY7CwipOiL7cI9M/FDALfP8nOAyWJbsZk8
FokJxZjX4DlS3XAVkrelzDue6EqIOc6Cbj+r+tQDRGZQz1t5TZ9vet+ltr+3agzcsNqfTEL+D0VQ
RFdsZ40DPi/y9bb7zSQHus+SoXjK0yxZ86satqMz8ZDNUqVXQS/C17YCExdmVnMDmS+6mqeRK3k4
eLZEYmqtTR+2P6q6LTeILcg/3JVv3cLWdxGa06bWdrbVYy/XqnOvCLLJs9Gy1QEqBTcnGJO70SS0
NtV+fzbSmZJ3gMQfamIbqBBlXJ7SB99IFQ/v2bwLMwV+S6A9T3B9dsoIYOF2KGGQtSAJqdEf1m7t
JwdY7WW+LYj84OwzXJooRP88dYH7DT3LOzT+FD7D5qb21qAFl5Vcuk+ojDmmXjNdN56TfAuSurmJ
qsaVq9iZLTaUprgNinbeF2Ren93SejaYF3eVO63AvJcUfehLrQbrx8Da5z4B/7oRSUdPsRxcupzA
EF35MUu9oKvf4algu5BdcfYYTIilucDUkFpZFhEZx4BKoHuO8Dnl9a1o/etQFBYInZWKwDAHrKrW
TC7Vgtm51kNIL6mZyJQwfhZu6iH2ru28SC/jHNY3oanSc0xykBmtv+ndZNgXtmqeS6PHBE1N261q
pp6ddWtseiLzmMBY5AzpnH4bAr6MfJzm+zCe77TDxdDyS3MDgys51ml/x3NIUJ4agj03nOgd5NB8
MHPxGOlmIc8uwBRUiDMsFWZh6ucgx/v9prSSG8SN7L6JyCBAuWCXk9g9zhFPoHp51kpqyqun2US6
FU7AkOKIHi4E6kOY+MXeaLP2Rgu87aJoQO4UOTWEnuQUTpwfJnSnTeDm5podzR1rpg+s4/CX01Gy
taEpgsmIiukBV4fsu3n7hSUvQnTgqgyf6IHkqbh8DShqhNCTkdlWBdazT0vMOodcvKXuNDhli9lv
bQ2OTYGHjMZ3EfXIy2k5to9W7f90uvRUjD2nr3nwx9jckqU6D9IPiGazP9+kfjzeW2Pc7zD+4KQU
6b2nzfrkkbF8qglibhs2jVvS+U8ExvaMOEyOPBNQQUTwit5A3WdQf1aaFxTZz8ehAdeT6mnclLlx
O7MrxTk8rXnapd/YZVBxK0SwbpfftJ9N4U4OEfjXgqNHBeVnac3vvVd9HzyYUisxy5ixzoupKKCu
h7a65EqH0SWJm/bkG8y+kbTuEtOV6ymEZliVg7Xx+46EwVyyFk09eUBGax8jGWGhhvjIklIVB1oF
3gzBKUSjzSa0Qm7ZzvtUWofRdj4LKLasGAFLJdL5/B+5yP6X9V7cFD8qbuBQ7dX//V8UfV7urabr
ctH8r6+7/9r25dtH/Jb/p1Vg//8D/O3i6/1mmw5XVV9aLEnItPzh4rtEnqj2QkH+t9Kv3++9wW82
l17+b9JKge0teabfU9Dub65j+PSv0nrHWUGR7e/X8su/3We7P/35j/FWuYSwf7330i2GZmzbEs2I
aN+f7r0NEWRM1jGQ5yQB6MHgnp29zunVRob9QgPSfZ5ipStxGHrcM1io+2XfbCoPcDxFf+nWBWmI
8FHi7jCNTPfckhP+20HHfYWZEqBE+XpqtwJzzRXFD1Q28AA0touVLrqtHMgrBwEz6pXeB46hykxK
QHKlGUGPjsDCby2+g6dujGy0E280Vj5PVmMaoX4mvv1ezxOZlbCx4aMLBP6csxIL1noeg/EuoOxs
wSK3rGgsbUwWJvG03WOQQ9kWA1zRC9eKgRVyXbOwnhwQ6dj57TtFz1KIiMgDe4WZjedLg6UyWUm/
MH7GiVHN2ybChQzvSdj3ZRza2K2pUHiBmWz1e98Ppw8OenWpIf+jSxclhwjiM9Dg1h7e4rQjYOQ7
BcyZ2k1ebeF2hzZEuVqPlWHc6dFtN2NhuUfThFwqYUlzjU9Ly11JclGPyrWmF8A/vsJ6YuEYsYyK
57e/yM60YGXuipVbgVeFJojTEqU6jXoW15K6iH0z28l8Cw29Nx+stpLYD+2piXZ2UMvgeVAY2aaG
Des2DwxK1mf6mRaPowmWcUVpSpscG8K+xhlleCTa0MyyC3Zpjiz+2MUT+CXVgrgI3bp+sUgIbTsk
On5Y8ZGU/8InqsctH8a+JpVIBVe2BE1MrYGgFl48mGdy0xFGMY/FGYCzZmOG2HXs3tD3sEV/plND
L1uWsX+A5XckKoWhoia21bLB3oU9QiRC93yLAMkFWCZgKWab5E3GzATeizIHODYj+8ug9x5oijyO
tTBrrNVhgFTfF1s7DR+61I+YpoZnq5bpOnPLm5bXxxpE5qdZFMdyaI+jjsq9yI0COTyw1rpMk62c
VXmKLFleubxs7gsW2UeXR9c6lWjudCT43CIK+oaw9vcu7emRsGkmsNEcQ/+Ee6Y7wU/DTDQUzQ3d
Ux6/VTv+tGn+2PsoTM+Jctg5y8w59JjIsIpW3FMDNh7YBKi+8GtvK/O+umePX91SDE3PGwzI7Uxl
cLrSsRF+i3L9kClWLJOiU2nqgTU2noeXncT/KgmqkNQsyW67St8rtPmHBj/kjtUfiW6I8Ds3zO2t
XbKgMu3AXA30xyWm6k8NhdfcbmOjoaHC6R9zAgFD3e4Hbcz4HhzobC07/nMY5+zo5knBwk4g0fP0
rxxrPzTtOpqGexyGZCg9AXam/tH3FJGNJlJlaGb4GZVal2nnYTTlXQautt/E/A3m7qx8sU0w8Di1
Hu2B1z9QqUVk+szNeG/2ZXAR82z8aPEfwYqsr2vX61fm6GL4CgS+vUz/9Ep13dMIvW5GwW++hkIq
CkoDCDRHrEl6RV+70+5DSfBPJsrDaFDBoI5ZqZZdkRPhYkkxeuys88mZXwRf9y5Nw3kb53azlzId
T9zd0B19MT5kTvXg0rp2RcLOA+6S4/ceiXP6tmaElLq8a9GltjTa4AWCIAemF4/jZiq0c4hJm6Pz
iqGHRGdJY21Tb7GZcHoP0Hut6SkhaIb8F8IADbKaRZmH4E2+9kM17c+6oarN6P3mijSf3MUmwHpl
EkVxs6G4ADN0VwxL1hVEyey9onFrh62Ohq6IJP7FVizI8Nz6B14JnIRKGN3WmRr/eQys6LPOhjFZ
/eGp+ren1R+fToBC/vx0cgwDWcYxPLZQXiCX+PAf+l2BpjcxMiZmcKuD9xyaY+FuVFJN5w4r1jcc
cTZnXJUgoMgGNyK4ovKxRIHetnFufgK7CdIb0k2myfzpUMpuYdvn0sxvH9+VyWNqNEavXtMUh3xD
Y3VBkaRvxkcHG+J41nZODrDCefbUsVsiwWmUkkhg4A7ONTVS/glnZXaJ/ZgjCv5it6J1kbWQslT3
LqSFh82J3eesm2jWYw8kWbwKx1nhR/NHCtzc8RSEWXccR2/a95zv13Mk9C6Pc4ygEvnGYRpk0EH0
9y0gv5KNHW/7UD0FeBg2LquqxSgM5KzCTAOBGN+yiTGJFCrPLQV/aVXZMzbxMZinA7QEfJqrwRyH
fA+Sg+iY9o3h0BqTU9x4Nr0uBOTwbfYDErHnTVddZ9nHnHkO8L9tEDzMXJqLKgX+f+rkpZNxxB57
Ymxps12S1NgnSoghqyE1qzODMzoxnQtnR7nOMwl2iW1zMcATV9gBwcPKZtAADcgBx2TkP8R0caw7
53uZTtdDoN5wxrNhrdOV1Rn2bZ2+D0N7HwjTv6nM2Fw7gog1RUDdfWxkAZV2/OC4b2BNMhrOldEW
B+a1hCyBw4CWk6XoPdYfomSG6JNbUlxEGQzpXoYkPnh26Bx5rNBOo9z8qfVqtObOwaQwez0c+Knu
hi1EbrFimi1f0mlxvVj1O2lfZ93i1FiBwCuRCJLq3HiN+YA9/8OrbH1fMQHQiNj3t52Ci4yhNO4E
3gACe8dF3I7YEtEz+plPdv1CsRTbSB/vv70P7AEQ3VwzKHj4fvUzRUL4CAK2Fm+T5WavKizs+cEJ
ly7Iie0AINYgal5NGcW3PrvLW8Ix7vuYhuiR9dAzmeGMfx/irKPs0cWVV5rK2QfCwCMdswq0itR9
kFKoD0md/CojGvBglbpnpiEDtHdydIKcDsOTp+P21Fc9m8cwKUlpFH50b2COBS7KedOQlVsDmIs2
rq2TresK/7HJbJMdvnTfuNUydtGVHpmHEUPVVYLVmD0vtQUGxWsiux/LhqAj6AiJHbfNKLXLcphj
a5sLR7flsEMOxW5TQ3icSNfodu6bNY030W2hiE8wWaU89r153lKJ3dxPVVo882ixf/SV2x+4eqHt
IgTgu6Y5ibxkauGS8nvEiCmYOf38xIff0pvlk+uk2SmbMnlb2cXACjsIXvoOZGJS2GLXtGF0Pwu2
9qS7CU7xZWSP5jzz221YrKxmOzeuXB9TY9zYTkXVDBGkOGNpsqBm8b+GVbe1Wut1qpkWcVmMZB+m
LCVakXgvUzj+HOpeGGvTHAZaNsodHkYeXbTYOfssm/T3VmKlWIWalPmqK/3irTPi4cGsc/slxHVe
8xsd2JFGneXTf+YNtL37hfw+Zw15eJmKV1Y26T2EleCt7hr9aNq6vMHMCYpRlxZtE9zCnYOdYoze
AvKDPGdWWb/DG+h+9K6dHkCqqWYr9QzwxukzxBGTmrMR47Gavht+K25Hoy7o5AxTxDyrDLNrYafN
ye69EUOMNXwaaEMJ77nOf6b0vVWrNLCEvK4yC7NCwl77xerHCQxNrZNiXYu2Rc/hYfHqt23xgK8y
A3AX4hcGR7j2u94Wm84O8XsCE8WMNQ5Bd8Wh1+G/mQZNZVPYFBPkhtH6jh45ZQcApPH7BMc2XEOR
H051OqtVY4VFu8ozr5uvfe7YBonU6HrSHC87OSrvk6HXvAkTt7+KU4Due9gp85NqYwsxUpndwYm0
+FZ2TnxRbum/V9pUD4PJCEWbn1iGJxCAvAgi3oQYTVEU/IbXyBpWpHszI4UdE2kGzD+6GKMVzFCW
EL5tRxdFrulRGYk4Qx7isPcMOLRLGlD8VL0NOLAr0LTpqDWcW3wOcFtlLodTM4OenWMp3yPRTd2O
l3zzY1JRdjSpu8jWVdJEL6WG3bkj3Bkde+aNnxCy6KQoorzZUkyDhNUknt6GYsgG6PxZ84Q3cMYe
W+pii6kI5uTCn94GdDmzWhAdfTxZPKvrDlfBGQxfcM/Pp7wdlcmtE/fMK+FqNB5gxSWuGLomqFZr
6teCpDzWMYq52jUGGAA7ETCG1hawCwtOgE3qOHRppV7F6zGtaV207To594kVHRohO3BRLEMObZmw
H8k9SpKoJmCds47RKmnBgVRMZy1eJ1Yl3jdKsUjBjzX9jilraXvVlPiheSkk7W07aQLiLCb0ZWrH
F8swHgahmsdiaHC49bqszj3VfNVlyHR8GGbLeXNn4fFXU07SBwrUscF+s6211b1gUe5+Evj3i40Y
K/+hMnTxMNtp9IQZlydRNiCkFi3lA+vZ82PsnWaZ7bgIi1NUBfRh9rUgqxilgkyWjL+1g2tdTaVU
LfnHHCUW1Xlg1Ma/fouluj17vh4Qu5v5nkocjVnI7o6eO/ivnmnoh5brlt6YWoRHRiU32pla5seS
+yblRs1UbOaeVyc+k6nyzo2ZU89tIHzgtxomIGGjfBsoPjj2jYGdDSYWaw9vKlZ2a48B82TNDSym
thG7cyP0RbRjsYKmPn54yFufUZ2TX+xTv2gB9w3LjZVz4o1xlmwqI7y3ZkVH7q0UCPHaGT2uRen0
RN4oN1f8iINkFQRoqdi7Y8xTLDIWVjxvbFyDwyw3wqPnKZ179Wg7eWpu7FDj0DFySYY/EmChTNNu
Tj4GQmI8SNW93+sXGlnD7FyIgn4ILJecm3CVaMjjPJfXDdmK4lJneGC2GFarZK8bm3yV4dFlkAfc
iqY6XlIidCnyYs4DGg4aFX3M7dJi4ePs2voN+AhuDyQ8MPL7Le7KHLYzgbhpuhrzQURHvDxtvA3t
Ci9fwLXNoBzom8aq8sMhvHc0RFA+O04WPwXl0INRtowRt7owQTPYau/iAsB+zGpnFmX/M8O3yUQs
8U6tk6LM8bHR5bWZiGDulHbEnkdSswmyiTmO0thNYS1RRlpGMhZHnvNhe1HXs2yoncc5MPNtaTFE
RoF7Bd/L3k15Dgq6C2ZwB5Nxm6PObCyxWAfweE7rBEb0fUef+0c11xZ8YJLLuaEnntkdnmoWQIJ5
UcnkfkaU2nXsVZ/xEg63eWbrx6omlsvo2KXcZivjnHijvwnKOjx1ueFcDbzhHyfF1b8V+XSIPEos
AW2VP+Edl2fHap1HXvbchFP7ykw6SXYjVC+RGuzrwjVnsummPsSO7I99FGNMV7LcW7j7Os954E7e
3o2ebq7p77Rv4l5Whwxz7qvBb+49lCk+i8FwdgNBfNAsZnZT92Vy6TzqWgPM2nFXgDUZLXSGLrSg
gtjxt1CL/GA79ZYGYbnnbjeymhQRYUinvVG1eg2wvO2brBv3oLIhJFRNtmHfzPV09p8DDqxTGdfj
0emSDxPL2qJWZFvZpri3pcN9wOqvrDhMDm6k8uvQT62NKuNkHZk6/w69qDzNNnz5gP3wsvHsDhV+
6oNKU28jlJ/u+H66nZfQpIeBGo9ssP7rMc5cIIe/7NZZ25EgY0tr2rBD3D8RiwTHbzlykBwpx7O4
di63NF9W0S2lz/a4dngJUbDlkqOqQbntsqn3jmMhQTn8nS9E/gksBALKo4UL0iBGBBvnwJ9wjG0f
Nrog5nScWpcMV6fe40CO8109sOY4+yxq3EtGm5vc5nMxspusmP9cP1Vg0gfe37E9PI3aAhg8TFYb
7XA4o59JKALNm0tawd7YnXCeG2XllyAI+cm7Mn/xiTYgSyyCXDHSiUoZXYmLiqnxGflD7LRS8gFn
l/hoY+yc5GMx1Rmy9wCzRsmLSliocsTZp8BIEAX8gTB/G/FCSWJ911Ru6m9QYgNaqYzs2o5VuyHu
RWcI7qPzSDsGTt5W3UOqnghca3nq84jHId2UO6nzF0tWxp2iNIm8mb+2FtHSW+RLjKIomYNWnJBC
ZFa8RXJ17usv2ZMqOyRQ2E3GT4xdyAGW3XifHvzBi3ay9h5nu/nsSqNpaEHilr/Klwu7Vk5vbaKI
XWPSg8wNYsnrNP+63ZtfN31qy7n1668JIBmy6cMpW85OY/DP6decYKpKHkhl65Uivmft5dc4gZrk
viUziR9ABf5RhNa3yJn6Y63biDYvfvAZ2RCqQ4KK9dgyswxf44u/TDK4BZ2Tu0w3mILmfRhrFW/9
medzWtFAltIZ+SGX2chfpqSYNrNNWxfOnn00GuWiiK45TcR7/jVk6WXeSpfJK1hmMGuZxiaBvN0Q
UZ7WaDmMa3UAEuDBxUry6lh5/UYW02DJNympn3O34YfkVLlzq2bmy/1oQ/zmnzT1SxvWbvlJX16f
bGMIMj+VxE58+eu3ifUl+v/yhoW+xVbCciz2EyZrtl9llx7W9CBjHicJd61TLSj2qUaS6F0rsyOL
VP/Y+C0MYeqgoPC21dmHvHvDcjlhE+aO+spVUYOaRiqSJZcAuEWB9HjP1APVxkYnfcGAVw/EVGTz
YI/A5AEe2WiAyYgVU58p2sEvMXYw2kdzuDH9gpBKJ3X4UYrFHZfULq1/TXZnBQ6UHu2mV9I1H2oZ
n0srvAS5Nm8gGvQowFQeGdED73F5axTzicGMkIGA1M+JZ2D3Ra/D6guz0D3ESeMMK+VyQeXZYRyG
2ssv9PIYF1mZg42vwIkeTY/mn2hIg22kexwLlaxGtDfgybccLg2pFPhGHTcZtXHQlsGW4joato7O
syvKoQAr9GaL2bNw6/LT67tmuTBDuM8ddbEIcT/RQRBuKpnijnTmfBM0Gk6kmXvha8xW4VU7E4Uh
Y1G1O6Dy8T4pGvwztJt47CwoR6epKDqUvsNbjqyly/fXuniii3T4LMIg4PHVG+GeSbhMNppYSbqJ
rXYJ9vdDcMBxH97hMo/fC9MO9wpn4Dak7fteo4ygFICag5Y+XOWpP2I6TsxbpMWZVyWXzjwN9DUu
a/E9KKnT5MOBwxB+eZ8l6WJWhvP3zaCMea0i6a8GPCjNssmJcTb1PNJmZ9hN5CdeB8tMHrHMWgC7
ipL209mI1+SVOZr0mN7NnYKdQYv5tcMpRZgHN0zFrgHgauxdvNhMv5UGFRmrjGwb3Rf8ZK4Sadj4
GpQb3lCiZuzx4hq8r4NU3tRF9UAssd4NOQIFjimeRHPc2XeuaKPTCHqIqAeefXiXklThheaAnsT6
skQyv/ZJptI95RJfeyZjWTm1qLqLD3TZRIUk9wikJlOabfE+vJtfW6uA/ZX1tcnqpCN3FG56T/nX
pqu0BKnPKhmZPhNOb5oD3Kx+xcmdJwcosWZ0O9c1MdvlOfZp9yPBUqktHzjTsm1LgWxjVm9xjqyY
DKR7SuCiU986p6SHHfPYWI3iXt3YSxKAvpRlk51m6SH1XRpnJgQMIFkEo64lJahYg780Xb3Iu5lj
voA1g52moscsSF6SdnmDAO+ZtJdcNeE8U8AWeLvarPrlq+52DovWax2zIupE5RywkXZvf31Q/YmE
6C9QXl9ySNm495ZI36/HFImaPkMS9Y5B5NxGwZm+vZt6uPv6JP8tR+c/tuV+rGBFFv+yfOR/X33/
+kd2s3/7xIuH8pc/0IcCpuOu/9FO9z+6Ple/r3GX//Mf/ct/+vH1UR6n+sf/+ee3zyIpNwlWheRD
/dGbaZn2X9o5/7Xr3or/+A/+ts92fzNMadH4wAvO9bBm/r7P9oPf4KrwsdkmU5f+9Te/L7S93wJI
jiQqXP4xqFEuZr8vtO3fTI5p7Bmm5xCu42H0+3f+Dyy0WS7/ctnkmmMYLLRNWh8DCJnyizf9x5VB
zIo4FvCL8N9UeBW1wEnSszcBr1T1fQklf84vfhLGYBOxr5frIZoUjhiVUsMegyHtVi0LiXaDx9Pc
QU6anZUsQE1T0NiHyb6aUJZ9RsQtD1b7xwQfblwJsMdXTJt9Tj57sSQFQ3KEGbdNnbK72Elp3QWd
6d5G1uSyLhLljbaC5IixTZ96y37w7bpb8xNkuK7NdlNVljqx7dp1fk2gZEy3jiuvgGusvbrvN3M7
zmugn/CRl76BufWrncfRtrG5XWylQ3d61QSnMBLm7SC6aG/P8ffSTJLrycohmorBXc+AsHZEgj/p
SXDgUnYfPKP9fVZzyKsOn1mvw+lIaEfdzZyQqAwAlwOs5FDZ4BKgHb95WvgEmIx2l/Y1IaKAz+kn
7g9sbiYOKf059/Q+M/bxLErFrYvvCLbEOzVbRxHJjSrCZ91gMm3yG0KZGzX1V4UNkDM2sMR5jfiw
Kx94kJafeV7vO7aSq8ydCCGzTrFG+RgF8cBpmc5bJ0vCDRiXCidp+gyCQm+V573w7L5JW5Mwu7cZ
u7FdJ73mgRs1/nItGa6JXrUrqzGviqKa9lNi77VgK8Kb85K1NSyQWXeshCM6ryE9vU+j+ArhG3ez
dC1CC45Fzbfdfy86C1WRsEb0YYXQfuJU8xF6iYveHO2Ptu3FPu8b/8xw6F1L7U4/20AhdqCIN6uq
A4BEUGq8aePsjNaY/LTbkfbvqcYsuCB1oNyw0kxyxZoNwAjdCPdmE1xlvSrWkDcpwJhFK8908YQ0
KfiXrMJEOLrzvR9Xd5ln7EU0epe5SBgieZRcJ41yqYjJQusSDKgAiTN95E6qd77Ivxdgu0+d5x6F
lc8GKkOXMTsAV/OQy6+1gUjTuP5O4magLljOaygb07XKvLMpbOdeMeGbN4ypECyXrvaGa61IaGC2
swKOXEG1zxrESkTXecBVd5UOfLMbKBy871K3ZzjmclsgOM9hQf1okrp8wyK17ltQxlS9yaKjTDUB
krRh62wY635oUCZqqEHRtvOgRiHZxIm79swq9DZhHpJ0iVLTpmdElLFelVFLya2wk0IdehbHah1b
WQfJJLOT+llkKU4Y3s++mjdZ4S+FS4vB1xoIz9w6capYpJX0jF+HTZyPO187iFIR1XL+AyRPpzpm
4GGrn3WWzNwRU4pgdxB5coLEFE5yH+M+ZQNrCgBQTkFE+V/E/F3tY+lOyy2poalDcbWKgWYJv/us
MIYX6wqICfXTEKdjoHGB892woumZobq/ClRKPSe637RJQ/iBK4KpcXUguJ8bK2sQ3BZpjiG4wkQR
OeRYc35YHv65littz5fxLUsN3iHMiNDWCf9laVlggYjUjzEkSEg7+TgCOWZ9nl1cdinpbkZq9rlP
4Tq4Bc7Eb99G/uJWrC21tULiPmvD9RHipoiCq33Rs9s4uk2r8o+mFX2yC7yM1nqr8NmY2oNJ40ng
kUFh1XQflLOxpaSVT9jX2UZhU+YbrWMPbSvUJPgbBN0cW6grLOs70kx8KgNbvY3kJkHgxbphMwXf
chX7c3osNHUqPqWLDnc6yuO6x1R5j7HCz1+metOVwEF8Z2wo0o3zO5maHHtJ5GJ5KNUDd8tqNwyd
/4oDhkWLVPb83aSAYASqgMrXl0+haDd1UG4E/NZV0Q7q2uXjIhkogyA5Ryi83xsFvURyew75iQ4Q
ddduNGI8yDGinqc2N7ci1mG/j0YQBMtqoB23Vlnm4zWn9tOgbO3tGHbUQ0rQQN6HOX6lXe55Puzf
zqUxprTT1dQqHDJOnsA9w3MQYcXOs/gh98z4U2DsRCZKii7e+K2dPLZorAMwyxnxGC3MozZxSDqo
B1GMJzabDtmo33WcQgGhiAVHih+5EDSiel4Abum61d1wUQQdzrbAtzNIrU++7O8mfArHEHTNne/C
VejyGZrTbHhU5+X6tdNOfVcLA/UWz3fw2M35dDeFbZFfhqCq3kvpYGxh134Mh8KDoNSz0XLDxLwT
dNuRkVPBGRUWkVuZqf8eWX7/nBPcbDYtJadUccmeVQaiov/Tz+fmpsbe8hOg8Nivcbbgju9EQ1eN
JyZkMOlSS+ABssVpv7QIrFMRG7fZMLj3VWW6zwWr9X2CXOWBKQS9dGOWDdWjJZEMQXL4sYqaOlp3
5JB/QCOtfg6eGF9Io/bQluw42LhO0VZMkYqIe0JQ/oxmLE9R3oniBAbTfgRc0RQ3Za2x+ZNGtfHI
JmJIt4ER+y9exYy0TrtA71OQ/9aVa2b2ZyXaAS6c5T8aVZnflAmVfhQvht63vDWd73PPEwQGEYck
Sk/04g7CuLO0STIwn3LK1ycS0j7r10M44vo3I8e8jglNHgfbYqUTEfHf4LA2BGdExT5/2bA1aMkT
NFURzN03HWPmpuaMUkMddUQs3SifkU9EwiBB82vJTDg0+bRqjaBcUw865RhgVHXVMSNZu1nKzrlr
0yF/IXPOi66KIjlsC/Jvkph74NE0UkIEo5C1V+FRJJZoKRgyeP5htXPLO4oaxXR2XDpH7wRwD3YD
VUpFEX0JMJA66SEv1zHfOiiVPELGxoeDq8mnhGsftYET3SSlYLkzlONwZ1IxH12B33aMmzHFQw8i
lLbvNW6Se8DTtQcsTUzgTZrEqZ9QkNa6cGhwzVFdrQA6dZnxloddE6xH0x1OGQ7P/aia4BFxyr1L
ubngaAs5913dLAbHWR4CB+BQbSXWgedZcQZ+VgBQ7/w9AD7EXpKPNDKn3XzT4QTE2ddJcZ3gdyej
wtIbrQlU5ocm24shewKN0UuDkAxyFIn1e4M3/BrnULhVLhvpDjXqxTehkxVLRjftGrVGYRaQz2o3
YjESxRHEWp4OwLugBE0+gVgKyPxsT19PihYAxphfK9hTiRE8tpEnrBzXX+fJUy5i+c0elW7gkQvw
ChUOIo2S7rrZpk7TAjNWKL9N5gD9r5omL9oGU98/aJxQwFkmnwIoa44+ecxxWIbt6GgUAWhAhzwx
wDAwf7zVZhFcT6ydL7NdXRrP1PuO9ne2LXW+asvZuana2t+UvXPdzNjOS0s9Ri5GP7i+4fUonPmN
B0b6EHlW/ln3FO00WWM2O9BWrD1VG5aY2LzmMwJ1sKoqJzxGuTEe8qHgAVXr2MOVnbQpaNSOhGUj
PYOY+FcGhQpq8ihODO+7g/8TkGXU8zmzu3bdqKn6qLsJu5WgUg/SXLHkvCFv7XqZB+GG7jlIUX89
Bi8mqH9X6/7jxLOI3n+YeKTuS6OqlD7iw2/USjpde1XmIn38738agnsBfUYuZn7nT9r5MBclTAwx
Hj1NopIGzChdNxMh1b/z7Szi4q/fzvL7pXVAGkyEzHO/fjtmICzlB05/nPuyf0uXJ7yrZiaCaPKp
MtIiS37kA1VoK1sVlv93Prv164pg+WkuLVOSTgosTgFe618/fTJGmahbqY42occdtezqwfILGDbL
5WAYu/zObyQGlOr/sXcuS44i+Zd+lXkB2hwHHNjqApJCioiMe+QGy8zIBJz7/fL0/09ZY9NVWT1V
Xcsxm0X3otuqFALkuJ/fOd+xl/dsqUD/s5sYBSEmdhf2z22GiVHuuvEoFfv+db6nI6g6KquhNU2I
uIeAuF7DUMaU5ndd27JUVe5KtFXDgdo4/vmv79ufvxAnYYEDgW9GwtL5RcxdLTtx8wpq0Eqwhspz
aFo1ZbXphIykRp93fJx71vGffqgllGDa47EzVSQw/ngV24jA1UgBGx8ar2fLtdhL91QDxqfUXZp/
pANdbxkfZgqfL8i/yf5VB4oBA5Y5GvFxWlNjj7n8Y86MoBBz/zff6s+/NIvH0sGYzUwcW+L1///d
L00WHZUbTVoe06GQ/R2g8ogXJyaZ4fDXl8/8802zHN/mFMk2UTK1+uWmxVlqa1hN+bG36ZJMALHt
iHcn8Rn1wxp2GVU9XejTHkhYjBn4XUZYzL73TJqur1u+4efurzapBekZeq3AR677w/bnXvGv/9Q/
XRPYIzxaPsIOl4WZ2h+vCR5mJiCVl4LyToR7JJLW38/VzGHpH38OUZ9rS9hVScIc/sfPUVjSG/Bv
8H0iDgO7Fpx2uosjmAw/P+cf6X3/Wcn7g67330mC/w8FXywqh353R/6U8Qax/qX9vSj42z/wmyjo
ef+yBD8MkuKCpRsv0v8RBS1y3/zPSknEbMd0eNL/LQoyH3RplkGsU1L56Lv/FgX5J5THRooyVxwp
/j8RBb2fE+Z/v1Ncm4S4ZzF6ZvR7FQgdvunvf7jNqPKu9CGy1pFpP+nYXnfDkpSn2XW73cjxGA96
8Z5kjBWR0733FKntLG1n4LDBf9lh6ZvqklR29qqTJAWvv5J28Us3Os5rT8dLJ9uE/UGr1KtcJ3qq
pzJX5yiDcUQYvCmPGV7FkLHQ+upbqvqxVm7/mqwum3PbYilRLjYZ4QFB8TthbO2GMpNJeLgR21E+
DN3U3NhdWZ2Q3nhzXIGU8bhcHTy45SgcBtl4U/edvtG5D9maXEz5hCS2iiMLiXEjNB+0dWyN9TBR
iH8MrKNnds9NWDiGc6P8avzcpDUV9trwiLQ27pK+RLiDnyNnmXw2LzH/bquawfPlmtoUdv7yw7/+
/DYqKaoTU6+YRKjKyAnr1t7obkjPotAuprYKJjrELnZCibLaT0ZdMZ5hl7V88lnlAg575YUeA84g
IoOohGgBLJPY7kIMnO3lA7b7iDN/Gk1sCh0CFMDZqILpjKW5TebMoSsdW1UdRC4xmm2cjNmnDjzk
UU1OFQyLlV41E85h2ZRZQU1m78wWyTlq04TbVNjCCgqq5Q9ycFqMj9aPpM9hOakE7zugers9aCPj
tFP5WOe3cy+4u8ngS+yRhAE/d5TlHhebAsOlF3XQ0TX56FTCDcAStR9Ln6MmaaqSwoEj37caW867
2Y/qhDIS3yBL0CjlLfJ5ssv2Ai1WO8RKyUAETi20sZ+BxhabDJ8YsEutnBOt2sshz2afxt8SNjRJ
w3jrYE89IQe7ZzyA08npeyRKp0Zq1Ma0N9XgfMZYBoSldJA1CJVMhwpexqeUvhhwUez1JLH72b8V
uE7uakWBwsbNvP7itJ51dhpXHoV5NWMBs8Q10604ZkmBMF5rVVYcTMOnrTgeOG1l/jifIfs+FmKN
PvvQGk9GZl+5qoW64eidkx5oJZepMv3bduBC4UwrvW5Tj2hn2xK9m3Ao7nYy0VXHIdGMpit9vlut
Y4feRLOW6uQ+XbCCGxWJTm/RNEGkxo754mdCXNEuUlWxa/rReGnsdsZlWZ0Eo9oAXlC1cxb7rgdA
OjPJCAqflHzU2q9RQo/DILugqlwMpqubnG3hTR950XwzaV24LVT72LT1Dz/tIE8Rasp9QiE1mn2/
2tMdAOud60A3NAH5biyIhxXe0OIugoLKAdB1ZxVMUmblriHQxkh4BilTdWvICNHtEccH5wSyYEsi
jp21XSTWzl/74uy56AL8DMdnNK7yYoiEo49JZUhug7v8xEAzgvWIrwf0szASQqbG7H3GWJeVuP97
Y+RxjZNvWcmauGM1waZLgWaP+2adkyS0Bi4OSPeczEHp0YAQ8A85gpl23EMOxLRunCcHW+t28tzs
A80V65apjcBT2uGx6KlDKhw7FKMtUMkb82jSbbAdJyHCIrYLslZrFD27XNoruw5nZu2gK8RY6LGG
ToxnATM0e8qRBvpU9HrpgcQ/erpdP3sYUy30yHa8KaQED+9G2X0kvSgQukp/ANsj9AaZVSJ992IJ
Jkq196llTPNmJYXL+HMc3nGwCIaYCg/tuGbpYYmoVxmqDARH0bny0tLOurGYZh78Jm7fbOwtPA5L
C1h6wtvD6GOf2+X4KHKzfSMdljGB4cSzkxC7wm7grMX17+61JjGBmdwevsYzAXp24oc1dm6or17O
vcjyt1bGHQXtM/HKzHjkLJodNeSGhwXf7Z3qxHqHd64IvbK07hvQG+BkkUWWe9Gn6U661vjMpOoK
157oM9KzSyohq41b0ZWivrF4mu4mWlcIJLHCb7PBN0/2lL8z7u/fqVfNXpp0qC5c5uwTqSb7MzEy
zulNK2ZqzfIxuovhdJwpTkRIlPEKwmzowUJ4vU8cw5OXpFipKZqomtuDpLzJidRtE6CLDRHK9aY1
YJNtfE7uj+uU5YQwivUxAlOJfxe346vnzxb2SJDNRWIzxMqvLOYhx98Ic0h/NFkyHM2RuACCjZM+
5nbMU3b9bBcK7X1fpjKIC0RJadbqmzklS6iimKXPK+Sytcoc5kZuznAXbLrNz5DCrny9OA/Hidd9
3TaBqU0VLCsGlMTvHPzURlyR0MQ6TiomDiM7qbdpFOWv2CbX59725HmFuUbIzW3kCTw4KUgoYeYx
FtZHt4hsJ8wp++okXpPt10rXz7M54suy2XoQo29a9wx0VV+k1y3oUqytTlJ8sboy5THO9K222/jO
qjvgx1Cr46vJxc8+T6ynhA0TYRn7JS6rTy4VXhxpmnR9qiSbN9SuYjiJrlUvV2bx86yhblL4s4Zp
1IFIiHPrDk5C/N0d+jigWoXg6CJniKSdjbEZY+68VzAoX3TrTk/4y6YvpARSFl05apfQiWAw4Wqn
fnYXnX/PLfQk7I9MvJKUkUHRm++Y3aU6tLqxIMsz/plZROfY8Gh6d/RprZ3xzY/ir5DcsZIoD1C5
ryGcjxycDVwpjflIHhAMha6m09JEt+j8DZGpRpMTmmip0fUiH7OWH8lh8FPnhlileiQ4FW2MbpCh
Lv3+6CWaTYezZt3XWhe3qJrcKMx4R1kbTkhrAWMUpgwaHK0mC+zI6RP0gY79nuDVClQEi0I0PTNK
ycFFYI7D9Nfe5649P2f1auxUBk45y0uFFEja0a0c48mjJ3q2F5C0Qnqfps4pbukyvepBqX41l0Ue
xxbgD+Gz+qPEGx9OWVcy/BnLw+yW/puyCLlGpqo+xk7OwdStRD0mpZZH5PgG4hWmplp29J2JBCzm
sATZmDQYacgfzGalfrgriNA6ciiMAP1bGLzuS+aWkAAQDSn184gvzCN5rM0yGulNXnD8ZidJtDGK
xHRewZBi9ykMdbuAJQ+6aa6+FmMr95PReTfEmvoQvnN6rxb2USYIucDtSX6u2oWREvlXGhj8UTMi
hdx08wcFMt09qI/bwbN6oil1h6/YYDsAam3jLio7N31Jwd4wndl0pjvtl/ZdPsr8gH/N2lTCsCFw
Z6Fw0/PSJ1+R2D9qaoLcOAYPU/XM7aHNuw9VXdcwq2tBt0xj3LAmgjqRdJQ8FaAVaZlb5pL0yDTA
0XH8Bmuv6qfAWnrjwcO7Ld4nehLcE9i3OSQP43Pvq9z+wSarAk1NnOCFl1QTzmQSvrvOFDcnmm/Y
+7Ve5n+MdNuZwdryNgLwNz36uePu7HVYL6IzIEhqvJADITl8RMyG8BydO7gy7OZwbYOJ0ClD+Njs
os3UOtZTnpnxoej6ji0lOuDU6xvLqdUtK0IPNyouziqWY4v32krfav6JsyyMpduyz1xv2967gthE
477n7Kwfq1a2Z36v6A40Ey4BjIrxU2Y00I4XV5ElNsxeEB4lG74nJCaYdme4Cgif5I+rqWSzr6c6
fgd6WpytDkvU1iykc2tR6rbLsoZgBZvVQtKPoar7jDZOte2KLoLKA8Ft3WYNtcv7eBVMpTOgw68i
S5hE1HWvN4mwjVNMatGzh+5Ykdy6Zb6p8h1M2IsE6kL3jbAtNmBW6m5xeBUfdECbXwHneRflZ+77
kJjDkVmvwYABPbfaFnGSJbDyEUCAvoIXQ/SdmblVtdnsASaSOycH1ZPkbZf9jKq3gQzuBXbjhBS3
wACp6jYDmgfOZdFRG7JqfRnTK/ZaDtUuwaId5h7ejzmFxC7je6a4Pxqkk0NUVpRg6KjbZoVxFHWC
izu9xVUCclXVxS5nSPooppb2H5p5wsgh6p8J0kiQaUPjesTAc3vgQqyk+oOyYm/IX3JSTvlDMFPa
pTCrpJqJnGZsuDkiZ4QkfGPnVwm27ynfTkn81NO2g/8vfjbYdmw4Dk5Bq/s7Tue04kzeBSGo2RXC
OBBMngMOI1+Zh5wzR4M7dcgC+CnvBhF/7it5EwuOZsjDGMQHV+3WieaQrEr6o5sVK95keMGMV1aI
MRQ2WeXIyMAe+DspriBbiCVhytugyOVO5PMXJnG7bkgOPX6OHR6Au3Vws/vJKuDzJmK98Nuzw9qC
LMarx9xM09IyEfWlddJlFz9ENaOGn+SeuBmHfQNa50r5Ve2GjgcrgGFP/MUDBxnOphMxKHRMCOE5
IVrwogOWN5f+rLNaADxsh5zr67XADQDPMrmx7PFgG270MphyeAOBWGt8uzkHFt2r9GaG1lPviJ+N
n0jOFMlexTWhIEj0X3orjm46tU4OOIZ6w4bGeWMwO8T7HqqO3porB5yTsMz0QdUxySfScuuhnsW8
4cUhXuOyyx9JStdYglpb4bzI8u7k4lJkD+qBDBbuWL/adv9oMfoMRe899X3m3LDAMLBKa4/i1ebL
WqcWJourFWDWUGU7f4/rb/wulyGR7E6FdxsPFt6bNYLlmYg6f188T21nev2IvtLl+ZlfFmQqqlbJ
UhVJWKhZhfPCq9phWneUiR+fNLG9Q++hEmy8xPT3KS2hN2bMms8qJKaXGKLsO62DaZiqfij3BZ2c
zx4bF+idqshplNHYgf+/+vbfWPKwJ1+dav935szr967/X5vvZfwl/4MI99s/97+teeJfQtkeM1H3
6oy0r1rsb4xFz/mXx1RSwY0xrSs9Bn3u3yqcRKATvuDIK13083+rcOa/HFuY0mN84CHuIqz/E2se
GtvvNTgYjixKysewSUrlJ2Ln9xoc4kzc5AQEQpSyLMCzwyrKwG5HvzOOs3L5G63e/IUdAHfVY/5A
js3livh8kT9qflrOQJbxCoZmhgMulpn+bls2jVwmhweqDKddwb6wYYrqC0iMywhoSmOqf1nbiKV3
lNZzRg/QuPvdbbv/7Qv/Hmrwq7n+598lPeHZyJAYHwH4/EGL9LsO1WspmBbL/HNPO8HOnOA+4oA+
yN4++fhywyq38Hen+bxLFkSYQfzDJvvrtcEaSWQR5KaFz/+Pf0PmEfuc9eCFdcoMFwQBRSRmWj39
9Vf94xADbYJPsaEKQYr0XVrmfxkCuVxknazaCy38v0TYQLO56YGpF5WI2PH+5sLynP76fDmMDC3u
OJZgHqQ/fie2RAQbtUeEqXRVMHs0/GAhkn/zKb94jq/fyecX4TOFEDzD8penCneT2UxO5Iac6fga
Ge2XtDY8jEX67R9fPLy0mGJ9vo+n1C8fBN2AK3p9fKNUQIk09A+2XviwrPKePOvfDFf+w51CwGa0
5Vu2I4Bu/PHazYON8tXZbkj7k9hSXU2SbZTZjqN6vp21Ovz1d/sZIPllLfAlNmDLZkVgnfrlXqWm
Z6+tGwMjMsDftGPlQxaOxAPIFnWsigQXQdkoIBGTPHDCpmRPFNFXTq8lwvrcPOjMa0OrLMadlSmi
9sJpoFxYXr4jj7De97Iu6p2XlH5zHOi821oFgeJNW69Xw+jUTNu6X83d4FzlOqHVp7Yo2t98478R
cP/L3zm2ZsXRXLAW/+l5nBAuJofEfhiXoLK0Y3jHZXQEBWbOs7GUQc3G8li28Q/Xor8AD458IkXp
/c2l/k/PK0ZogjymyyjF/uVKtxpp2sGGEuY55iyagm9LRF6gpYn6m3Tdnz/JF7x4gPRaHm7kX+9p
UlNX7WvfC122j9t58Chprgr0cXof//rx4cn88wPrC0ngWDLuJeL18///3SS2KUzLcGXnhhitJWRC
I0WWkPO9FGp+ADgBrr3BD0KAnnLVfsFI6IlmGynoU+x45+kAUBLCNA4ASGWDox4HKu6+OMRMDpPS
fU5B17A8+l1vn/t+rG44KaVh2SZknGuyHqBGmFVum8EEL1/gTRT+4h3qxFYBmvcSEonDltbSrkXG
k3NHw0DW3DgxNhNMQjDpY5pBL0OiHRrQTfZ4XdLhABtnCZQR0n/E6OQLe7niaI/+tL8Gig8Lta9w
XhqYtk3vvkFhsO8myRdfO7vbGhGmH8dvFexXGV1MvZDtRcXL6Rw7Jk7acoIzqZ6ch/oJoRM211DW
XziLQRxOmpKzHoLMtqwgbLjluAQlKZ5DKnr9aIi6ufNEwZZ7dok3Z+28UtoJcOethqN5acckekmY
RdP10njf1NTN1Qas+ntm6NcSkkhMeLFS1O+1nFpa69Ytkl0jroEWoziUo2nRxgNa8QEzATFtK0E4
4oTY3a0jxTNxTxFy18BY4OvA4Brpm8MCSQ8J8ZX8hI+B8xOr1HL2B5+bmWbDtcpARoO7HTgRk/Ce
xu9smbgmk0WxdkIarcoH87bp0fw2jN+HIzbX7tXsyvGFJCuGwsKpsUNG+Nhe2LYtMKhQnp69vLCp
+RIUWjQN/RbKsc/NqIp91QiMrGns4cVvVl79gOtMesl0bhOGyZBHDzKmbqT0uN+AjLh8uPKdLxE9
JruYe8siNJqIq7XjvCe1pD4bXPa7lTRi3Hgcru9G4nRU4IwZn+MNgopxFg+KxVt7YV6RISC+oEr1
+Ytl5SV5bqG/NY7mO7iRwxPvj7pDWGUjhJg3UZbCFudU4FfKsUD9WGOyqRtQOaCkRA8qOvQkGAwM
0ajCMitQRRR+8V0K1pSfEG1zScRpQq5scDasB8VXZTlUk4Bn5+xqt82x9QuXtneaOsdIzBci+xSN
aDv2w6qC2rMVWVHsvDK6zYY5PjhWBYx6Lk3+3mRqQTEkHsc0YhKKyapBR9NZTm0wjGZzSnynvYl7
HMpWOXE8TZcAr17yJAXqJgSiPuj42w74a6mAaXr/4Dmi4P7OxS7G0YZUvGb8qUk+qACXpfkyWh5j
sqX5XplOs08HzvFt0qC9RWSI2aBCADLMawgYy942k+OQbszVgQTtUavc5JD2MuFlF/AxjDfnJTkm
JdMYjb9uQySr+ILlBcWXGMDBs9rogxYhB66gnqZPoxb1DgQAJWuuBSiZ2tP9tIxJaMy8hdmKtt8Y
hPZkHLvlAIq3CNuOmmDUGTMgnGNsQH0E88gGcV5N+wbDt6ZQd5ggQml7M9an2Em9m67ycP4VK43F
HbFErHxQ4Bai8E1rxnc0Fcubtu39L7hgrWe5Oow8sGVSlBa1pMPKNjpgT6kOCQgQ5N6UnwJVZyds
duMOZvAINsABVnH1GpJ8PHmVyLa89Rbcu8PAEXotL33ueHTM29MKLfba/KBajUXVyCH6DLpClmTj
bTnrbWc1yR4pen2UjdtdakY2X+eUFVcgfWx5zadh02TzfTdW01FTeXktiUeqylb/WTX2ShJ1MUgb
uOsl9vUbSG8VVt21Tq1EwonVfZQX2CSz/FgkhTrimMkoRdW7eB1H4hmeEVSWmr6XUwkgKKuRRPit
Gebb7DfWxc67yxQlMJiZ227nSRD4txeTpl/LjomIJ3mA/pDtnLyaggqW4qYzQZozekBFaNvxIeqg
/ASt7dJs1EMn0KXxY1ZMxifXeWKTtIZgfOg+qvgpY3YKydE7185P80Kd4ac6bc9Q2emkN416u7KC
hwQJvpgQ0hjF7GcAXCxAMfkXm0lIh6shSVd7P8uJyRSD2dtmGqKHUkTF3o1iuis8+2JXI+MKz8DO
aylU6WloPkd+5G3dxay2alnvldN4gZ5o0NqoeVJvpZvMe7SoJXCbCH8jYFvw5nZpEIGtlrJ+Zl82
f8KYYx1yZUVhS5EwkklLo1RB7Z7ZGP5jwvd9b/1pZAY451QG5wpxguW80TM611C5O7epIkIAS5uN
AMa5IpDSV/c+Z2xFvIrF63VM2u6rNCSltY3rt8MRPsjsBYpGl23frT8WmYJ7TBU+DHf4UtB0dORf
tzIUnbuA+QuTWvTiXbfkD9eIg2DxueVH2IQro3rc4X72LoXVnCQp4o05rCsjhqnZZRSKwDmj1MdU
Hj/jqb1p12i+c3P7ZZSp2MW+8WzRH7y1eMnfKwMZslsjDdI9MUsyZmriyc26HMaL3TxKJR7dtGsO
FWXTG79fxaHvMn2inMk+kEpn1I7zllV+KMEBk6cMx0bKMK5y4AWlaexhuwuGqjJHRS/k/VBTilsS
unmvPLvbN6D4I2PRN7iq6SDo/OoHL6R0D3A5P6xKjM8xEU3gwbMzfSck6tgo8/CqdQt/myp1+lNy
ZwkMw4MmnlfFcUq7HxXT2NM8ReYjhKImaMVyz5A2Oy2rQ8WYjxkVuooxvoxZFv9gSgOlgHtzBztc
HF2nof4F+/wDzjZKy2A0EgkfbmEixQHRBcCZnmaCQPQDMNMo5pCKe8oYokbv+0J8glzqbRly4CX3
xpn+AAf40dW3fqIKD7jiLEVgWgzmZ6nxHc8pNIQlxQ9PG0M6becMpujgRNU3OUtAGfRJ9UHZc0V8
pfMwwuNztJPK21DWeIPw+bbQ3X3By3Y751X34RT1cG5qC4aJCU2Fs+Et47FuD/GkY7qnnLAQzXgs
yPBllfFSRleUyrDW8b4po/JURYXeJ/Uc7+JBgXXp5h5K6VSFmF7mw0zZbLkU7bNdJ96mpA5sRwFZ
+9GU08qbm00Bw/Aq3VIONmEhZ22mFiemKIJaPnOEJtFh62bqwByZWUSOrO0M4z10g9eaRkoax4dz
Ikdi58u0rxLWbaCS9T4fKMCtAJ7hB11DEtuE+yRtg2vtXuQKIulaOfmJjT0dcrG+4sWjmsZWizx3
MZcvnTawSrvlfszEt1Klh2FiYpkPC2kNAtwHq8L47ZkEyz1rtg996qxhTh3yQE64q+C+gFpiqEaX
t3fCc693kpnAwYLMPRtYOJhZ7DhC7comrkO28rQ4x36MuKyjMBmRJXG3MJIrrnBLJ3pzC5CeteDX
PC0URer1AOj0eekxXHTjAvhvePG0HO8TGqO4tO8+c2B2m8Y3L61epJVdylQ9xoBdNnTx3OWz+z3O
vreTh3H8WjcgUrR4NUCVbepT7bjnFDSCIdcByNTQnfPWOLc8QRhH/CyMJsv7Vs1Q8mNJwouSwJKs
e2ippnhdrQ+kuDzwGOBtYb4VQPWwtA8OzZte0aVPQ0WHct+Vz+3qvahG85/mS1ZHn+eK0jwzf7el
A1arsFuE71YHZZE8J3gOMJs8TR6N5bI51r19bSopby2V8bdLpoSqHqf9MNLv0TN/3Uhj0Dsbd9cm
aSSliYSgKKF60PyqjkzYviI74KBaIIs0gDOkuekbeGCNTqIDodzxriR0fQd2sPtO+YePaAY/EeL+
ibmtCsZoAvk/RV8zC7qm4rj/1JOLYTWOBD9Zw1HfkpWChqKD+kC4ImjhoJ6WLBdbQoxkKpJZNXvb
gqqf5ODvOybBO88kBuSX5UVefT1dObNXqcE5WMVkk3DkiNBNkEAHakzymC+spcbPJcnuI1NRuFJx
vzm30olmuI90gt3Z1pRulWw/j8UadD37/FKx+ywyCVI3Ys0H+LhtLP8hWa0L3RivNAljBYrsTTlz
32OjFhvt5u0xSdaal375LEhrbdsR5wolz2/apMvKdEmMpNVX17BfVS560rq8s5e646a12UstreF+
IXXwMiOGgmtw8gOzZfNgU7ixryMaK+qm01/ScWA6ZeN6HxBETi4TJ2Z9jYGjaGJv67afS3MYQyLb
fFOhJ8o3xzvHZMDDzJvmasDAP9wlse7SamZ3B5YmWGCXBYY/97slE5eSM0ugOf+cqEtic6QAFsr2
vu05YDi117wl1/k6pGsmp+v62AxxFUR1s3XG+NZje3jXNcZAomRFy/AjdQFadp23zJybUxML1SpF
SevqnAXE8Bp2/9SeZ0R3GSGLAKOPoCTgavqY1PxEPpqjS1mzl2wnEcSVW32b+VInt3WZ583cUmkO
NYUVxhDyvhV0RCbiGDO/PBXNoVwAHlASJy9iafJ93A2aGnvPfumYpb+Q2PwezabcSVmOYZJb4jUf
cwqBcTY91vXYfp14tu/71lOXJbVq8M0Eees+YRJVzHihcr+7dYZrMBgZB3Rm4gJ0TUkLT+zmS/Z9
jElERWp1iJnrCzPlMYQt5W1zqysEpdr1cIQaLGhVYG5DJcEmRvH6FgGj2qeNuVC1x1ao54gc+ppk
y7xo9kqYjA4kf5ydLpU61W2/vA/rsuPARJ8cP99AdMxNI1vj3NEOSBPqX+5BnGh2i1l9goc97spO
fUoQorZjwR1fSeEdMFtSAYaWklGeRtef7NKLPbftUQuYX/40B0BDHM5SRXsDqXDc67RlX8nw/OJP
AxvckkyGg6txN65RcqzXkVrMWaqQYkHnhs+h9jOFU7I6cjxEYMxOEUwONBdix1bKbp4D2OPUSetz
VmqTsFT/MYNkejOz+HPprvmlmRNaR9L1g+N4++BPDcUnMSnSLd3LXWBmOMQgET9L6bzysQTTW/8I
H8fedwnb4c4G6ME8zKGxE6oyN6pNbqUw0IbKtrNw/ZH58YsrQ60gMxx71G+XVVUHlDrSq8qhz34d
4pb+DreqX0fNazrKqn4DA58YdFJxtlo02TS0ivK5Nmi+aP2k/qKzxHogPigYJtNNniwcDSHXpS3T
dP9rkxf+A3ocFhPDovXRrpmsRqve9r5rITAN7hn/SHsuAYHtlT9nx3Em7lw3ERUX0CxDgwY47Cke
ZHjXTE9LsgCtdFrYRp5ZkRMr189TZ4tDvMbLG6ES3LNatygc6quL65fNgb9sGRAQmIZSfpdbVNJl
VAyd1ZUrjitbH3n8Pvm2qmFml3FzmGMrOVPZozE8VekNo9M0x3+HonqT0xBAtfBgjZ8WLewPWkKw
TRkrLVnj5JJjtNTqvpmUAWV7ewJlu2+HJP1R8ZC5uOYWXUNC75entYBESI2k0UZ7z5h7WFokid8m
5Qx7A0Agafx+fSL4zFR5zHk7LvSPMDV5JDXOmum32beCTHag4TrvvHmO96KkISnrauc5ysqbrB9v
vcJsT3h9gKxkvDv4rebrhUSjv9eU7PAt3LUbNkkJULUnNPPCB7XPlB9Ub9l17TQrDEdlnwVMlN2z
g6MgyHGkscx5ffleV7V16p1C7ldIk8vOrprowOx6fGbOvj5m0dg8pZllX0ThC5w3Nlm8EhDiQi48
3xLYyw9m7ROI69102DVrhE+uX0zWxELw/oW/7xWb1adQNXYnY5+6FdXVdnKtK+2HKGjcGC19aaiz
yTJeBiB9BlpiVdPlRCSn+gsDaulc70n25LL+3A6FB42kdIwCH2NUhgOX2jvz/k6AOcv2IQILJ8zs
AZt+EfpjMuMzRryofQEZxxnu7dh0iPXw93TRiGt2NCBPwnjAqE33bcTCyxwhMJypxZpRNyHdZ7s6
1fUWduzWN4xuR+O4QxbJb7KLE2taspvuxW1SnewSCl84INTqi+IodfBHT27bNur3k09+yl374YEj
JXCnrCBgnhhqPzc1f1WfvE0Lbz/pDPPeMDOMqOv0QZEsrVEzPrRqnV5w/h+aiTYvlFpo/F4k7glR
d3t667BiDBRw5alrH8qexsIlyZqT5THt76k0r0aapGyQIlueFhOrWFLsUXWGi9tp+XWu3CuFQhdY
1C2MvWHfihFHqaj7G9tth9B1HXLfcSu8DwBbfjgssn5F/qg/4YDuH2Icl2+e72l8wx3nYqS7wBxb
kPd2DhWBEGxQ8OvbCeqS+iRuDz7h7TsH1Bottn4efUWDZYePXl7flD8tvDZrHgSHDv9BMGSlkUFJ
avBCZJXf9z8yW5jzXpgYAECJz4wdSbgmrJlW7T/zLh2cTfLTWwxJjWNwVkXteuz9pQaaXwhGqh55
AYIMBb7dTD9naiS6iSny3FGxsMOkwMQlSo3PC90Jc57Sj5MA6OiGqXsAjWWHBZ6GO2QR8NRV5yNf
dCh6jns1S/s/jdPN3Mj8rs5YphMpYH9ABCypzMJpPd4RPcBTpLvNZOk9JyA6vjFoD2v7XPaz/1zO
Ew40DOOYZjBlFDvXXN+Kcn5dO/IAdp/Ja+id4H5GBWfdx9tqSdNTXKEJMdAhC5oaL8Rl052fol0i
u2fbNFnTUx3NOwwVdtBXnLqa2NE0bfkcZkfbQHhJWuvIDhbLeorjfQ1Ez1sRwsfV1u5gHAL97OGS
srtpAORnJEDdmaoYt1UHsi8QdKRQhuf6ySNBN+eGTV91lFpV+z5N6kda4Ar82r2iOZDaTKbUCB7g
RtZB9v/D3pksR45cWfRX2rRHGQB3wIGFNjFHcIpkksFhA2NywDw7xq/vgyx1d6qkVpn22sislEoV
GQG4v+Hec88tISEgtpVwH5CfEMadhjSRWLirkigX2Zzg0ZuaoOFp3KUoUTBVM9Y0B+U+83vNOz3h
bmNR4ZQXMfdaLB1Ldg7MsGRwM9fiY7Jril6jMrCc+YVFvp5XV4/etByWab+MkFMRiC+JQ51SyPOM
PbK/jOuNecmTM6bqWU+RumYjVd5kSATuWXyqo2sL8UgQVgjO3jEiUi0MObQrnbX+Sz95JYUMCIuj
yQ1Hfpc0Y8ZpLkO7zsl5t5K+LOqNAXbyUxZSPMKzMC+BmVRfqSpmGn+ftLCiNm1WDHViknbhy/Sj
NhzzGIzTeDDZjBDL7AQhgnSj5d4p3ddJSXXnENzyI8OWycQ0DO+6sZTPnSF6uuMuzN8SQMynKpf8
czH4jCEyg4YJj3jTE1RYOmTNO15F1LW03toqhB/TaDhurRctgMmAaYRXtyHJFJLZbmTsbPidF4g8
+qss7PLCEil4ysO8fDF497dGyycPSqRIjy6V5GEq4vkpAAbyTDgLryb5tfrFbgz3jSmwfM1gPK/7
akZCIEh9w5jM6Sx6tS14RIhzlJIrpUSZq6bxy55huRnMbdaFiUy4bT1JEA4hqRfDyaOjGM3pphkG
/yWxFjq+agHHTF58chkzu+wxdIWosgne8Ct0vABYkF+8QgeAJUqXonrOiIunAIQpBH9iF/bOA5dX
8dkXXXl2gTvuWTYYYuU44Fso85BYpcZrzLgHfAIyCmY3ZrDprUXQHSKeRseBrpljH+54WeVn1mWa
Li9k3gUgh6KksPPq+wTsBwQcLBw+HIchpLQJF7P1kB3lMHnHkSThUyzL6iOhSKvhq2hRrxMyN+YV
sHRYET4mho1O8/KGAwMIk4z55uxqaso9bfJor3u7posucyfJt0WcpdTZhDW9W0kzfGNgPZxNM6i/
O70qP526y4gVwgszd4H75UvHuwl0VV2HUhmEeVu9+HI6TfiunQ4SUX3ZvRRIT56TpmnVKhOqcTde
XAOvmgYpgxXcZ/fAo+oD7xPyoXWgHq3QYM/xSgateW80Wl5CPGwfwG4uls9UtGipSPqpmhOEc6EF
FNup0/PcDdNb3vqRWjfMTiG3zYCBFKP3+dBqxnoOSMJ8RxvAh4xvgQLDcKvZPCVRLfMNFHSTfcMY
xLfTqB3sNWxdOSPCAj4QjPSrKOH+wq3q6N0w1zw6OeE2GehTLhu4QiyiK88wbyDSjaytis6+Nbuf
AAvoImvHVeFb11RBugmb9llaU0Vcn4Ie1QPXuI/4olB5eq18bFkQTlvgipDZ1SDhMsT59E4m9sBw
JasUpHqF8nvNxnhCLTsMSbsPMB0uWUXtCCrIL9zXrvTdaFVR8iOIFsOjq5ebzXeBR0D1JlyqsHyU
rdOPpknnFZtjvCa01rwn1Ej8BiwTLDLg8Qebyxx7ZI+jXvDJZR8NSEdGlhr9uTshFbGsa0czwuQu
kI27F4Bzo41igv2TlMzCQ/AHD5bue2h+hNIW2yoUOZsOS2FJkVG8IJOt5D1oZXYkt2PBUIXatDbK
NDEyZUH93kzQMNajtLj+Wd1MV+SsQ+UZtPs812wdWGLQvOVNkKeHJkvFR5Jp82pqZEGDO0/Wfurz
Yi9SvIIZyCMCqVkC8UgWR3TvLMoUy7Sz6zPOZAfZcZu0Qfs+JxXW9wpux1Oionwz9FQTZVR9id7y
rxxD+qcEtRUZi8IgM0HSrU1N29xMU2ds2NXS40/pDtWksSLXydrT25TRhq65+qo9gKSYTJKYtBUH
LTkIbhvm/0OUk/K0tltjPCS5FfU79vbRrmjlG96y6d5wE/kO9EOTTGJeT7ZVfnSOSB6FivAGzUPp
M/yV9TPY4+IaX4h1m1WlcR8a9p8JMRahxd9LXggXRgXFxY1xVMpFPvGLYiFKTVVVERlQ9PQsT+mY
z8oto7tMVzH3NqXqXW8ZyaOJ8edPCRH/TC6BBIUtqK1shDd/0PfMtuF6sT96+wlG9B288ubQNy1b
BJO1vRiwdQb0ZCzGTTihA6YUdg5dvsOoZMGqat/TqiXLxcsZdlYmxN6CBVMxumI3UMazb7atcxEO
grFM7iqYKzlZO40ry9MgF1tXG9+2ds+qwmE2KFBqZetuSGfOFSpg7vrMYLCd2nuyOI1VjDpogwoZ
DlsD0skcnIeRPNqVM0zWuY7d96Qgu8NQvT7UBgd+UhaqxGKzSKVGT6z+tdbE/kcZIdxuQvjEEl/N
MvgPIracR4mPT1Kto6GkbzDPEsNVue6S6VhYSJaGCW2G8Nm7W1M3XcUt9g0/21IFLBqDwUZNHfpq
jQETSk2Xu1uY0f3RLFuwpqMBUK2j382wxJJGmhyKJFV/Isz5iTz8w6MHzRfRp8d/os9ZlHO/PHox
d0nV+42/N5sKp0QBbzwjgWaMrmZD31tj7256Luf1NLXRyTLN7pONV3dssGccBgZuDlEEvGJL9F6B
buNff8D/KNsjAFG6Hs+l8lGm/uHzDZnhuZab+/vUYlDFKjL0r00oQ3/yr7H8f3z/+CJRPPIKcLT/
JC788iFULIxlG1T+nvXnlHJ9K+MwDE23GcfM/WHTwHNGpsQHETgHawEQVEwROm4YjKdXaHb8uwxu
DbIZXpbKKfI70Msm8vlgNrYyNh8qnbaXf/3RWH/8bDivTQtX/QJd8Zj9/EGmWWf1zECCZw/bEIfC
bJP3SZbbuEqCdGEqR/Lip3elGZcvMF6tNfsfcx31WXSagFZtEDNMHw5c3t+JIv9BJPwJN9WCHe/Z
0vyX8FSMBG9ax2341kS/KrV/+ct/YybI3yRQfNMBTaA833T5dhFh6L/+xTN/s52fnAsIKjwAy5/8
j1obWiqn6cI68U1HIQ/9X7W2pX5TPCWAVCXZMLT04t9Rayvf+uML81PxDZphUY7z71sutF9eGDNI
kBsl7FmVLFm5jhZ6oYE5Bwm2QPoIHK4IaNg2qcWx1ocBz6cCTgqDdLRHY8Foy/WAPPK6GCwANx15
clwlJBvS4Wff03gwHnB0RMdwLPuzmxfRVZMrM9w1jsr3aJv8rRIVHXzRRh/MiGdorZTz0UbDjAcA
T0jXHBbQmYOswMFmFZKwGtsl15xAjW8uXkkyIefv2CQAOhuHLM87D7IAJPgubpqryKMVHxEH2bsJ
KizcuDEkYVBlEzkzhT3Ut4TMEXyMT9X8HtBZPAO5C7+XNgBz17STHyy0wxuyqEjmmXDB/ghLqIxj
BA1J6655G1AsrX0rPToJnFfYdBANy8Qit5I80OI8ti2DjTlNtgXVIz3LiDdHEx7EoIMw38beWVij
0cfE+FRK1/qxZFLhuS87oi61F2Owi9z0x+D684jYLPM/QrZbjzb56hHROECvV7FiabfBU1Zs8HST
aSJSLlMRc3gkoX1K+ALWHRSjtWYWdTWWzWUCnEUApM3enATiYqTyAyy1nse6IPhgTrEEma666dyB
dVQh80+Ehqa/b+gqDHJzelQDyCDba+JCKDCdlq4uz2dswH6vQxbmRUiUoIGjFKvTEN5ob/BPI7Ee
LxHFIxqlLkPv544x/l2hqKRJq4ueSSNHX4MdNzpQBxrcsfiS0CAOnr9OEQficXWYUK8YTvlXZeSD
rc4is/uommKIdsIuMV3Hhr9XnZocGIbutLWrjhg8JtPLBpzHGsuvsM+4b+V14HbtQ8QQ7C00RZSs
mPrV/pUOeRQZ+Y3Ve816/4V+qbTwLSi0Cn7SVK9Wp1EVzih20n2SFM13CFM+dYJlBJu5GvzrhAnX
OUdXBvO8iJidUIs1UBKL8dKigoSBhoPrs6vINmLNidtc4sj64dYuRuURWcAKB/Dw0OIPz1FE5t64
anQSTYcBr7tBEx4VV+CLV+6Q2UjT4LIhkxmGC81Lde/ocj4Kq1je27Q+EC4EF0BWLkhQ0/LNDTOs
EWkshucfIS/X8lcDxKqyybL6YMZt0mxl73rHHsjiOSNWHFmAzEa8TvVkPsPHF7ReNfoB8m/5Ar2u
5KcWk4deUdRM7VuzGSxwvl6IUjUCHRJACM7s+WUIEROxeWB/K97L3vewckJf/eGokR5RWnJ8GfsE
ZkLH6JngquEBsDnLAk8Eh9SR9qnIM3AJDgAuJuJxtq1J5WO+p+imQpS7W9sbllgnCITKRMK4EhOZ
aMVUFUSMgJEg9A1c7hTt+blnRJxZBbqAHowYAXZYdVMsKIHg4tus6AstQC0xQXfXhtW1BMjppgLY
EOb1JpoXAqecY9Na58OI/w2XAEMUO6rjTywI0SNAiejKTNlpbWstYBYY0h6eUfhjMK1tsag56rp7
yQWiP14RbVgr8LG82nPu1OdqopvdFWjl4BbMFdAXo9IsCRwOlq5zu1tUcSjuJvZWR5237XNrEhJD
5s9HmvcJsRIN53SfZXCkfHRIW0RtCDdnv2ZdbSc3s2fPBSTDsX+SQYjMDDL2i9UrRHqFgy2wsw2S
tPwx8Ix1zioCOgxlyTuBc8A8cv3O7lMizC368sRV4qTrMMnqD9w+avHAdWRHFnoYbuKOdShetnBy
NjSvCZJl5IzRGrg1kht+T1dh+s4i1BpJaMELM/32c5JtqdfDCDh6ZlEQyj4/NHlTnwI3Lu5yPilz
RezkHG/yIUs1MwXRRocy1/YOK6E2D5AL/HadkKqObjNDz0a6CqtwfntTthsezfprZCB0MrFHbqy2
ZftDYczhRD3/vTB43do5jsdNhuQXKlBrSvYfnvdNV419mVSJR9CtU/vajEr70W/6GnZn4p28JMPX
HylNAqhH835Xaa+4wyugHutJQefwE5fHR7V9JnZTxThr08b9DTAQd16TAxtefKsz8w0rBevLrEFv
XfETggVxe4ds0MibvBcNnqfkgrLbG95bJz8E6EI4GAbHfeBsaq773E9uB/ChO+FZajMGdgTF0mhQ
s2VGbERrZhPWzqjL+DqZAvXE9m4ArTvmd2ni4wKxa0hDQxmf6SjgBs2WdU44kdYWkZaXLjTTx8pH
DUXX81LBn3vQzIfOaTbZmy5NxKF2cvOBfDDj007KkdYwtLsNQWvimMAjMpY8tuCBPYI6qzJ+KDGF
n4NyYnk1FViwe5ysZ2Yx1jpkPdqthwl2zYr7bo62sQlzeKX52OhZVCLZX2XeuDwJmahQshbBbkQo
RUqTSrs1QvHhgL9RHUmeiA59NszvWWQx+0dy2BAXShNewoe6zitGpNXgxowfSaerQvgsHQjWIGbw
ptw8fgu6SW4ge6b3nhrIf65pc50+Kna1MWC/9DwbK/AAXRyfpiDhp23t5kaxy3jNUB2R4WfZo4ea
P7WyHaNPSbYqDAMkbR7C8ijWDzUTiUNhNNGNn5rNVmNU5Z0LE+BFZWqszVaKveQAWpdEOz4g7fa/
SSMTkGjBR8AdTz0XwsvQvs0k5d14LWLuLScCE7MyiG5DNkffTdlVZ6vzoZfqEBmTGfakfjrI/9fY
lq09qSuQFrzRuyVOKNRXRbtIdsDSZjcuYpc3QjKDlw5t271Wlv/V1Iwnl84XozajHuQKVo3Ojv+m
QajqhF2RneNRsotB5s1gx0IVdGhajcxKE3QGLcthCAjq/JxWhLswrGYBiHTaEm9uT9G80UkYXVzJ
ZmU3+F5p3I5OE13JMJk3uNGDYC8ixXyTEMVpOPoB8+mDZiX/1Bu8kUUe9/cqrOs9o1wLu0SE90I7
LXibzuB4cAsV7vGy6heCz8pvDcBqf2OHXXzqarO+ciM2qQvaNrlWk5iuGxczAcNyo/tGATuQbcRa
9DmCJhqusqFfGCQs/h/o0OonYSfV2W9J/hjdZr71OpdYc64tOW6cmjDqVdPEc04yi/oopazylY7s
6dbokQr6VWHum9kfmRAOGlB6q9z3mQGitfCbpzcd6Wpaw26l85yq/kcCEsHbAf7qdgOxJ4ekm5GX
p5od8M/fspYKuYCse5LG1INIkDcPOJyfeDkRmsMzrM7egGI/qvNHPL/3GWaXzZiF7bVPi8k7G7Dg
SGUPBiJ3iJAhzUhvCmHzxQeB6z+RWMANElSgM9fQQ+H+KExCl8QN6msfiTJA3dJl7ulWNzQvGfvB
KXuGEIs2xYWH9J5OMwKR1HCa9Qj77xbE7bJnyfT46sUsrE7lKHqo1L7FRDoqbAvoWBhOBw2R7j3I
QrTQmJq4rkhWRCBcEd67shvPv0U5OB8sbq5PA+3DZxgiakdhnjIE72bTazZuzne9cnoR23u79ONH
8kLtHZv25Hk2jPme1DeCsokB87nbov5iEXBzrwhRgADXzec5FvpT/Lx8m4BVJB88Qc9DGNwjyWhZ
CHvtjSLD8aEZCBsAX4jBIe/dt4jATSJmpReJrQn5GLg2RnYgRba4I/yXbNQhhMUdxaTdIwxw8C0A
Z0nTQ9clS85K3XJo1CXx6VlnO89maAGn7mrNHNaMm2FVm2b1Lo1aH4j/im/Krim/xflQPzX+HH20
teMfsiLF/GCxV1uzCAuPft+1emcBBsF4QULb0fDlbBxTlmcHW8VE+5A2i4VpivQr6lQC7UFKdtdx
JPJqn7qexvRitck1LUF8cJvBPlSjWacrgs79reVE1KFTj80jwnZUbUSV42VMAme2WCkxDC6gfZ3y
PIEx0QOlwb4VWOWZOOD50GViqW5El+wds2Xd6hTEXg+GZd+HPJkH8MvFD0I98tely8YO34k823RS
GN9NJojnHHrTUzrW0zG1BJjnmgt/7YhgXldW6/AnPaK8wbDLq9acquvSD1EYEbFZgjXOyuQtL7Mm
wpobh3d2mfMrMCVSBLIRrPit8/OvhqAdweuS74cmS84G8QEsnRCyrxs00VdhNIJVoK80H1Ap+/eL
NnkrvdmWBGl0bnqV1D0FSdmL9tRCbLA37izlRGqvW7GDIUard4oYxUEWJculzGz10OiWr4YyHiXJ
dNWjsDhpbqS3OHXZZhTwgMB3MW8DNsJKS7Kn0YBK2cIgmoY8UqzS1sUJ2SRkAgPdQzxhyOgKERZx
4mk/f+QexKR5HHO9lJF5tVVd1KBfc9P4CFKj/RzDtLxBcclJYkCL+VZjPnzMnaWn0EQmbCCQTcXa
9KzmTnaWuEaauxhJ4OH0hOoeC2b0NZD9fLxIm6n1PmfHfTQA278iu4uhjrsov2CeoUwVAFjCJ9WN
6D56NUD9/jlk+88w68+GWQJX8S/zyH8Afh7emumtAMX7e6bQ8eOvf7F+/zu/z6+U+s0BLIzl08Gn
/CvzUzHZwpK5zC49FxOzyb/nb/MrYf7mYfnFerMMqKRQrEHastPRX/9iq9/cxdGMvZr51vIn/wZs
wFF/nPdi/Sd7EX89juV/MjtNLe76NI0KYh4N7w7CwaCQzxT5rpiT5DmEaPHChp7MWzcDveHXDFac
UXIep3V/ALrpHxNElt/RC0QFpszEv5SdJ57toVC382zKx9gJsARhEzlONG4/ytgQt10TjjzdTXhw
c0dhSSDtYFrXlpYfKSnZeE3rTt8iA7YfSLyBzREjbviapgoYnedmDzZysg2nGL0twLFzWwv0zIAd
mXq5+TGsWGe7VZBcyCVpTw1X6AUqTXIDcX0Xg59EUUIme5HXwDx6cnySRCPtUVFILCICKpEAMUNF
FlCXORT3HLrhrQ/Wbx+3ccngLs02Atn9VjBs+k4RrDiME33bwXjeYAzCUY1ca4pd8xqiWHUjosg4
jZkpdygF+ltpEwxLyZ1+77Wpb0oNJChRbnFb27JFUdNaVDJ1f58VEGd67Zsr+Hy0vp1zG3RNRj7Q
iNaekvvFaqRgalf07FttuTXsOr0jcLYBIgCriM574uLT85ufcw/B4EJ8DeF6Y0cNbcGsMowx2jk1
0rRR/lVfMLwrbAS6qWMUGunwYuoxvOg+HJ6nKGgf/KALPtk+zAgAvbnqV6hwKSknk4vvSJJF3pJ5
HpkvOYsMNuygnSq6RDW+JlM9yF1KeXQuvD64jr18vPKJ89g21UAgi6RoizckTfobgj4miWZVoL5F
01GXyDzn4trru/zLmkbnEPQWGiezJHG9acviWhAxD/vRITgXXfxG1rm5bmP1NY0JctOIoYbBAu4G
SxJ5wkahn7Dpo+f0/O5J9Ul8odgON21t3DMUrK6SfrC/DML7VrmJT5pKpe6YjYQTdi07+Ygi79Vx
VHBTNYs5dVTBlZ0JZ9MNxQLMS0rLWpI1IPQw43VuWEwn91HpWZt4bqfTyDzgLme1UhopKRGFtQj9
w/4at1Lx1rQd+zFbDocw9qLrZqqWoWi2tcMxOJRGiz1YEKf0bSnu71DlTbhC3PFEFgleWNG4HtGd
vfGsYie+hFVG/mQ6DK+575pvQ0DoQIS+fYPAyrvCkdxuYh+Hsut8i0ervhf9mK/9LuvfElHXF2cU
0b4pO/FS9VUIX74XS2ERKIsUKeI5JKvkaMP/tLoNWzZVEAVleEUlsGRyN9WdM8btGTFI9RT4DvOj
KEeTbdc2Ckwzr1CF4icOenNKAB9KiyVyboWkOOXizhYOqB1yefh5TdKiVr1tDRdaSnWC4DchuzDK
m0ARfO7qxL6LZwrHquisLaV+c2p71RDCApsPu0JVuTdpFKLEDjKwZaTtWJ8eC+7PjunGDbqqsdkM
eU1hheI6W5RxFRFMbYtlYnDN4TFukLfu8a+Z2RqAWKo2PhrTTU7PRCSzSIhTEAvRqSt658YuFKpH
JPI7TFicg1CLTWdTEf/jrYsEbAFjsT7ezcrwbrVn1fOqYY31Ao+A9S1DevTxqbMEhkxzyCyU3psm
vonh1JyaeYiudTyWzwDqQyRHKBK+jUZffLRQJ0Z4X6H9KhsHt0KBWeKFYnppVkSKYlYVVC7pinxa
9TIVknYzMoT3yObEuSXkYXhG8TUXJzbewqVSLKejMZhOsWdyKqw1aEGDef1olyvtVOq5Y3jibf3M
a87mQiETSAE5tNkjcDAC9CSvShcjOY391KFWMpk0FLZvvLjRyCwGmgDCv8lqCcFxXeZjhzi2q2Yt
TKO+HbIET+s4ajFuQ9ui2G6NgezICfon3kTbKb/Hbo9Ba0ARQxgphr4fJp0f/UnnuhECQMfW36vI
NK5UM+e7Lq90s1RjgHATAs+/m2GKnhN4RPeCA8F11mR8FVTH3SDjbdpOEThQg9Gn2ToBApUMnVAo
hEMxyBDiBOfRPVqWRpzYshn4QkFWPNEstHs6lwmdjgSKt6J2zu7jVAVP3eC3N5kvv+rJaN6c2L+X
48gQanZQMq1wybk7plb+qUN9+zp5PfpQySb1Vf60rC8Uz6PphipgOYGFMWTIeB+k3uydQ6xDTPJl
bjGgU82wAyTBL9CoSO/TzNdy5arJHZhQ5MkjHOXxqg2m8GISrAfAJ2OUh5aU6dVA5/GJ/IFo+EWz
tCY8wtyS2OvcGGmPlAqaPj0SSjXnaBgZ733Di/BcwaF8mDS1OF2wjbHaKngAy4j5xB6AbY9WKLQe
O2BnN2nuIHFJDTOJtwVZT8+OwpaOpMrLTwwpFpvRHAeEf4MaPZVM0J9g5YINiJH3VOtA5YOzFiRx
t+vGbMG0FXxxhsisYoWJgR8QN02GPpEV7mqsk/m2MHreGB1Y2RNOi+6KM9R6My09PUEH945Zgb9h
Fag54ewtBBs3/q9BAoN5ePH5+9/aHgAbcyF/2CvHMV6wHoxX9gTYmyaPS68fHeZbhX8J59F4NCs/
+yYF6T6bYXRYqGlsHhAFAhYQpLR8cujquySQNDRAD/Wl7+WkN3TB5SvZ79XRhw1PwoSoxHcnxmW4
4lQ0fhS1nrBSEy6L5cUvDInHy6NUAKGcvaFrnau90fesGRAa+dhQ4rKp94mdm886b4Adopz7VJH0
8id2ewxgm2lQ9wmz8nCnBpSOTZ/MeNWZkJ39yCLBTAeu3a5l6AxXgc7FykuS6NugI/CIrUe6bkNk
jpXM2Q++K9gb8+hV4BM0t0Cvud+lNd+nTYR2PhUluxfAxrwgjKfKb4ZaxK12bZiXKklFtyYKTV33
0ezmqzFQKsTk2PjdtYJyPW1TZj56E0SOvqMV5t8+IEBDrJRGwXPgjvjQGfHQa+IKuyPmr7p0iNG+
6SH2ycOL+d6ThvBIC2DuzTyi1FkBlWrvOyur7gcvYCig4TvtXAIOeePDOD/G0eReM7tFyyi54Xgy
nEkRNtRZO6vEMLUWfYr/dzY1Fa1F5hDLneTOxaNAhJ1X2IwNVXkxap/9mAWX+NZtRj4RP0trgidG
PqFKVjETldB7S+NMvNNj8mPhttcMrMeBzxerywb9bPgOjy47uFnnX2L0CftoBpnRGtq+TWeR3GST
g5DacLJ5n2BXOnDTVimUOovhUZ4s4vmS+KvrgD3Z1Sg12j12MTrZxHHUvjLqR1iWkY/0lVV+/hl0
iTg5gRH+mLWN3ydsZ/8a8u0tqyLzOM0MEP7TNP7e5f1Z0wgNH+3Y/4+pO4C0eI/esv86N28fn+3f
KyB+/8t/6x7930xAdCxyQZl4pvy/GFnl0FfSTnJgC2n9HjD7P92jWIQRljCVq6CV00f+b/dIYykU
bFNf8LiiJeKP/o320f4JEPpVM0VkheVbpoOWwhZQ5BZ1xC/qBxslMCW89vbsxAnZVe1UQyHAvlER
O/DOE8lxZUawGmrH27vGkGPjCvRGDUlwtN3a/uAaLw5cOkT6ke/Q5XhoZK6T16xJ1a6cXRzdiGrr
91qbrFnaul2jJAtvDbgu994iCS+74mcen24+AFhM+zFq1T0eTDLSI7OSDD5Rl68K6UY7Uh53k9/d
sMLOrhCzgbYaXH2s5/AIQlVSnRTmLq78OyAv9aHyw+7ZDWv/IzXcjjVVNIFqMIJuJwoLv1aWZONH
yHbmFbN8d0LlQRw9xrz93JbRwZE+UamYOfftWHcIDLIbf4q9O0Iahu3EqudQRkhRa2Zbq6HGhBaT
F3Ae8Mps/WSMLDSz7rRHtQFhZg7i6rHH0/IZI+y70aYhTrXXPcyt6bMZaL2zUDWuBtshTdd2y4Cz
PC7bCoIG5rEtOA4uliXbfO9N07hmh5c+I78zceyM+lSk9jsC1/4mSOOYSaVLG6c8QDjoMI9iahXQ
JBg2qzBV8Y9IjcYTWnrvqo5beR16bfADvBF297F1jK9+cvVNTknzXHIz3fCF83s6RLgGdbEOHVPe
AoVrcYN6pBiAlqYFNb2vUQLUpY5jxpzBLj7V6ZJdxrkJbBk974y1mc4SdjMPvOSDMorvMrcTEOpQ
UyNAP8+Af7hQXTbxvoOZuOpSa2m720Nlx/VmIFp+74W2opPTzqrvnR4zKYYYxLbBxaPERqVg5Q+k
qGlsQNxieo7Ey0gPduhsj1m1VPldnGUJ+m8vgvKBUmPV2DiKVdBuh1ThkqWm2uZO9AnOPKByKyrn
1rL65Eie7Yov3byutJlfD+Xsf2DMCR9HxPrdahD5BUFzdvKiwH0YCubIqxGSCh0v3s2hMu1vTDfM
ApirIUH0yoY8r6arPoBZ3QERMtZWF1Y7JBH27SymHAyJOxL3keHAd22e2hj59mMGKKnejOSD7Qzi
7Td+Ypkboym61xkD55XhedU9NbO6mkGr7jARNisxwpyX7QoTTbOvIIBd0mosYShRFDcGkRzNlGwG
B8sqsvbi0fIm/zbit8OahM6Hcf1Ae1tHSXirSzM8i9mSiyZpQW8Dh4WOMOBpaAVEFJgUwCumxMJt
4RTvHshynwW4UR/YdMhdM0JjHZtFhF++t9Z48pBbrQ1z2ODTMXZNOdzkvagOHrTlNZuwBxDYoCcK
+1iBRUeQGbnGn8ANxR81X5x6tik5py3HQi3pLUO1X069QCUQKVqOA5oJO1r1TgkctqqKAkeeV1TX
lPj2esDhCM3+ORszEaGbaJpbOVsQa8Og6K703BO7mUfoDqIiu/KJsc/XZDmm14RaFs/ILJpdq4ZY
gM6NZL7VujEDfI5zeu//fJ/Tn++2iIjdO0JylO6RRBxxgipErPXQC1lsO2mkr79cU/8E16eWiKK/
E2hbwsZ5gdAX0KnL5fOHE38yNIPENIS844TAvlEI5an4bnjjKyK+ZGVhiMOdFtbXWPkUSzC+453X
jxVPQ1MBdzFCp7G2zhyxgwKUQXSnvdiwk6z/pFJclOrjdFT1cJBUfrWY63Ftd82rx9qljKh4CQo/
2ZntrdM0fq/rEWEMCI4zIL3myMC03pDi2Z3QVkUnu85zuW7Tvt6mTSqORd8IF/GMqbd8jvY6GHBI
9W4f7x1/zM+dGvxXkh2L16k3+wXzUPywiXm+RYxR37I/i3bRYOX7Ug/qucR/e3RzEZynZXnKP6pd
M3cxNAMRncYejBO5Et52ziGeoMeZ96U7QCv3hukYAu4iuFXqYBdqO/w+kULYs2skvIYfe2AAmUa7
FFThflEp7FIu2W0m0o6lDWfktmmD5qJtB9ma8KsLJb4PYquQXy4Ou02s0/Sqw7qxGisnuaJpC901
UhznYmjHvvNnz/guWhZPLCRC7hbUEZ81yoMLGB734qiyOEdB3Zy91OlP5pxbB2HJ6DqozQYXvDzm
jbfRfeRtVNnode0BaMFCazEgG6B1jUOe3vZD0dXAwyBRRf/N3nnsSI6sWfqJWCCNNCO5de0eWmfE
hohIQa2M0vj0/THqzvS9LYBpYDYDzK4WlZHhnqTZL875jsdUlgXOvGMIqJ8GQdInQwcK3doRXx47
0+c68uoQfeJL0mcTYZCLnCAQdSyqgCFNNwu5T9eL7pOjnXTzVUXG6XUZEFFE4Zxe+9LQqWp8pgcN
zC+CEYBYxtZjc+03U3THHKF5UAy1wdc77EJlCVBcEoGx15rAayTe+f0wJfWNIqBql8C2A+rsNhcW
rOEDMCJxLlrEfpN/Jh6YjKbqzgjygmkq2olVlhWbm7lTePjYK20zroktOKb7bj2zYsXpFa3nmBs7
yUPJpvRPsJ5wGBecbaFJvJy02Hgw1jfgsOVx+T4YkURwSHJSeLthPTn1eoYGOuGcKVKxcBAkLOLE
et4S1FK9zOsZrIU3X6qp5sxtRGt+VNEYHMRkONGdun0cQUVdLbYzfEiGW7uaWGSac+ST5ffFkK13
hL/eFk7hkPWTr3dIS7iedfIZEKXb/vsKssOGEXlomZ7ZodP6z8au5R2ASC9CgcO9xswMn35QO7k8
duyNL9bYkGG03pODRohAIgU3aNXEwdeEho+rgmfa5Z5Km6umKHE+ND1cihr+wTFKYBzt9PeVvtgs
6mJjEcxMhPF4cHAw6Q0KtvDB/64azFpAWFQSy1pSBN/FBXk2GaoVX2Ljp+5g1buJwqRllb4mfqCE
CaA+DfMVe0/4cqE1nyPk6rDcyvLYUPrsRsIJztkwiH4zBOz3nTH0thWKmXnt9LBiiy47u33d32Rx
Kd6SWnm3fSeDR+zSUbnRiPjwK+rwd7s04n5mpveTDeZ4n3YmfYEq0z9hO5y7XYyXC81Ngrcn0ha2
WcY1NJvhRAISe+NbZbkg4izM39R0cIAmdoFrzrOQ9yV54lhtm/K2HyD9bJrJ11+zHn/YzD9XZtk6
2HJteSijwEEiOSbPfswHz+gazghPYiaCsF2f45A51gbzirtH/mrdywX5ka9m76nManVPxK3cIuPk
+SihH6MzWr2+ti7OrpVm/a5Mk4ok8TEAEuc0mF/COetuFNClvRqnEJ5Fan/N4TL8dOtqlXCArGP3
y4t2mKaFJCXFtAtBJekKb4YJ9hGyFW8x4aDphTwK5k06sC5hO06nMpvnC7Io9R07i8W2VTGZWpb9
7szB/YLG8RkvNlzV2iqOCHXTC4KsbuZLC2B6GJF/ZK5CbWrb0sU/VvZfMbOkj2bou73te/hR6hyt
jIq+UAjg04bbB1OrUleiCXn4Lb8vuMrt9MHCdQDiCeIVafRUgZvJKO8+5WPAyiNETgGIqGFN1dmC
ANhi9glBi26cAsDaNaQzHYK0b/f4UOwfdZd7l9F0w410GX/EDtNkED0g6qH8nX2R5HyAKmj3AQX7
nvWM2hShuqDN+wPS8ssAQjxygcGLDqO6OvtaBrztRFdsqqyNH5n8myMnD4V1lNuv2Zyi0KzLV8dr
xA+vdcBPDkXzhusoe8MWqX+TxEeyFhHLp7FfPkjFenVVgXAky6Q6S6++QZh8lzHBpujHEDvMs9rn
AXcFrxVJbXt7hE3C/LhW9pVmFHIOAGNu7SiXF2Z67mnpm2zvaCTCqcVzasPpu5onC9lboqKfQqfe
MQZxNm1BN1DWLxW0tGkmHgLh+K9hSKIjK2/roBwjrvGPp1eNEcD6hsqqgdqO4jmhf5m3IHz63yNE
qGzr5l1wXbXIU1FHutkTfFsWE8vU8aHKvDygjmtYebDKCbMmHHkTJch1kHmKnzqmn0U6eswPG30R
JLzw/nR89rFYAUAB4DgHR37ABzVkzICn9GhH7nKFxLLS/rKfwqIjUXGZaZxcAgugSZ7nMBTHVPL3
Q7fxf5RUgikhHSa8KcPKkGrn1gfXGfwPxLHOUYwpONfAglFVFoa3Vhsbh1iVZKC86u6cFd0727mb
xbf/rJj9/ehEzmc/Wv4dG1uux+a5y30E4iLpu0cRa4MKIwUWk7FT2rhJ8Fr2FUX1wN2Oe8bBkqin
IyjgbmMSdz7ag2KmxArzFYU6nKsIBxTBWKPmSBr7XeyJ5qHxoxLZPitra4fXoH9mPLE8KyKlmy3s
z2FLivE1kFb2huQjFvfQQsQNXm1Ci6JY3bBCEg/DlPZq5yFuqI7Ifawncirde0TZ0x8v/4q6BZtR
Mys0kkui7vAreied5pRFVnVTMt3z7FbtdFdEPrTx7KjSAbXeDKpNzp21K+Uvg4gtO+BiZBdCyl6F
9cJ3dg07yX5ijExBeNWL8Vbaw48g/6gXBEox430mem0lsj+ZjG/zvKwOgW7sB19G7TvPF5cXi6W7
afHjqyKpmh94E9kHwG+35Nbinj0CnR7eF9nhli1D9z2yc/mmWCRte6SK544x+YWbILlWRWRtSW5a
3YQFfmnE3PjZ43O/CuFCP/U3wzwkD2xy1aOxI/OBYGjZWEFcnvXiRdslAxniV7ksTnBG5cJ96s8/
GPuB0Klqx92SsZ2cYk+W5wLR1N5jvMsCOZyfwH81R7Aby9HAfTnMyHNP3ooxSRMqWVNEZj+mznyi
hrTJH6kRqOHWsKN7WVTN2WuH+RBDzt7nwkledErlNwqMvAx5W5JddHiKiwIAVJ0ijkojezjwO8Du
ixFOj+Th/GhHs25Q5xgEXFo+xsTGg4iCgnsY1ws3UAnLOCd/KRDVXXKvG44k6lCQ5clyGHz4Bju0
F8/wALr9MjQ12SnzgDbOFA1+99oX276wJrUtu5w3MAfwyduP2myrBt4sfpV624clf2LsEfOYCFs/
8AC01yy7fzZx5Z6SnBMickvU0L0yvCopUGbBlLuvKr1xgjwDZFxzmqF3nLZxLhG35qyHnSi6qdhb
VGHyJRnMZPkK4OJPJBFOHpZNIif3DXEtU/yAvDifvOlCLubChK/aUT480pdvRQjeIBcYPyHsRuVN
QtoQIvrR3zEnWPagKdH+i9SnNw/yAtuO9PkKIuc86dr5xQYX15Hoqj9JhBtbTcQQB66xtq0VOc3G
jdiSVzgqf4mizt+Bz+pig1o7evSsMSRzVBX39CrQWVIJwtsoJkvsdVEuWt647eO0eS+Vi5C/Keor
Iikz+r8GLzmrlxNOmuLojbq9rtyqO3UQHZoZydOMRhZ/RLiwFM2cI2+Y+9LTrt33FjFRFZvcfVoy
+0iQPzg2IvE+y69qIS9zdzIB3ycg4XdUIlsWh8EjhLKQAbmfvSq78M5tXhTXEEMDfOGWPEdTdh+D
rB3+nm7/t+h68V+1wihRA7bF2CXt8D9Yv6asElEEtv9oYQndE+GlfmpkwummlRWw3lDT/7rFHD/H
qkLZq1kvQZxMGusBLY35Uv7S6H3hyWRv0mxht7DOK5npuBPsR3sAe5gsHuGq3xNOm3jSehPMDAhN
rYJLSpop9Fw6ROtvI+z/banX/0Ohzd6a6P5Pg47/JOK6+Uw+9WeHSuBfhFz/+HP/MCLaf6EoAjND
AnOAnitg8vG3EdEXfynprLOQ/yTkEuIvW6DswrwoSPdgYvK/R/GO/IsZ/OpfdJnDu8Ad/yejeGbu
2B3/ZTLzLS7zHRzYLAkhkvOJ/3kqJQbDOFdY8970DRQ5hRRkR9oda+0l8f7EeR8O256ODxUmfa/e
BPGIL8yJbQcxjm+le6QTyFOrTtY/SuOF4e042Ov/UXXip9syDELHQl8wezbtjQ8ccFP4TEU2kZUV
zYNE0flmeTKNn2zjTfUDspYCpUnGRGIL9ZFRn65UJHagWrTeIYsIA1oBxYZfjR3L4LAUJRB2UQIM
QW6CwbuWVXyPytb542S1t89mJcJtS3Inr/gq2QFGI24BW4/lzkkmD9VViqz+btLNdG2zw+XiL+yO
D6CnC2G/MthpWY/RLU4mP91UQWpjUcjFj2xcWQ6TZVNotr4gYHKKlNnMaZLSZ87ay6690XW6LQCq
hIMun2O9q8fOy0AbZcmzF1ilOmiGFPbOCGo+BnBZmt11rg2vMZ3Fi2pZY1u2a+ID8/qxOHFpT/lF
z806qEXECnjU9+hRTUe1uCGgxXsQvZObbYMTYWNJiaUzQ9dGVS8AKXf1tcMo+oGhRvPeOdZPqXvk
2hhCV5R+iH+TILIOou2ggk3oFekbP03BlYn1PTOJANBz0UxwqapiAQhtx95jbtQS31RxNEVbFpJe
uJkZ3qFCNQvBtxN2NWpQZcvlxut9vabXOQ1V/cQRddIyzN50sIBGHKCBskvQswm3Mk1Z7AQIOO6r
eXambRow/b8OMOnk8MwKGvF6bJyT7EOMYDS3eXi2URI2VzlAzJxr3x3GvQQ1fsIR0vc7Qn3BfcaL
4L97ZEkGQUaSRgd8FmPB1USDvE9K9uv7xG8Uw5W4mZ879HfFKZtd76tBa/9SJrW9VbHWv+ouYqDM
U8c6nuQUo/ej7nucBw4w7UTbALOLjlE/wq0FHL8VwCZCTaguZNm6Xw3moxnLzBCU+wQxANhXYJ6G
CVBcX9wJnw9WG51f9zpNHnTq31OZKSAspPJt+6i1zvHgJJdgmnx70zll8xaAdny0Bla3CzHoV6HM
TyNbMbQe/NXiKdKjBJJVpL14ZvDsK27GvG63g92Yp7RyESQTQXtDeIpGAkJJ4dzpYW2s5zoX015U
aPZOmFVAUmah7k+zV+ftDpRF+d5j8rkLM98mjiNsTAOWLMSpYpGU8tyapMESK0qFK9MiyXKP20Ne
e32VoHGKDVVpZqzYuRpczgRYYqV3o0n/8HbM1QzCw4z47z6sSVX2DXBb5cTWsnXo2YJd3eLLZO8Z
vVpLER0X5Erbcq6rX9TOhBDoJD3EkTe/4R8pt23HlO3otLp8N0XMe9MQPHJHWIjeel5ZX1V2MT4D
VaOAYAbMWcAcAnoRHYQOJbxAD2DjaRjrFUSEWmCT2aMoTxhYvBenzLurzkzxh8xFEu6Xvi+ih3xO
Mef5bjLScaJhRNsUJ19zY4GLzVD3j5t1psbjUUAsVChcZ3jlKCNobaxNwrgXzJCvil+NTPTFRa/k
4p8OltfBiauf7YiX84CxbY6PxDXATipz6gUfg8zaQE63SUusImY11OYjLPPpqZnSCIy9NDNS9QIj
MeV12ToXJaLmQtJiMRBdx5IWL54NAgiEIusPsOro4SWt3NuYGf+uGql1aSWsD/JL/eolyGg/kLHw
omxCovl2kVXjrkXQrIKfRGu6TB0X9yg1sVRV8raklv3VDwX2SAEay0tzjUAlwd3ZBQo4O5iZXQ3K
1UZXwg4VrQ+58x3GeY59fMiX1uCKf0Z3gwiH+QPVv9dGj+Uq+8daxDeqxOSPe9Je2N8Wq3cA7ofv
bQZbIAEJfOlZV4BGMlxPUT2ilbSH/MZbXQpBzJEDmwrvAks/G5TX6mqI0jx+dgKOud0Yz06/CrhC
aMOy5UkM/7ZIxOH0EpoFByZbwBTaJd98ul8aTz0Uc2tBDTJohbfY2yjv1bc9gzSH5jH9ljRyNtTJ
NmlS2rnEooI4p9++jxBQ6h5WWB7S+a7GkD6FNBqtbpGhcuLzPNdNimkhDLsT8TQ6OvSr4YS+Nf2l
2AC+oY9GSYPUBs0M6cY/GcwVCIx8KST3wxDUO/6KvtwiMl3OGPvxvXRynUyn334YsHrC29AG8iVU
SKrtCQbkPSmmhgJBu+5n0C5cdIRpN88GHdtNzbSdFSMA8Q5/FkdriJCb8Dk/Lm9nVaeP7mrtmVaT
T27iEGTvav3JShLgUcUM3XiTExT9PH47hqZv91Cc67Y5zWoIfsObMqeSSThNdkIhW3+bkGriphmj
TfFS08n4wcZJ4djeeSabzYnYiya8N98uJ2vykxvL1eG7kkY+QClBf5nh0vf7ktVlmF7RyvbJLqpo
PV0OuV0UjxZpIfCDg2H+yppi3KYNZ6Yggtb9QG0ZFNsYqttbnw7un44ZwCbx5voztxYH5ExL+Lg9
r5L39QKAap49kfvNbJMU3RiZcpltx1mkj1Zb+ReG4bY4ji445jJWsJiKTG+APMWYgCOT4KKKgWh5
LdQCv5XQW/xouVigSzEixUI9eoVV5h+J08egZXMglnWynGZks3j+QjiMSTMhyCz4pY9ZXDMYxiHZ
H4FbTlfE2cfe1lZTv6/81Ph7J0v927G1iEUhI/yXN6kEcoB5hv4HXk5ksZdu/VHXh3RuPHJuFLg/
hVyZhTZnEbRsdxHjmTAN9dVaScOej3Ai6zJm2dnxjDwKHQUPCFdLxPKp80yARfMhHcZ+ty4WnT8Q
bKqJ2oBm9U71iS52STZZ6iDFwi7WBA3WIodFxan28vkrJvDn1+RV6fhaR0SBHVUNeqolwE4/TJHw
/b2ANhdePAyw/XUaOnyNcRwOhrVJ1Pxy42JsKW9EMp4JdvIUt3MuUL1DoA1pad3xqbWDZdyluVU+
ocpkrF3PqlweXc1WpGvy+iI1s4dVB2kejO9WNuvE5Mbp5/SUsluCEzPrnqwbrqy+6Ev4Bl7CzlEw
SiWEicHmfbro5FwGcXCpMmKmonBy71geIxMo+wkk5cyINKobRsuwKrjLqUF+IdyfXyQ5IXuWjoJV
Wiyoouvg1bLQsDBLhgp6DqpCVZ/kEoTNkYM2fKZLZP45IhwkzkFXdwN6mNcBLs82c83kXLDY4RoU
tV/Ayo+dN3bYzquiVrvtehkfwwJn+A6pniqP7MEYdtuovzbIHJqWCSm9JxdksePKCqByB5b71kfd
p9BtlJCaXcD8gyrY/Gkw4b85ZKbiUoWIZ21Rv1BwWKmpXtuYDe5U5wHKfxUkG5t68QkW9SyJiwhb
8WOZvHZLBHUx/ey9kiG+5XEaR4TmUJN/OvPCrtIkTxlzpLOFcxL76yzd8NK6QahO9uKMyzW24Nwc
wA0PGfiR0RU7Yn/8DFrA4BIh1ZBLe+C/cGra3CVsA0GvxAe4gOyi/BZR7LAwnuzaDkxQit36CfI4
PmfhcZUnJm8etSF4l2d/OS14DZ0Ns22HPf0yDMjaU6C8oF+v7KJzD8KiKkgL7zdAebSUDREi1I3k
V51BrprkDaxoAulSAKhH5KmpCBfXdm4a7CP33oSyrwRHMQ8sdVtk0hdEwfXetcExj934kTMObQ/I
gvIIvL8PqdFNpLxt57B/nNDkHGMhCMHmuyWXAIUEBOkqr09gPCy1y0svTfe2StwckaNlvSe9GqxL
ZjVVuMH6579M7sgusMo85oLwOOufdhH4pNVy0d5iJqc5I+swh0QbMh9MzRwVhzoNcXxOcnnHATB9
CH4LtcsmhEzbgO8b/COxt0fP1fMH+UsYbVIn9+5YYtnPFLicsNkyUqwPOrlEbj3/BkQNM8/4xVmD
101PY1h7NzQNQXRps0Z8MVBzdwVgRubyQ7KQcrCEg94u+Tx/zMJAFRAV0Zr8K0bw/Nq02RISBuPb
z2Hm73mZ0RxPJFl98fqq6y4HIrdJHJvbffQqgqsJO252I5lEk92yzSA8ubwTNsXQnnV36lwgmETs
36vOdndxamV0VbQ3akuTC8fDy8WH7LnAtnCW6V+JpWfEbgb8fzRKoTIvOuocj5mpG2aHtKsg9LRa
nsdkcN4JBgl2XSL1KW845rG0ahy2yKeO2AXrvQafzcA6iDNYcbTpWwPcDS4k6PYPHKvRXeyP8qgc
nbzqNCiCXcwqMD9EKNUfWJbjEm1rPKa7joyBaBPFldoH5bwK5qc4o6AUMXWNTKr5LmiQ0W3jPmV/
GwKZd7v4JQlDRoDEPoabukLkWjaLf3D9FAopo/yL6ZxpE3htdW7mtLn3x9beNVohgOJuZgFr0LI9
ahRAbNjgyexSRqk/M7xZ/SEUYa9PPszotWXvfxEwOd7NGucMn832sb/Xq/1XzMb+xLBg7wr+HRj+
e8sj8mF200Wqrr0hUQ8w5r1NyUDzph6Xq9gPZb+Bvojjuy3HU+6pn91AwZOzWtykopqupoQuSbSo
jrKCindU7huUhF88bjPfMZafQaW/ihF9cMecd1ekAd93RoU8O+rWK63mUsqOX2is8YFzDR9wfsUf
1BTAhjn81JOXf+KskPuU54hCv3J3qZHV3mGOjkHYbp4iJGBHHYx6y8G5q4EZH5208n8NheWcIlt7
Z1BOp6UKGCsr4BC7ZgbCkpXafdKOQ9wdYo2vEPjkFQD66XOA+bnzItDih7A39nwqcsJu9hyS089l
UEScYV5uoY7L4IKEkqKrZWVd4Ly22k+JGdnsF9XKazNgGatnavpcuT5knmY6NWBzeUya/H5iUnxL
hh/ZNhBizfU0j1SFwdQvv01GDBMDowqCgVcGz0YqBTwSp4XqKo+euAiQsOX2TlDJ/y6sWR91335f
Jj/asBscsNhyuOkUhyh4pTrbNljVo2OJufjUO+ZIEHJ+rPqExCt3NfXlqulfKHfZ4hemA9z53XPM
TbxrO5n/CdwkPEvN2mYy2fJOApd6rGrEJxs7AaSCv85g9V0Hq6nkuGRyc5R1cZ4EwTmoVdTdkLMR
wcgBwkXIuqLYsUrv4A54nGO/l9djQX86+IAwUa9d+Y5hqmtLXz5i9gCzWOqZpHRMybOdlAiUqvwH
2Af7BzGVSAwGBGCTOzl7rzLi0Mh1fEa6b1N5DuYrI++TVqq99OFrI/vDHmCGkzv7pIbE09Zrfe/K
SOFQSIXLTki33VdsWOiRx/Rad7G1H7mMDyoEPOOruLzmoCJIaemDt8pqG9Tnum230AjSjXDiZ7Y8
aCJTNrXP2Mi6wwRAhucjHORdEPuBIsdImZuJpcmeE9dsarciCaWPCTlc4oZ1rZM1/Z5p2tkgL323
ssB+lqpF1oTLrXtZxpBqL87dt3bO7CMSMczLiOROjeLfHxBVj8exyOJLO0+UIVNCLoaUkjpnyf0v
zESfyuKDzKugBdVi+Xs0fnTkfKgfYX9MlEORdVu4bbD3oukNptO4GfAikhKZNPURM9QIQGzGe1f4
t42MIM33tAM9+B7am000yRTOkGZVbuvgt9279xaaky2yHTg+fmTulUc20mxB13Uw12/WwUk2W6iW
5qw/IxViNmUQJ78qUcp3+Y0cSbhJoCRc+W3fHA39BmkMFLa3eBPNF8R5YrLz2f4DStGiHwjl/QBT
NFNy6W/RSufTTTKikeNnJdB4ip+tdES3t9xuPlF6mz/IYcr7vJPi1I7o2bRd9ubBBmbiDYTkjkHv
wDtmLUslhc1IUA77FjHIWbrA0KZpebBdZAAkdOJnKP6/zP//TOav/gYdIv/876X+FzYLefJZ/foX
h/i//8l/LBf8v5jxoKL3IRMi819jgf9BOXT/cl36BQ+/2bfd+395xIX8SwR+wB9gxcS0X/67yl84
f4UIgCCG+qwqOHX/R6sF/xv6+c8qf9Lo2V8Egc2P8ySe9X/dLNiYYWMi8siqcjwGocVg16wFQpSO
+26QA5I+Gak3eCV2seu0QoDQdHlAAAejUGcH3sdbuSft+DTZU+hufNnLAwvZ8iaYh5WmkfSPNeQi
MAxrLAs0LfpeU6SnZKirK36hcld60ImmEKjejZHBNF8r9EdXTUxU5p0EmcW2DZ1sunbePohE3+/E
PuP1f6SRZQK1lAbDi/QRE+5n0ofw4PoJ0geiekCjwUBCeo79iX1lWEmqhzHKHkcAziccfKRVOnP1
Q1b1HG6HyAGa1+XONkfnvQJW3OHZJ9Vu2pK0WUSbicTi4ySBaW9ZOANWm6rSPUhPjTAb3danbKAH
qonqggae9isYPE9WSHgMTty+iDwiWoEtLSBx6BCRf8rY+NjEXGVVhV/bS/0tuDp8d2iurA9AhyE1
WkEmTR0B4WhJ8KMDRIlLqDQ5G1ezgOm2CwrTV9vyG5Ce6xWWzhYk+BFPENQLkU/4Bleuulgs90/i
rbB1q2+aa0py5I3TiFWul/Sam6ELmQvJZs5PzsputxZrfMiQUf10CRchMAOzGeVfO1k/utYjZTQC
ol0fvbZT95aQUUOTFUMAXgj3jWmKx+K5dgvab7u3e6a42D1qQC6B80c1aBKh2RHjtvi9Gx0G7FYI
T1YLX5rq1GXipjUNhc/2B7WEFV45KWJDpwF7KHTXgoOzGkLstD6h0WsfE24oWqeUcOhsycppV0iJ
Z1qWzafd9fOtPWb41ADJENjQ+PnF0r3YKyKhQLo1LP3TAM/AYgit7r22PtTSMYckzuc330Tmxo6r
kOlb3r3OTZ2+eWGGicBdAs5e/IfIe/rlyannGfwzuiOvn8dtjsLvLkM4sC9yDMteg8APz1p4GPhZ
R79AGRg50LO6rg/AtFSkZnb8StOixd4Q9ntDbhZjtIiIYqyp9UmUSXgAeF8dJdXHq2a6SvSE+6Jc
wF+2wszeEaHVjlcgfXnymR2ajQaH9RiO0sUSxyedBjvY0eF2V22kmQQDRH9B/EAy3TDMF7evVlbb
Mm5bOlRymgwSVqf0+P7RCsT3aOWXB1eMYL2qbL7jWXePjcjoChP2eH+CyesfUJmIXTZI52mJp+UV
pKM6FT5a1sOUtagXXAreVzQ04s2rs+Y1r/vhD0yV7NV35BndwnDycn529h0N0eW9ujeibN9bUXYP
1RoiMYURzpJW+OGTSAd7WyVFam8znKzsFzlTmL2hl95PrllQTyvxOS3YKZEJgMcXoo3vvLHId3oa
y685zvy7AMX4R7ZmXiTf8Rej6kYGoT5ExCZ1zinUm19+F4VUSJipgXRb0txl36EaoU2+BvYTh6CQ
YHp22SH9Qd4xNSzE7OJlaW3/wZTzinWzxs2c4OLc+tKZ+JwgXnZI3J13l3gA6ziA/acDLoroFm76
cDGcEY/RnMa/CUTDlKHG2bzl3ykiHUfzyf3OFsnWmJGcapi1YEhm8KbLhXoevjNJmDgg/Clk/KjL
uPpU2uPtHxlwb+o1zsTGbS22xJcgrXaC+VrSzEOYW/NP5qYPdyy8EQGl0bwXAV4RMDTsdrWBVeMJ
0EJeRI4KlqG22elCK2dHzNJyggsNEb8yyXAfOKTRkS3FS9LQWqTboBfdIx6p9ohoD9PiSAf5lGVt
uleKaGk7C9UVGsToMS487z3SZERU9hJ9WFP3ZDflfI0rnnVLA1TgAdFeXp7qiVg9WKsCUaIbD+d8
1gwGHcsInNzGvVZ50N8UbU4qlaPC5C6Xc3hL8BOVd7ZYwxp+7i0PqATj6STSHrGuTd5FMsbyQ2RU
xeMY+1dOkNgPbkXiXuqF6ppQ0JLM56HE9jDg+qfgC+/KyhjWeLO8AO20YAMPIzLjwp5Sa9+jJbIQ
graphDoQtje8CuyKGaY+YGiKr0Q/qgsgufJz7trwE4TdcGxhzCECdl39y+l7H4RfKp6JRcdq4FX+
PkAPcx1r3fwkk3f6DEkoz/Gyy55+xMpbkI7jpE+KUSII+b5gO+hUf6KuJlBnrTZOkNAgebWuZWgy
Onnuo7m+zib09qSs8Y0aJj8bf5L1oV+MIdJxzLH7ehYcWjsoG6bKOfdtwLDvNkw4XjatIym/k2mc
PnFwsyBMSpRFSW8G8g5kOdw5+UB4L1G8OR6I0q9uotQjrXNIzYMGt8DNrjv9UNV+GW67OmSdX2a+
t807rjrwYoR7qVHlt103Y3ROyvqSIKtk2u5m4hdGcpRelhgm0P2um7JTNVN4EGK0X5RfpK/c2Xm6
1WmDB98P6/GDnC95VRRBcwyVDF/CRCv2Nxq0YVCTlEG2+WBdFSmOuHM6dtWzW7Vut2mJWLrCumt7
V0ll3Le6sQlrBsF3TjulkEt1VX0Zu6m96hGjPc52IC4ezcgBvS0WriBeE6KW6X6pOr6QkEN3lRr3
b6Qv15T+4/JmT1odC0C+524JIEctQfUYRq2HzcYVdCOqU2+90Alu5wk2PLhXT0ZnqLvqJk2S9Ja0
i/ythvd+Q8HWekcMeXg0WtQG16EZgndCsWYED+qH7RX0L6yBdpDgeZxjDycLKt5neAI5kYFlwaKQ
MR+eSr/zXzIIQQRvFOTMJkDx3qvYnl4FR2ezyYRurrCah/uEzGaCqRYxs8cHu67Sejgbg0mC7bYi
ots6sIQh1tvKMsJ702n8MMKg/U2Z42whJ+bvgWEktkLLAuLS7eCW7jhBQOjY429iwML9gENdUxjt
7SZFp+52nxVethP6chJZ+lxeOX3w7EGOOE7h+OT4Y/OmPUJ3Rk+z3/FH3ApLxur8iOhhDawp4oJp
0WjTwNozksVxOYGCHsu94zrpo1jCcb4MFrIHIhnIxdrTWXs/2BWZrwZPbkp7mNJvEoLJqZ6VUTdA
9WUKvI3RIG3tuPBhxYLOxA4/SLASZFK/py0hKmQOAvUzguvzGK1czyUZ8vvsG/YZrtzP2ljWPeu4
52Jlgq7+0+f0GxRar8zQwZsGTPsrSLRZmaLNShftV85othJHszrWh9hOgKqlo/s8eWe0O9kB7eiG
pCx505W2fV3ak7efmDqBIUDp41dJeS4dPIg+BLz7LuibHVkEt36ZOreKUhljlz09RCsgNV9Rqfk3
NbV3uGM3LHGgqfrt5O9Y2IoDq7rs1plnfR235ZQT2QRV5FSyGr7RC8XiRtPOvMpvfOvyjXIVprLU
FfbfHpgqnJudu3JfW846bjAjHxsWKNnOHagSD05bFXhNrSC0NsxJeDr1Ev4be2e2GzmWbudX8QOY
ic1pkwR8FYw5QgrNSumGUEopzjM3p6c/H6Oqu0817HPcgH1h49wUqlCpISVyD+tf61u3A/DiO/Qb
ILMkuSYs4NM4H90GCm1Lp8Kzm8kJ662DnGwVvXzBjGPfs9jp6Iu1iN54gcWWAQtFZvkVdbtAb50F
f1uldsOKSqB27c2Vizlci7492edEiQacF+uU8+aBeh3yEtkVsWs5XYsKkkPeNTHXcNfPKrNg1Zx0
ba2gj4hVCFEWSVnAlMRcGZrgzVsn3hBxosAGm6/2oVHR8IhRZyYtxZl9XQGfu8BzUm+lIzFvMNAq
bpTr+DWph85vE4QMqCG9uLitzN5afA0dqHJwWBdEaWHCRKwze21HFtgITwtADkC8wAYkCuKFlG4j
YfJGeLBze8N7DRzFRad3Ai+HQsKjCpOc0qKjlpE3RM+asDHJWX9tW80Kd50U7smbhmH0EyOMn0vN
zaf7vGwmTMC4ur7bxgrLXYV6Nm0D0TlMWx0XIEQGyzq6dOaC7siyEouOC7aCTS/zKC50pwfemQFc
ao7Vv4tmzhqs/if6Z/eNyovT6JrWK8uS/SAJBWHMD7xT0U/d4zilbcppan4lcefgWYjwXrP8Jp3f
RIIpF0sSlZLXO///aU/lTfzZlG353f2P5TN/olY3MSvCNaL/j//6f8h5qQvdMBzzP1RIbn6HoBA+
pr9YL//xgX8IJJ7xw+HwZS5GSwM95B8gBNf74epoHESiXOfP//O3Ggj5Q0i+uuchWZoOxs2/uy9R
T4QhiO8aNvs4M2TnX3FfMnn8q/nSZZJp8QYKT6LFYPT8Jy+woinNtXNH7hsE+hDcFYxJyO6YBxFK
4ugLaFx27OQ4VgfblOrR0ieXeNSAbWEbeoH5XPM6Hpi6S14hVlVKs2KNV9AewNTvci0yn73WMW+C
YRAQvTW7uzNterh9h3SWgsZiJdxAS+KrO3rn6uostHI8TNBvfdsOIwrmgy58aokqUXWlZZ2vlK49
4WCrT65y1M+KuC1xIRcKKeBlvy7cBzE38bo3xe00lZBs0govaNr2zSd+pwqdxmxxxfCXDc8CCAnA
KogwtL0SCFwP1kJNUZmLoJvle0c1+aU2YmPPLGJch/Zs7qd4Ylhr1Z5PuesY+gRb5P0Qmd6TW3ru
jjaM4aZyiYsmEz5O0zMFHaI5TANuMEuo2zd6y6heejjT6iEoR/oxWYQedE+rlqlDPOWbEryuOBsG
zUK0dQ/9fd2z1PshxUjhuY6Jm+4g7FBDjggd4vQo6hEWnB6M1ZoCBvo6mIF0/TbUJ667We9p+v2s
2950aQihFvcQHalKnwWX5X2aLHngqHL1+aAEw4xj0CN1rcsk0PuNUui8W5NJ48+e1d2+d3Pkha0+
u667yiLDQixXWAeRDNpebQMumTsQYtGXKKsQtHWVe7uiUfqLHQxeQ2IwDLeAX76ZzJ6UNtR3BjOj
M0sqTSCm0PbaCIHBgUqziohoDCO+FGYsnHO6MfduzGaAY1bH93qcCryfWOHKLEjGVW2LYQecqf0y
897Zl4YW0Urez7G+zkqsgYxf3CfbSQIQXE4pJ4J/nfuYcak6DwEXSgt5ZR23XfbYpVO9ViZuDbI2
0S4NzfIonCKnSNRjQhW7R4YKHilsfX4KcONx4yjt41KSQCBRI7hH5SmeIhpY23bx3cR+BGjngssw
gN1MncAKyh6tvhntxquyBG29qiEWhuCdhozqFKyFfK5mPdGLcW5gY6QrPbHiJ55WdSqFqYOiM8oJ
n7EXJ4cpTAcufIFa50onW1dxXwz7Ib1Qetu/cXrSiJ+WAf7fkMEkI95hBG42awO5dTBxqzx3XsY4
zu/rqdyVA9Q+LmnzC8CN+Ms2uCw2rlM95ipsd06kEn7uybSTSVi/OTC7DtB71U3VTb9pWCEdiTEy
37hj0O3T5WwmG0dLf1aIiY9DOekpoYDUea+mTiexiIvjMGS9th1xmaxjowIXwG1nY/e12lLiXe9m
j2ByM9o03upmus0Yx/hWE2Z7Iq/4Dcjl2UM+3sgl8hSIlkt0G2Z32LvqY1slxRH3p3cJzTr4sIY+
6P7vRA3+/9sWJZmR/2hqcPpoio/uI/3rnvjHR/2xITruD9s24A960jNMFzXobxMDx/pBEZtNgpVI
gk1XGLmVPzdE3f1hsecJ9iq+AQfo6983RF3/wXsBzoL/Y/Ev0v1XNsR/xspSge06bK0mYFtJLPWf
CBkSGEzldF63QUOgh3W6yCD91l0mVfgatKC778v0uybp959kclznn0M5UmJ+Q2tkR0bBNfQlJfHv
2BzwMM0Fi6w2MvCa34GFuVqxOzarwe6xXRqkTblXktRgDhFjYBzbCtBEhrvgNtapUIR9ASMnZWos
mZ8j3pbuRKzJsOAg1jHsvXUYcu0DFTi5dxBKOTsq0dOhYweGHzVmuZtl7xy1sMNuj+Q6r4rFqEJs
E7KLbC5DmMm1NM3PBNGYCgh3S9Gd7ncapGmnLh6mPGd1C8XyIguOs6w0FgaJB3PUJTIh0/dbvdT0
O9pJ01unhTux4u473JpusuS4+XrBNLY7kI75/WSXm7RKzkie7Q047gUsx5KLOYF6Yy7XMR884Lr3
c/yOn6bUrOfOacfWb7EoX2Lyr2cy8bavY2lYGcQpWZ0MuhYYPCdAbZLwJR5070Ha/Uh4lQlomJU7
fTDU/VTW1joo6RnvSG+B92wsbQt0wwTX0QMaHrS2+w5Gwxtpa/Igt4RJ53111cDcZhpwEoeNJ56h
ubX8q8Eztg4qM3po6YrnmGJNaQHjO8RlCSxxSaq60YlTIyYPWyvOBvuCb2q2vB3j3LqIeKZVm+3V
viN768Deb8U5viaXyaLdjSFdnf7MMZzBRO10R+iUeKSqiq730lLjuU/cbhtpAe0JTeJtybPMJ1rS
q2cOSY7y66oFIeuYdvliIB6sjQ7vHBakoUK5dbE03YWGiZkismjj5TlQHYTPos59q604NZFvtPZA
ojEvQYRi18gMRtNMOpaiLWPCibiqMne68OewyhpDof+2NY7KmxAhcdMTnbiL5NACiO9Bq/iqIXlu
61p3wJGLIdItSrhPYS9IXLScr3dW5HC+KcPKfrGnnnjynEwk4sFr4hMaOw4ksmmxCJVONR2CvHWo
Iirt6obcdfdOCpYHKa3Fz1CU0e+gc6pPfjLxQ5sW3sVJbQwR9YRfehNj0vlpUSwBuE/F4dZI4C6u
yC31d3CJ+CqzEel7Uj4eeUsip+9DZbVHSYIVpikiPMnTPgGlGpk6VVREaLZJm02PRjmbDwVTE6hO
eGBhSnBFz1eLHPNZc/wOQTwN1X0f6N5765bRK9JehkvAbcobBPSUaggvlC897hKoJWBLNjgFR+D1
Xfs8YNI1cJQ18qOOEw67FTvvWtcbeKESR6+AUF3rv7U21h+jrspfejsJ7uVoOj8L+mX6pQY+0CBB
YXcL4flzKqeJodoo+oEeS1lbmxbaF2bpOmSbD4ATMVcyFeNBIJAdLVoNPqC1HB2DbikpZ/hlhruj
rBXLWxSSD+w7V+wnJjD9Lkqj5oExBYUGXiiy04zWrK/Qh1hFUicnIk7pk3aZKm4Avp666QsZDQgR
QpQcAOjzwO4nGoZKkgv0HuUSKZ5aVWdiJTQcHOpoXwwFc8xfVeImd1qeRXcGZUqK0IHtkCsg9H4f
M2B64Vdqr0Ad5Bwy3UpuAks2S6FctLYqa4BwYOf3YA8SHPVooQj+Y/3TbEm2sZiJ6W3grvfOYs5v
1KXahGuDo2PMhGOpkfXqwwT5mqFDhbU3H2eOt0OH7DHynWpVd1ShZG7Md+gho/YFy0IfMAGCbjL3
t0Mnh5dMNEvI2cog4gQ9Vsw9IT/jLe7a3vZDhekEQ7JWkFaZREIg3VB3GmkMGttHm0xSgCt9gzXZ
+jlQKvVFUwaWZrBNLOmgtbBYILqGdCRk0QwizaUa5aAHmuGsHNNMbxFmRHQHxmWINlxpzWPZyzDa
tZnZecdJU0xWJ6XzdjUlcYG1VSfax0B2KvAnSjhaLD6U9LRFi39naMllW2aNQ3eoZkZ/gbkwQnlw
GoJHJZE0YtnYyP1yEPCAgnKyGdHZLX9EJz22GhtXYRSqcj7EnY8U21R+ZbgBlOSmeXd6TQf+2jgv
KmnyY5/36WlOBAuxQDLay2hiB00pJHil9IBFL3Tj4dbqUrfY5KRGnmeiTXjHGWXXK9O2KGsppHwc
UwMCGdOinNyaSCteOaf5nlRPHgrfeOTHRQKsQHjDrZsPOn3EVe+bYZm/FgiVxzB1qdlIHLadUC43
NFnMp9zAo605qj05vHobwMoaperJrRoi2mocsUz7dWn8CgM7u7UC1Q4bRbvTAkKJHaiile2IPeWm
y+BducGHCCeGIEpyZTlzp6HSjcBB9CpMIAVrQgJLRmIcuYtUOn83GtGnnwuI+4nlt7pjqASgV4zT
W8n+fJbQuhlmZUb2Rss7Tge9nYkchIJknd8nGCi55+m1RzA9nXkNNdG8D4qrPDP3HqdQYNwJp7V/
IzbCAeBK9UwzkPnpkflGCxQyZtqT7QwrBpLrlh2e0wbE39cc9yEWvLp1bN/zNIL0/NKM+9iqwcIC
NOVGaqTZGeOQ82arKPrGUZxHXCRqMjWYqV1+cEnEbZ/74WhYh3m0esreQywCk17JD3aX+F7qekS3
IrAZWtEhcs3Zuuwq2oG4dqfOBRoBUTSrn63xkDkFnTWkNSzcIMpej9B2eQm4qoFhwKRgeMFt2Zev
9JND9GmQG0EelHRoYJnecjAgiaM6motPU2TJRzmb0eDXOEvJ7weMhqpo1EhL8ZPQr5k9VWlkpHLD
/ayNzjwVEdxsIhZ62GAxIF1Ta5o8K0t/q5f0H3F76xcpAS/bO4LHbOMBm2UKBoob7BIy8jemwoTR
iHJ6tSHyjhBiyhAHQr/kDUGfBe06wo3L22kSCFsNg7lgx3vujhvhgu5aAidaeVK9Zb0OXc0TBSm5
4CAEltm3BNteQyq1gI3vsl2ywevfTRrQ8KdDqf8ZN0U/Mz+0xou8xicF+seGjhsuvU6EGeRMNnI6
MjPUfgVxQ11nzAQ1XaWNuzTupt27WfeLXkGf43uoyVL6ZjslH+NAe9Xqj3StPmv6Y+FWlrUP+4qz
CcrN8MzFGrIUmCVCn4yYcXnyCCBBpfjPKPE0hfkgrnHRDGMLiuqc1Y2vGIAdOmk4X3lAh+UIhcL1
APET/PF8c8mc2r0VvQ6j4a5sbebE1gQRlvqclvteTA2QY8QKHw4Ic+qOIOu0JFqFTRueDZ7D0pjH
wiyjztHNKauDak5UGMWa6LyP8dO4qCUVC9I7WucmBCnm78gSY7EPyfwlqykhSJtUmsZAowCJ1TbZ
xqH3ky23B90W2LhiHeXOWxcTi4fZ/5Un0fwe6HPc4Kw0ecNKx7tDwGrOSQSkhs+YOQ+zPsVwbjov
etQmPb9hwMjPj5fiZWQAw3jXNOdi57bJ9BpYbvvUXqPB8WyP0xracauv9KlS3x6nwU+Lxms4Qddk
cWlyB/eBZ7vfpovUBpwjIl5cTSVbLDaqG2rHgMwgzCRoETyFFCAOUAd1Wr2+Y80Z19Vck3SZWVRW
VRFUiojBknUGE09nYkC41dgrwieYNNJxOtIsgfR9TUpjmcXMmkZM321rMiO2saLObnNO8/maKqhe
YK3Nmk2oy/iRDIj2UEKr38yOiQaWO7Prozc4m8HA9FJ6ickEpmbsCn9Yasc0C3r2+4l2JR5i6QF9
6zGhmMHESZCNMqvXYUNeiexgTWIrnCW50BhLTLvWrIkfrWOVz3qH07kisy03Kq3EaaSau2eGvlQX
hsx8X5ljghPPmb3/JkpJML2+htQLLeeIqBNyplh1MMoXoczsaYBQ9mXkYblnPoQqq2Le0YKbccm4
vEk+EqsMxZZrrH0ZphRsiakVmQd6ZonLh0ty3iu8iZgXkH9z3Q8Bvl8MfvhsrLKs7xt3SIBj5DyG
KxrMOGArjWtOazXijr6MWj8B0kdcnBpLPDlLbmTQst/FnFHiiAE5Io6lO0vNU64l4d6WITlPWA+3
JZYAqF0dPRDHOHfFETMED1zAm3/oEru5a80QFRDHPLMRi6zoqh8rPFNACg6DG9qVr5XJl3TgPK1w
9Osnbsn2vUwKzAxALIe6POSGMd+OUfq88LrXHZevTWlS99taILVKrVtjIKYazZCXlhfgEmuBuyG4
QDQqw3dWwspYN4TjIX06XbpRQB5XOMmSdaQocIKMKLYpYYddUevFPaagHIxZU647nVMjRZJTE/Bl
JvrPSrJ8mGi5izB45HAxJvJiena7LcpsTx+EDnBv2IRtOtwVshEvosgXnjlmkXXetK8w8OAdxMTr
euyWFM0ncJUIPFAFOwIPtZUkgzZ6h8AJGH8OlRGCCyDASYVLTZwQ/XlFK5gLy7TJChjZ5B5nsEiW
XwYeqB0W799u6+xqV7Tf1RSld2Hfw6DvAZOUWu8encigBwc+2ZfLBuo7/IBUk5X8EQuswqqKIZ5v
+IypdjczvHD80axGTrwI6E/Iw/SJ1QE5qoHeiafFXneiEZnyM/TtPdS7/rly6vQ9UAKDryEm2LvK
Kdp3M+UatAQWe2NbBEC5dk2SDijiljGuqRMM8S0wOPvS9K45Tzq51VUfeWxgyagLTgMVVuRt1nOa
TBkG3Hs4YJOt7iInKntgMg1TGcq4inU88Ri+iCKny55ZuZDYV5j0WahcXO5UI5uyPYKAY9np+Nbe
OolTbD0q6D90yWs8FD0gSHtv51wTULNNmpSNskUKrxxl0kxQ6PK9cwb9d2WT71lbhpdOa7d1PUrY
vNHb5/XQwldhRMkeTHH0bzc0s3WMknNqh3a4JUNKYkiIiIOp0hPYLLmFx90KUb6RBeg/VKb5YHWC
oX7oCpbEwJXDmrFqCHWhaiG7kWki8RjTVFDhJyc6jdXEEGeCF9U+65aets6NGFuW2th9wmZ1u91/
jQ0XANn0nwHUpbWolv9rV/Xpd8PI8K+W6uuH/CmOOj9Mj7olT8de6UpHR3/8k9Vi/WA9xsosddv4
s1nrb+IoI0bB7cWzKLVehoXm38VR94eBoIo4qht8Lsf4F7HpEhj8X1AtmLYZZDLPRIlF68Of/ReR
0lNYyFKKjjewlxAqSxwn9EFToYL1S52LBP0KSJZxkuZc7kVudgdim2nmu7lXAX/Suldr4CQJwiRK
fsqKjYEHvSgPWaBDEvHc1GUahqC1hW7oXgTZP4qppRyIith1+WnNtjq1BfreUQmJvKDKWDHosgJ6
FyzYaummYyWEwBVXCehWbnDrKM/Cr6Ky7ZykNtPWtWsmdCh2wI3r1dSPY3EaUNeeseBR5knMANvg
LILT3NaNAm8t5CvRDQP3gOGC5NCGC7BoEg/9IvHJQoTHXncl6fUUlMDKZcx3NPR0vm2hf4w08Qow
qaT2rP5IApm6kqEJgJDIKTIeRcElapumHoWINUF+Sde7jkQ72Myc4A5EY3CJHAqWNnY04+QCCA/N
sIXgOlwwazjt2ZBW13IUhXzlV2VqOYyh9BFjMccI4cdJXn3XdD6eMX/FjF3iqTmXUyJsIO7wl31J
bInLw5BMHL2M3IQBacTRltMWg9aCQaO3HjyQ1aC3qvQzBbNWHSZdZeV6alO+gAXu8OfSIX5JtYAx
buFYT1wl+v0UBNMtV3nvzhh6/E/kL5tx07aifDZME9M6VuYx2AEzSY9VM4qQG1gzvogqde5R6eQn
y5oZbxTsKFJ8auRHQ1CZ7PaQyGyD88h4rVWsXjkYWBCPaYhxcSwTPPctx6lP+GaLRyvKazo23Bo/
VsUJfThYYxdNlDeFXNyuC6d9XUTVsp7S4lLu7WWNba/Lbb+svOwsLMLE39GOU88YbqE9R5yiWK9h
oMjf1nURD2abExIaDYt7G8zegdxqMq3r6/JPTlrnz7En1NftIYe3kfrD7OUjSNdlCxmu28l03Vqm
6zajrluOWnaf+roRcZGjPdKdxxRtatmq6uu2JapGfcvrZsaOVFAKft3kaGWBWWQse19w3QaFWQT3
+bI3GtdtEsmNd3C4bp/MOJaQlcGuWhMA/VLXrRYRCw9yYCs6VLMETWTFZNxNV7zR+aPnxURAuX0Q
ouuz3OCqw/EweanwLGU0OW4gQAwOpUTSI25sIBso/AXZRHnCXrQieSmMQexIk80bJ7bmc+i1GVdm
Nv56NAKAFengEJfwik6/15u4fGkGsJ49jh7d7gfleyYcTmyIefEYRsmmy9qp3zGvbucD3eESBFxi
3wjlwkCillsMfAFQ5CsRaHH1i+H/fDZ6oLg+E4ZcHTXa3KcX23IpMIHy0VNpb06jTLe9ElnDta9P
0B/zJI1/BVodPQyqkL9SCsMBgIakAg8DPMb5EqeZTuqKV0ZtPbsiocypdeTaB03bdA8Siux8wdA7
YYDXtOSlmzpSo7XZ2ZxQRu4K4PwiQ1Hn0hHnd1dBG6HG010AcFWr6w+MAnQ1uwnt2Ol6RLOAbGOa
XJwV5ETb5m+7+u925U1CVQpseD5Wd63Rdzu9ornsvzb3/63NHY/Mfzj8vPn4iqaP//Y/60b540P/
zEwZP1zySOzu7KMs5X+dgJKKWcacy2DUwPbzD0fQ9TjgeuD7/7D9/L1YU/9BfwShKerHTNs1wfn9
C9UoOnbCf9rkpS4wJUlAzNKhK2DJZ/37SWSsA9ac07ndLm0M1lo0KL9620QXnlvxEtmd/urWIRiS
Bu/eOb4iHGgPAPwwxCBqLSO+NAjgSFHDZJFThgAxX2EQAbgIeeY2oKKXEGPCtNIWdgShJcYXlWGs
R80EKSWyh3rhTDh2aeOQU/2FwuwXJJhR49Y6PMV2lT+Fc1F8KdsxL0QKEww52BgluehDE+bqLk9H
aGSmY4O8aK/4C4BNkDCMqcOpuuAxig5N1gXpIXy0qOneUwF5niSWWclGXT8UV9wGfdGYU2U054/V
FciRxE3/mF8xHbM1MIwBjrFMq64oD+OK9TAXwoemuQrvYl0w9jOvEBDoWZ537K9wkIlbTXM/wWz4
sogwxLvQG9P+RdOhipTzPP4iCg1qxGi8mgYFhw0jTBYYSbzk2zGxLpAS+wosmTW7/+6oFiy5+eb1
e4ZO+1QS7yTCDu+E5DAUfxAoEac57VhdwShUhMpfGPis/mBKnHwrjEA1DedXpEo0QleRC2dFvyJX
2EFQBllXnqy2jN/UwmZRC6VlFK1zm1/RLa1bd7S1LEAXckkDAWMoLwuQDSqfDfsF2AlZ4c6m9Sxr
695jHg2jwl6IMeHCjjGvGJmZh+MBM5nGsi0KQZKJDQccNgzUK4aGaDf3PGECp6kUvV2kpKkxXNg1
NkQDSu2LgfF1lYRn6ug/Vc7TMhZ1SrNAXjInXUg4lDGEaNhYq0XG3xsZHQTJlZsTLggdsdiP2wWr
E2a5+2pdWTv6lbsTLQgeRnK9zwb3y9RLwfxqAfWMdrgmmhLvxJXj0y1IH9nlD9WV8lM00dm2Af84
ju29NU0W34RodHKTLZ3odee43O5o8IQ0rOGxakBq4Pq3qSaQcYi5zLFI+DOnL6L02tuDWBVlSXVs
C1PbOe7MGA2kWIuNqY/XJO0eoE+LTVzqVr2zks5Ycel9InrSvzVLSbyoUDF8b3DtyO97oo5btwxc
cy+CfP6g5FVFr+RwotiHZgTnFEU6YfTO0Wk4CAeH6mpQMw1CZS7i4qAbLjR0qNPRz3aIxxq1OOxI
mDHZGM/1FGp03ACZGOiJNsxoa6XSWEhTg35pAe06DNQa+Ua6CHY8hztHC3ZBrqxXy4SRfWtbbdRs
IUFGajsuvom1RdfS5EPHN+3tMMFZWCcjv2i4SAX5tZVphMV4S9w8VDeUCMDQ1+tEUHPr8aceIncg
pUEWWyd1zdPl4tXN0nEbhCAF/RgSSOUXkzdnq2qm+ocuue5JJJl9wKUS1o9pW07uBmO8l/weelrE
e/jpvNjs89QaznoGzCJShk/4K/2dDZ3XcEEKmmq16I0E4GzAh74uZnSQ1tU4q9P9GfRr8tLfjZfU
PhjaAXZHUqXtgScTebSKGcXpWDLvUXOL26Kw7S+pjYWxt4jixkdl2c0vfGoNdYYRI0g0GY79OB9i
Fgm4jYW09GfimUhjItWtbZZi7rRFVYd+5ALmdWyEeH+mYNlYQw9JmL5GtM6uWCBx+KtE1aXPXxHY
RVxhm0sjk4lqNqYkqxKolG99X7g3PXPz19LB6MiVZZgYZRnkmxoTcwRKw7hhHQq19dh6w17q3XDT
e7V3h8ud+6KbkPpLNDne2yO9LxbRuYe8L7COD3g08F0UYXkImLiQtMpG/aDXU3zqOszYttbUTxRc
mK+YwIat3iAsY1GXCKEDQmnOFpkTgReQ+8M+w05hjAksS422Ym4QCpep8s5V2Wn4N1syqxDlFR6H
orpoXak+mJ+N77hDrJc20tODBEG8FU0fPLBbxu6u1p32qdST8VeNKPWFw2N4Gpp82PZ28eixLEG8
rx2P2F1fPiYMQwixYTA51nRDQSHRqRCkBcJc50xxd5S34hC0ra43fZtTZrR1swVw2mbyLQS6iBWR
GeoplZP77eGjWBVxCTMr8MQ+6br83XFyHBwl1/WB4bAyN1kPUYUpXrnP8x4YS4O/xqaHCQdQ2enJ
dsJKx+Iaok0R8zirIDEj3yhCvTpPuYkVvW3m8rnOhszBU5EvlpW+sg6VpfoTZduY20uHoPVqEl38
bmPnv+/VZN4kdepdiiYlz4Op6pOtuTnTldS+EUxBGcV1WB3J3oannAgU38vEQmXD7HrIY4P/7qze
u/C9dO+0AoiXVG9RihWdTA+Gw/k6tqeKmkXpbFsn+S1dIyMCNZOFDLBx3vLbK97ETFh4tDv6TJrO
3pWGBfa9rL6wicx3EWOYW04u+IS9ImcyiEhRe1ocHfDTIkXoqtmkRKh435zRXOuECO8FfaOQj5Q3
3etKm6tHik60o2GVzbsBlQnhzQKDsArKOnfXsKp7uDKy7X7Jurfwb1T9/UjTgXmAVJP+LIcwDC+T
1TEhEIlV/CohnH4GBIgRKsYSNaCl7pSZDwpwsu3D3qGWfGLQZtqZc6xcLFY0PZb8c4pAoPp8NhYz
oTlOj2AdY5Q2IJ6t0qCz760ETKI9tKzM/HL1F4w9RbfpmJzTWxahgVQczBBx6TreTfPQfdulx10C
3zY7mBmpb3vo+gOdH9V5wMF5tLkz3aclqBr8DRO9wXbWJ88ZlQS7qM7bUxwFYickaFGo0Xwi7msZ
oyig6cS9WzYbJHKAj07a8x32Ef9zgdh7+ybJWyaiQNs+ag+W06YezekjnrTgs2tHB8tJ21PDEULr
Af42LjK1Tq0WKJmE67zBhxfwcmjKWiGDFJeamtkHDqbRmnSpQYgudkPMQirD3MDnDHeGl5TvHhFH
3jezGLbctmMduYNwdGfX1VtRdjL00UeKD/xW9skKguDDVKrd9EGjYA5bWnAKS0KB8PEYWTh8S5uQ
NRN0I01Er50b1p+zKGu80KVj38aR3RPRQBwD5jGNi4GheCo9eoRWTVMyDnFpcF/s3nBq6fEzNwZh
kjtW/QlrruPNew47ZYXtJQifaYdd1p2BZbI1KICHxa8DMg4wTaxxehe5b45T/e5Cr1yHVMTPlyav
bYs2uVF9dF1pbxwwMqWf12l6MWOjsQhC5jhyMUcQb9MzZ7zpGp2LZIvu/hzOnffk1VXq+twEcBdO
kdgDESCgPjqj9VNQVRc9pqPy7oBRmtmGBcbFAqexfSzOGIwf7Mwkxif7GGUlvv0479w9KS+t81Om
GBOQFgxBIobkYned1a5svXHu4znRHHxfg/Eo2XVIE4TqBRBM/GiCXL2jPZFzW4Rb4D7Dx9dvhTfb
LUcSTdC7zHSJWHgfysdeevEFMDJJX/q+pgvEmfQTycd8qCsW6r00S3oXY1x2uI1t7YsVL9myP8st
lL/kNyObas1RyH5Gzin1LTlH+SDUIGlVwAjhe5FJS3dtkDsdJswwkSydt9Tp57tcNNqvkvIdMNJR
E5+MtsuX5I7zDTkjrs7UZJUBCAE7/zJRol7mAVZkNmf9yWEIFq8tJxLYu50+KbYSdX7hT7EK7es6
l3tChdqzDKes32QtrDLR2d0pB7NPuC0WOLxsLNT6pBrlFwaJDZHmQ+RbMApeZxIUmzJKIEw5WEYc
FNF43KZ6WZ3BGUOJ0MK42QxFCHUhbMVBz9XPUXTM5sIypv13wqBdGPV7UIrlMiUpmYpQNOKmYuWx
Qus+RuzZ2FSZ0B0xQY6AJMR5TItejFR3V1bDaJGnEEWq9b5Lx9q30mwOIzHfTe122dbSonHnwtyl
qXgKfgdYui6YVln/Jk9LVs3I7ZDytl2Z06XF0Niy1sbYy9vQK8s7AubRoU6qdqtPWrHXW5ow6tBR
n0PaVfeONgUuyhxHI+aT5RNDk3ArGWvtCTiG7xxnWma+0UNcsDS3im90mqmvHlCQVk5fBrSQUbJW
eQ15x1C1Z2wT7NT0BK6HePjk9tAddJIrRHAhBW36Yui+0hrFaZMMGe3NsHbfk5qp47qoZXcceEB8
TZuaU4Phg8Nimhw9Wt4+Zrf+miuNsxWVVMt2ym2sigp62qamwW5lzDuuQOG2B4HDcAdHww35sAJW
tG2SeCGFD77f2JJrl/ddTozGr0kqnmSddmdRRWi2WlUna9duxMWGsuPT2ybPZhk88djfSys89aMi
7T9YGHpSRGx6ezF14HsCmOat+HVidEhDIs31nEQ3EX3pKfEWlb3gHsJyFEqPipscEZwoyrMU3fgR
V+l4B8mVRKmg8/5mmqWzh5FrHcoAXMxOjC0tAIJR15s0xCWt2uYC+o+qirbbK91sOAEqypkE0fF3
Tp2BTzuI/bMl0fOrmtubPMrqEySmfInSkn2LQbT+wp8jfoUcN/x/Y+88mhvH0iz6VyZmjwo8eCxm
QxC0IkV5s0HIpOA98GB+/Rywa6aze2zvu5YZpZSSAt77zL3nomQp4fVNzolCbz5K5DTL7LZ/yCO+
t+7UJpJfrd/U2GVrHlHSFvI5184lkWuPnU1tzoCb0B0IZ90b60zz0AkNvG8Ovbmb9PbTKdCGZq49
Hk03GB6CEKMC7Et1MxgOtxtkm42uCAv2cO2mJNyHoVzLRs6qTzVyyXgaax8+HrTnEgCUXyu1Sb5M
2hdoZzWbhLFBAJyCb0BgWKeAKkVDIPJ1pPTyx87QrxKINTqjJ7SioDPptMjruE2+G2wbupcSA75L
5rh4B/jOeKLXNYSptgJ77gK5UX0OYllSfqf5hQWm9q5FinWrJZn4xnMJ0i41spyhOb+HfU93s8Fy
TiOBdTR+TiFfmWgaYRU/sGwsit0YgrOCLthVvpPV86uMKpMsp1ruR+L76BdGvbggEdKs3TIg+QhN
RfgynRl/GnK0EM6B5M69ruiUB9FO6qobJDb5sa8eoEd2HxrxcSulFflOM+N3kHvRUQcuUvhZH6Zr
dWDOQl+XoUANSvOxtqeORcSsa6cQc2rLorUhe1xrtdnedqyklI0+KuQPOYuw5hlUg6ZuK25NDCRB
tpSM4Q2si008NAkfROf2CNNb9NyrRLrqTwVq/+zgO35Rx9xm3QLwHzFLZyev0AKbAxOcgoltUqPA
0RDoHwB86vnjsIBUmGdL6yaHmNEey2jEqT5HuL2wZw8eTi1ect1+g4ydu35N+7bVGc7ZnEixSrSi
gF9P09m8A7eYy80wsLZOQ3J2aM2Ux8oJnBvFmluPEhIvUg8RgFcubs4c+ZZxrEEK3opAN76ypHde
mMygOOI+opKuzG2RZtXZdKv6C4cN3u6YDcfNWC+x4m6UfcPeVIJdTa4dwKSoQeQtZpQ4K3D9jUnF
x8CADbpGqqJVDaQ7Il0eTsSnt0tb2IfMIzKkdkSAVB1CmbYA8FcR4Wai70J0QfTQsuSJYYVQDicR
8k+4c52+a+nEEpL+JifbSluq6yY1O9szmqp/1YN6KZXBP3DnQE14TBkHLvDCrL8taF/405xMHS/K
eTBX3NOpdajZ2H/gzSUAqI9CrBLIY6hwuKImG7nMin3ReBjcapnui+rFyoXzOhOAMqLpj5RL6ZAz
jg4GWZQ3oEzbOBPwBCCqfbOnEs82cq7YdAZT39LekYdbe1XSVajHIid8N+qp2hZWbwE0KByDpit3
lE2HrnRtxo75ZTH/UNaJlqVHALdpwSmvOa9Jq5BiKyzMjklt6ZfcVPVdlqMG4AnWs/tCITl4CHT0
bPAeaulpbggQAuV3cSOSRe3S1jkvSU46XuVLzMv1NtByRaI86IK82sPTD3q/z0WyTaVtQFGFdPHG
xhWTOhqn9rmfkJDB0RnRKg32IgfV0m5GEAtQqVlJ5H8ffRaJRxAcaJqMzrGoE7DNHbECIu9hjZt8
aGwwmVvEoyI2UygAR+QSB83Btfv5JSl6mi4eTxzyaTjaplgZ6oicEKHzNi8068BAxI43haMXWDTU
7BsLgnZCwsSiNEsXxQVa/8a6jfuwe4a1lLzUgyqBJ0wBqvphdhASpoqNshBpv0Cax6Ny6KZgLlbk
ddXsSmXoPuZxQzc/ahw/kyWSz2AaWKz2oHW0G86JGHyzCqMJFg1UkL0z1k2xDR1X6schl/1MWsho
fzXsy54yS8NDmsbk1sEXYqQHrsTGvAlFNFzRCyipn/YN2kWEQHr4MdqxDe2qYVbKktQ5J5BJW+oJ
6MUrG6tdBo1Z0ed1WiCBWZtFhzYkKwQDGxIk4ZfKWFbnBLgFCSRI496sICEm0K77N96kRrtpVLXf
hlXY9jeVqqF4Bzmsu2sAfeF3gLo92oxan1DsBeAWPa4lzpWxGLP8KdGlcZjdctZWat/VljdwTRor
hYCOLYT+ylc0EldWslKnG1gHLHXpIpXQY59bo6/LyizxtSie79ADpRUE1rpAhZe67bpWeefJ5TKC
0zAqAT6/Lpn9Wk3YNA+srjhQVQyGK05VXa6Qz28UxOH9zTSYRe0tCYazl00Vc7S4URkmtbbFOTBH
rnNuZxIp2bqnOS0YEvs1MQKIFBwdns+2dEJUBuoQMiyaSn7gUBnb4NRidAg2WS5+ZKo495geBZPH
BM2/oZSkagDhhGpmwtzNVkpWNYXfcmyCOu1q5S6k1XCetXieCE6VMQ1MQvCFMwjMjbT1RvxjsOl8
zyjITD+JIa9nowNWjsKV8IHBju9TXDI72BuR3EBFsp8rdE7HeZLhc5JHC/jTqZJLVmd4KfXAL2Pb
TvcJl4gf9ER8hnUng3U/BsUHCx3lu4yr6TEBp6+Ar0IKvsI1003HjKuwWY1Olp/pIUdnh4iAWXYq
3S+KueZTTZz8aVbHBowJZiaEc0p0UATLJq/DTFyvuoCYVd1aaNER3GihwD5laqFvRgYKR0Y6BsZq
s7+06qQt4s1Sh5JqD/NO58G97+qhuidJkDfgyqyOFnx1cyVZdwvUOsUQNx6jGtT1fKVez8NCwM6V
lkmUqBYydmAslGznSsyOrvTsAJZzcmbYAFV7ngWE7QpDn7Vrr+RtppmOgSoDIHc3RQ+w6iCyjGL6
gMHl6wooO9IsETNfmd4sZBCOL6BvarIR6DdEOOuB5AKGFlcqeNxY4WOjCeeRWhTfhHoliKusohTK
trp+sWy1/MG0Ty2qN8wBPKdV818a0R+ph+IkWxfWyLAf1QKMjAVfbuCBzagoG6jm/9zP/r/2s39h
NvwfK1rwOX3zNwKs//yyP4kNxh+2wRIWOCVcWsMxEDn9RYMFy4Etq+1CXjC0ZaP7237W/ANErc28
F6msjjcI+yaSpy76t3/V9D8cHV48fyO7VBfV1D+yn9WuFtTfoJYowEy+DSZV10TaxSL5b9ezDECK
SlFTd5c0ZPkxnGE7GLsHo0OYXHUkE3hmOPJGJQUBdhleoWgen/KW6po11UsTgutSasZlYZCPRxt9
zj2GuztBVAikI7i1YjAAHIwlIuK8ZYsbNcGzoTn5qUuVfdsELmAXpz9maXuvAGqGZThGn6aSzisu
exAHMrvga0IfTXdGH91aE2S1ujc2ih2DAK5MSz5SPTgeVnHmIcOEiygxRkaL9aR6hByVsAkCpL+I
gXZKgWN457ag3LM+j15hJf5KZ6Ww12G3lD1jnLwzRP4cXE3dxYZxTgqO+DSijhoccDaonNo1vssf
VcHFb/RFfR7NwVq1pBHeJzR/Jzc1d6wEstV1JNbE5uiRsCg8Wcegn6L4VaLfXVHJcRUrBXa3FhwW
ha2+VwWil8RehnFqDyVTywVXEXJPiqu8uleH5HvAx4RtOAg8PZquO6ChXU6Gd8wodFhtUMjtpJUh
3gMjfJCsNzp9UB5Q/mR3MB+ULZPYoFhXRqDemYONrNbAkpUtLjapeqJZ/k7ENORxLEHxqzSL1GIH
9W26C/B0bjo2QB3sXJxWvUJhsstIwlbI3MyyI81Jl2yCWYMjZowtmY9zEiDsRnbi0jC3/YLlCpp9
C90oIkYoloeaUam2Yp5OWqmE+V6v8CTJwEtAZwA1yA31y6r18ZmamTxyNO02x5xd15Mn87wDm6Ag
CEP2khI3UhvYXJAs0vbCunJJOyEA5LVrreZEiBHVqgBbFrMfDozbKCxyse4GRayaZYhOOhWsfLeQ
t6aht+JuSju2eC7VMgMDw85Q8xvQMFbIg4fhPiHyLdox1+trqADsj73MoctBwVRrZ0UZip+yivOj
3fRh6HeUFdVWEnvG75yIqEPXpgiYBlJ/iTcZ3LtWhnsnJaZHMwfoCiaKQ2ZlawmxA72BHfqGfgaU
+5q19mVcgO1wHDWvjZtd1LFtYARzyrDBAaYu76UuP4PKeEBR5E/CmM6A7NEVp6d86GvQgMFaT0vU
BycrZ06N7BHECndPx9DfM7TBXHf5lO9DNdUvDIWUXzzO69JB4C/R6nexsi5G505V62pTDnBZOKI2
ZNVVa/6pP/p8l3dy3dKyYxWtXnNFS+5aVd1XFjjaoWmYakXg6rjBrHWZKt9GnKUPLp3gylLaiwNF
o4XbjMajCXkYnHBH+mfGpCF6xM8COiMl2WLI9HDHShYHnJWjlZiY54m8bL1pZhJCXoDyYeAdxO+w
HYsy8medWk1WLMkKBxVnXepr22AcRlerl2BFi/Kkxon17k7hg5blMdBPrd8O9O28MsmGsYWzFjrj
k57wpa/ZmFu/wYYLChKppJaMGDecfVSQfyxN+4Gj7xQSjbvSoace0tjZdOTP4ZNhJjnhj6vdZptX
Tk+1q36TGEi8nTX9CtPgFmNX6WEZszYIDx+xbIpfQ+ekn+Tl/PymDr785Vj/F4wOF/Y0XctlAb7g
d8mtw7gI5jJ6HI1m37Ft++8APUU1SoUIW3enhJUKhJBpKHvqQqxxl5q3EeT82APEYRIYi+3khIYh
fg2TZew+SmnJVW4NEedkZ/HWWVgALolW9a4fjmlDOxvHjo5jI2U8G0t0cGVTiC85BbzPohkwUdnV
wlrM8rmxWDb0jbYaq0YeUoFYYBuFltLsG2FyWBRVcJRTIuXGvJ4myvVkqa+nTLscOCOTDzKkkLdp
O95LSUjsgsbrVRz2TpQm912iTPYqgy+6b2pi5prBCr+0oCpXWhfinrP6mywA+e6q+qZf0g/0RN6o
BNYcTbU4ajjYjjrlvp9oaCsxyuGswsZCq+1iR+n1+zkX6EE5zm4spI3bmpxHZIWk/YoybteLHlUv
Cu2wINl+CacsntgnlH6tRxnPKo00TNuU5Lwtqb0kUlpMxrfIPXlbLDUBNe8i6io9oxJJSuwIk9Mj
Q/sc2QbzMrbzAJxdC4RereRr1w2L56h25wubMwPFE91K2SRHumPjAjN3RhFB9sUbh0LrZbU9b8yS
CFa7XLyO5Nklt7Lqne8Q8aCPFfUOe4Z2sBBl4I/PE3FSAcecUaJgqOiajq0CEqg5vskdzTpiQiRN
DYHnlgrbYIgtla0ArMRiXgtwwYThFz4S3taR5Jn3ieWyJx2p3SIGVe9iaWGfFOLTQLG9Y4ib+21p
Mq7W8uaSRYTIxaa2zfJyIu9OHNSBpsPuFXlkPQbaZmxqf4jaxiNdMYbQCn9yuqk68xWb+Ojzyb1k
Ide/kcbwAkN38hWmCszRxGPudqWXEluIXIqkA1CP7qh/05MPG6tWvsjUKljlMjSrou6g25h2RALX
VBzbPHgJQlTfbJJZ037GAl9r6cJNxtg19eivx7kngHAU57TWf0FYck9pjwZK2GqzcUbF2ZWi+zCd
tj1EjpBea6XR9+S6A9F1TgsQTpv2bUtmdVLFDkid1NkirfmiWMQLaOrf0oCNvACDCQANnXUu4vho
JMrbHOXhNp9UcWZEfAL4N3l62mt+AVZqrduCHPWuCrwaCcBKms3McK0nzAdJg8svG5sUylcHdn9m
bcqq7U5zJeAGwTbd2kaFF2+kwQqD8ZQJEe813Mc3ipgsig9SQZiziDvEG+2FoFJfd2W8V7olVwwj
ZYbnzo4P2Aw0cHWw8X4xF5U+urLqJ5UhrVFqlRvW3yUiBlND3cZgXIuRQSV6mmyRmyPfyHptehtN
W7Yra5y0F3vqccLLJldf0fQwp+kMtUTOkCREO5NltMqDMPISRjiouTTQJltlGdL5Zd3kx2C5o5vl
tk6vF3d1vcSt64Wu21lIV3i96OX10p+vBQBhnhQD47UwMK5FgrXUC9FSOfyz2/p/dltLv4M49H92
u5ziuWw+8r/rtv78sj+7Lf0PQ6eZWXg/6DF/a7U0DBU6cn0Akdx9UIL+Qwpr8BXwg/hPV00B2v+v
rZb4w+WuNF3cM4Kv/cfsLoLv8bvbxTEZ5qqubmlIdTG9iMUN8xuSZ0RRToNDKk8hAUmaaVFtB7PO
caaJs9607h686hsRQCN8zv6XRmLRKTRxUfz2kf03JYD7Xzq+5efQNA4Mm8Z08d387c+huyFLGZyn
O8gb2a5jPGWAxCo5EvqbKDoa4P6tC2qYMxIoZCQmxjItDE74fjsYp/pjX9tMfQC5Ps/xWeeu1JOx
8mKHGJYASPtg2cdKMNAaeF0Ns7tjcbYVAdz8q45d7Z+GNrmZzIGws8JHuHFhd3E7pMFB0yv0ihY0
4PzFyMNbFkzEk5rpYx/rjY+j84N9YrlW7d5a0/aNbPzCpvIXNP8a8/JkrMr4tcU3iOJ+kwbTLgn1
y0BMGVxAVKd8sK2ud69wYoBplLO6sRlpE4R3A4qaRJko9CbtVCold4DOLfVCE3pPTNQDd/yhDYH2
6vahiODfpAucs34YR/ONlTNLlTE9o7SGdBJC0yBQFn2CGaNNyc+kAR+s0fzFVmPnqO9Kqz4tBWzY
2afGbO6tQGw1gq7EqKwHxsMrzebHAHXlTT29wJR9lpn8jmvd2qGVBCGeWj8k3wR7zkri9maoJXXa
10gp5mMnhhM64XZth2SbDELzdOKY8CvtG/UeM42HV8RaozN+APB3ESo7xYFr5lGnxcyKyYe8gQTu
UCf6U+44NZIgSDXtQ12MPzJ39mOrvs2sOyYyCQBZV+QmxJuJCBmtRkOZwwzMA3L+bPfpuvMzNyrM
/ZUh7Hw9dtKfVHkOleA1qFigWvo9shROVLt/EtTiQnyXObNEVcILAGFMBt26HOcBLICp+40GcDrI
1u7YvSc6K02GEysEWK82j2YdWU8xvF7WPMU3Bzz5L1HOXoghtKYqfp50X+pisArUAD70dOiswrfJ
YEZ18pLk4tHIX+ymmW+xh6Yvcs6PbWrcBRS7WwdG9opBHU4fzVqTyXu0C3dt1QWCzvTV6oNfWJhY
Rd9W5lOLNnIlamVZ06l3WmezUxnmPeFDL4YohiVvdw3I5zIH9o0csXlbJho//daYsEhXJ8zCHpJ4
3O3GVN4Y0BqA8oR45KNLR+KcDxZqpxuQePFSwRZEorpzoosMxQ25ZKBo9ih4kU9YFaY39xLHfbLi
sn6p5m43p9YnvmM0BEW2ShXRnGpXLIGbbJdiS/enkbGGE3+ambOp04shVHRE4g781lqUKD1hMUE0
38lFatSR5jjP1osSBx4xrFseDZt5tpbvdfBNKylwTAVoKVhCHyKNulCbn3DgmmsoEm8xayAPErBv
zaYHf3iDpvrW1tqtpo1eMTv2EcWDH9bRlyWNiwiS5XXSbl2VBR+jglvWiPsxdd8RMuLdNb/LVOyT
er6bVAPmi1bmmzQrdubi0MlqJdmUNl5WZir3IK1aAoBBKeL0xpJ3aSwmrq3KJ0+zGKrKHvvTKY+L
gZ2vPrBxkHRs2H0Uy7yYDV6nDBDGREBs7BRbGQEhiU3gDZw0n6VJDMBkPbNN511pSfZIoAsSgbGe
xpK1bPNkz81tUHRv/ZRXS0p2hLHXQa0zPdjDEJJBfxrt7ghiAo9786gq7u2s129dBmAfNiaZWzdI
TN/qKX1JJzvfdhX/Dng0k4IgUxJdZsfa/WQo967Dx5OL2kfIf+h60gT6FPJ0bZTMWOwmYScw7AfV
2Wmavp2b6kdP8y3ZkR8OgQaIj4J9UUXaCXUCSbQ1FmxRO78QDzyPC0ACM6CP/2JT627lRUbW+rkO
baMVxc6Z3Q+wnXAzW5I1XLLdMiuC8JIoT1rJ4redWp837NxN4gVx3ueEpc430Fl6at5+JClIbN7D
xcv/Jt3gUii0wINzo8ruPGuqZIlr0xk16YnB1n4OjV91qJgrbCQZauL2ZuZjZSR2SuWwaVKL/MFy
mLHPk0yLotRhkxmakB8DX1fTI6/evhOQ2ntDuZBDSdgh6SW+SJSToQLaiEM0D2W1pcO8p3Zt+ZjD
uzbrt7XN89A4fJKp31j2qXeJUJ2NwwBXJ2sOVrRo0Zx4BxdghWbtYJlvvZ4+AQ5DTdFs4eghkkNj
WHIIqSUhx1GwreiBq/I9aguaK/tFNmKPzHPdZcYRRedukNUGuNFauBTpuHv3aoyfIEVrkNoPdTCs
qXrBx57R4r5MOQa8Idu5POlOJl77rLtlHrFL0c0y2trGXZCuzTbYAdJA2iqbRyvoCGzqr2m/KUyF
FweiqgmZAEX8qnA1JE39jbBvxpn1s4FrAD3RnTLrJ3hQG1lBBXTRI8MZsS/mGP2qpiNCU58F/G00
/uRyPqumtUmSedWoOo6Ssvb1PlmTmH2kfvPkEP+QRvgdhcatbnVn3Wp2S0S1Og2+SqXOYMt9dRbP
bf/TmcIDv3mZ0Wi2ZnM265GXsHzlFXkGh3Ows3fppIiDCzgvybpNk5te7W/tBOJLaXK8BNHJ5NBi
pXPXwOe2h/HcA6yfKmC8Zv6eh0q2nhTj07Xrs+w1MgCnkx3GMB8SnVGRIK+ZbbXoP/q5f40S12c0
tUtF8jU3xSdpYsdIOTlVsCpGDa0Tdkorqk4t6aV5hmAkcVZD/KDlB51DgYA3g2OZDW9EZLXR9T4o
2u2gn+bE2Q9adqu68S/6Y1+nDyHUkPuz7LZkKCDFZnSeqqcyRFGWufVNaKR3TcEadbbu+1yCRmPm
kndv0anIbrT2KTHStV4rm6pNzlXSMiMBNaPL+JkNMYqbmdYw4p+VXOx5XfT2lpXvrszbbwOYbhSn
u7HmA2Tja+REv1qwIV1iSEKslYjQ15ZtPTdj8+nWfeB3hoGYX0bPZq20Huid2RuT/GkUlnHHLFZ4
1mJlBtJJYVPiTmLb5g1KQxBI5qUdoJHCMC/MY97CZGJA07+0MtsqENtWttE8N2m1AybLZLzxzWVq
qsktDScDk0eJIwW5E1JlxwOvdl9XCH+CdjsJNKqS8MLwJAfT9QZM2K7Low5cyB1+siiH3HDX1e5h
yHEQdAg82wPZlZhTwU/cj3O0KdtNZCEEDkrQK1ozriHCcH8A4lD7+56raJlerSAnz+5TaGsvtLr3
ca9yHjjbOHxM43Tb6eYO++tlxheDs/ZmVPM7KS65zgNEsu0cvyuIwscaKG/Zoytm6zB0O2vQbhhI
hyulHg/IJIQ31NaPy3yHd3MqITgL4H5NScAyjURVE795EwtovJnzaA3hxjG6D8R8K1V1+zUcfQK9
qB96xX5BgFZiIXtGH+xDutvjq3dJeCQBhYUKJemI6hpt6IPIH6Xph+VkDF5/HVcHNoo8Nc+fQpWc
40ImMWILohVtbuRGbeeDHRTpqXKs/EsxI9cvyDHfB4HeUEM2bvdqDmlJjz4T+xubvSezbvopEJFf
3ER1Tmwa5LckLdk3QKhtTRNZGVk6gfSC3vE0x8T5werqyyqy6M7Rc+uo1iFjVg77fAfILn0ubdfx
M5G797PUF4V2F73nVMO7DLeJvUoUU/gdIWmHBOpr77HiivxMJ2dtzOK9sKdwZ4Of+cW3dL6Qps2f
CrbqXW7i7gvURAAtbAhVgER560RTc1CLJD+il28e6PeojynMwMugD7oDvqw/OvzEnuLW3C1JhNMJ
muqxlEa470nd2dhMUS7FrIzrYBLOPqwVbA65zNxtX1b1CUxliI25IdTTdOe94lbtSSvs4JA1fXtw
e4RLFHG0XmPj8rmXVnXqDFug0p1OpaNJ6hl0/w+l09nPaqNOX1VZoPbprGATIre5Nca5fBt1rNWQ
RhBX1jrvj9OG+aeTWP0r0TomwBwZJSRAdeYjhNfo3tXV6a5FynQWQ2PeS4PoqQad63EyniX6jtaR
zdaduxH+uDCeFMOYJMOYSXszHQVtPLGba2MeM7xHdn8e4tm+mbgw3yMztneY6ZwjBhiy6Zu5uPTY
nS6m6NrbDFjJnnQudlQmDEk3hEsWlU6PMrcIt8wlMbXpFYwDtNkM4jXhkY2Qb90orLYIgjhVUtjq
qygMNAZ8bOCI6TNf9J7BEEKw/D0xM+1cjb2+M8iWOyozEzNrLpgdZfGlJFg56r0E3b0nu2y61bSJ
m7TKJ/kAC9GbCMpup3yL6AZ4bT1/mVkCBH1owbxVgXwMFOvJwcaNZvbNirOdYeb7qMTRNfcZx368
w6p0hK7po21bwk5NT1GdcG0oLspn7l/VfiX9as8AXPV6YXxbQN90LfkwmtRHo+/JMN2gcvQLKrdF
cWqOYDoZ/Z+d0FC3RdC8jFr5qBXGPiYkJjP6NWgzL0p0fuJ+K9OzpjbPQrBEI/LrFZ8rZpAQlFeT
W4/SkE+BIm6rCToEsKZVHKU38AT2IfhVPHpyXwmotqaiZbu8kClULO12cvqVoxmZh4HAd+voVMdD
C86GopylwKrXjI1sOsiGiraufLaBBEOturIlGGdRKjkb8vB+qqJ9+t+HHfqSh/Db0MUxLODLKqso
2BOGI1T374YuFiS6pDMthPrZC21+fJzHfrwdhwoRqMimg2otO9wynO84n7Djx5b5KBIQFA2hfQPr
5kK+OqnMP+3rq5Iubw02E/dsLm9StLxT5K8Fm3p5z8T1jVvevXIO04cBawilM69mv7yjSMeq07S8
t6DO2+fg+jKPod4e+ixVDmHAuz4tbz2ogYqmDihfns/1KWdfvR36YUlEBEa4TyAMkCXWBBekA0To
LmeLWE4Z1NTDPgw4eVTyqog9GfRHG3vyXS1a6vMwiroHNSnbB7Vs8yPT++ZQzU13G850Y+5y0mmB
yZm3nH7Wcg6ay4mohKX4pS2nZDN18Z5kWSLk6giT03KY9su5quCS8fPrYdsTS7KbUid6LyrqDNRc
7r2RpIQfkc/0LPWIhmEYFjZjNJBnMw3RnYEx4itwldHPiUHQq4RL/noJlH0qtsNyM7TLHREst0W5
3BtIR1nBL3dJs9wqzHPKZ7HcNMr10uG3We6x8yJ8Xe4kZ7md2uWeCuws2o8ATMrlDouW20xwrQE2
YmbszO38zZDwuGSN4mLWRPuMF099da7T5inOtJfJXGbQ+TKOHtwRadgEb3pThQygUp5Nv7ckcoOc
Ak6LXYbZYwGbesFmkT3la5UWnSvJk6dnNWYlQ9lZSoQS0mCl/GHkZl/uSiwzNDfY6zYtXv9mjdpv
+Y46ZFTPzh0yK8dAwXvLQimKPJIusktZJNaHU2vaMU84JLbWgGB4xRqQSgG1XwFrjgTHT12t7qSe
uQFKJc2sN1GgU5fQLXgYsFMGXrnlIEwgsUo1cVvKmrRIus3doBhvzUIthu9NJzFTV848vhMCCi6b
0Scp55GMusesi3JfGZJmjaAiPw8qTjGHhv0XTcyL4qjmSe9d128r40nGlJ5S0XTQ/URJyy5yvLgO
s3tnsJQbJx5Tn4ue5Ec1jR9tlbxzC3Es5hjrMRbJo1PHEQpWN90VNmV2n6uHUBedX8hojDbWKCl6
OvILJaGFsVCZlYj4Z0IqyfJrjqiK097XxHSDWRbUW87/PvBgeIktX81elIcCXewGgRWy8abUtpCc
m7WQxPy0s7F1IuzfWTEoq0itzQ3DVMYqKpimZZ/lMlBULczLVB9PVTk+lxpYkQFE763mZNHW6HsJ
xLFPy5vIrqJ1lobltpumykeNgEQ7saqNg8sQg5hsN1LjXYO7biAZL+nAQLQCAW7fh0LagHPS+DWe
i3cTxdoqN6tmS4Rkt81dvdkGkN95rGIW6jnby0a0QE0rq1shVK09tWK+CCXP4HZ0c0qLSqWdvyCY
cUiDpGKaIlr+yAnK5zLo+A1PdK3B0g+0rnzk68x9iJmQaxe01FPrWMWx7IhZ0yqspBXX7qkM7G9R
tfljqpEl7YwcKEpefNPF/CS69Yi5Q3ijQN6oKaFxrkqy0tk8azQ20XeLGQWxD4qJtG7zNVWBYNUf
f06T9jpkMDGTEwBonggt9sgDu8yC3ClI6D9WO99PoiS5wukJjstgMuEssDWfpiM8t40m1zpKejqR
Jf29YEFVlkbzINmVP7m87XSv4guhks7qO3mym2wnGg4uRXcGOuOqWUEfjG5CWz/CngHQrPN+jQ2X
BBz6eM1A+iwDk6Vnb5c1qhlZ7iMIlTu46vNr4ixNZqgjLQTNwNchF5m9pJPzexCn+Vp3jQgWQKZ4
BrHVtzZZ3h+I1/U96FL1GA1uss86o70NSru7SIQ+FzNQRnTFOtWTVtu7camo5FJb1UuVReJOdgdU
hsprqcE0pbP3ylASRXutzjhxjSdnKdmapXjr+cSvF+8/g57+D2IbWyaDfcr/vMO6/0g+2o4g7N+3
WH9+1Z/QNucPzUYWyB5R/5slluX+YTgstyx2R4b1FyXhn0ssXf1DCJgtlHgQLHnrUPH9VS+oGpTI
cNx0sG6qaf4jekHHQnn4W0Flo0dERqWiViRNCgnJlen22xarVKtRKZSu3ZC6ktOnB4vmWctM9M+t
W1r74qqKbkfZWlv3qpauLW0u1vkiom4blzI510LnqEnCNAd91G8sTvLYy5FKZZ49NBWY8qsyO+lz
rb+BbLXpr8rttLaHbjs1sM9XUlYY8PH+0KMuwm8QUQ2XZV5Ye27UqiFrKM+rrQXN9Y1IR0iXAv8H
8U9DUqJuK3NcxGoRhDdQd61Pva57P7RRoo/SdejYxXyqiS/w82pOPZfj2q/qPr3nQK6/JGuFj+mq
aVezwPrM06541VB7NayPFu07CblRBEUOSbxUbUQIKAeh11zl8tWAIw6pRD4+oI7qIXyazFhYJv07
e2eyXDlyptlX6RdAGuahF7W488h5CMYGRgaZgGOGAw4H8PR9wJS6M9VlqtKmrBZl0kZSBkMk78V1
///vnE+98SnAR/M8jW9EScnf68psoGU7KojLPxL632n93LZTYmDfKf6lPKdgbizYejA+JOmfVE5z
W0qrZddhqeit+aYCMFQQcxDftIDOW8XWxGUi67vWssCyyC33OuVp5kbVQo87BY65bw7BCBYmIRzA
x/d0d9bWkQsPDdV9xQle9VlBlqbv+AbyYuHvRlnu2qzKPpxe5Zc5c5u7YiEhUssanyOFMGLhKEAl
9NhWpwadLiOpRtOaUejmpewq0JxvwoKzEGGTamrR45ukkV7SbxwDijjZtHMkFnTQpeXKT7IWHL0b
XwbdF3fMQ9J7gP9M7mIonQPejW7vLPxH9gcLAvIV0O38DYmECy9CjmBgfGtpy1jTgABSoox0sg+G
C2kCD8wZJ/oGUKygAagkb1fxOyONv2LlZD6hn4EGQ5jJNdUiWjagzeuIoZJKgnOJvpGXb/qFe+34
RkloeOHsyr5NfJMywzc1k0aTHa87XCQRKSlROXv9B1qjM6fZ9t/IDSWWAwqWSF3wydn3qtPhc551
3irCNT+sjaory3U0lPMd4gNQHii6eqVYfR7EQvpYgM/ncQC32hcdPQwrixKat8pW7LS+USGrlv6v
pjeDDcldUCKpnP4k4slHEDEu+meP3Qwsmv8WJbR1I2cRFhF3RYoMB4CKQMoaG7IPkvkYOiNR0Fri
WjFrWA9GlAasU03z1oM721zmW6aoP6j+bV8zswg//CF0z4EeaB4xF4AqW1AqlqivahDLp7RDMztF
T+47mhGf9Qdsu7+l2AEuKxpBtNqKdQoCVuWeJEWmTI8KJFA7R4J2eagJP9IsCRlRfrNfkudAtrPz
mZt/PtkTdQUgphX7wQH4J/ZBys/tN08GG8HqKcWwOaxH5HMMDv7gz/KFRWsXLG2aR9facLCHVotC
K06pzwqhYlKzn4i2mBF0W8ML9r12DfGef5NvJMmKz6kFh8sWMK7iHT6vArNLf8F51jdBAEI3mqzd
0kixzrAXzE4uwF34zd6Nsw+HlyxInjFTRZ5VhLoss44uRF6TZ15R2YL086r8Jvv4MJnecjUVNzi2
IP+k2bpIMfPE3jNmqZg3BMOvTLrjnkRii9QBhLD6pglVZtEuwBwNypCynvmRh43HiY42sPcwM8Ib
+xtO9INWsh1v8h+ERoEXqVUIAkDb0nhtF7oRJsT8nVYCkMcwY/LNLq9lZc77+2JSPvbZOy2wZP4N
TiI0ycMX9xuoVN9wpRq6KUDut0CX2vWwgiPacuyrXLjMYCE0w29Y01q4TarFMBp+w5zdN9cJ4Jn0
kJ7Ownz2dqPei4UDVQsRai9sqDd6xqP7DYyCbATDgnMFbOdpQFmMzcO7Ry7MP4iFOY1yBsF4Oqfh
aGFlPwYLncr2Xy3hYh1urcapK1p5e1c8mm45evyzsXgh+jvTvZSGBSI/tkb5aBPVzl0CViuy1tYn
HRrBLW4J56dBse4dXTdktVoI6iIZQ3FXsinggWInHudtT1c/s4XGrQp/dNZqYXR9tsTrVMg63Bpz
G41romg6eEoWthcczC43XonKy5PuAv92rJnXMT3hLHCpe0HNFJOZTqiVRveyAMTeQG/i1pvjO/UN
GAciBjZmpsFTy10Y5M6HRmYYER/wpJg7u4wYaS3Ucr7wy+gb7UOihvQJlUqK3YK7cLMQz3Heqzd2
gUvMuVzsI2wNSPgu70NjFdKVcPEG6dxChj0oFBIbx29f6wSnCd4A7lpZH5Lu8OIzURBO9/Den2Oa
mccETGttew0NJEMzsYsV8N09LpU2+MJK8tEnLoFEgWO0j1G5MdHmBknAZnRf+1yAGtcNzCKJyi7q
VnbNyOTITInr8ESSuDlqFxEZPmxuCmuHffAA6D057TqhZpYWeBkC5I1p+FnXbY1ZxOqtlxT8d2bw
0QvvoKGxxpuZl89nTJVNvdbDko9PgS7Zm3es+nt03OTVswNAvLG1wQR4rSBxUCNRGlx/QbcpHMr5
apLq2zTLgoecC9/OG8hD4AjFRREK+/dQxP1bETrdZpyn7sNoKZjKZ98les3Ah0W6F/s3gc/dqIp0
ZW1zCgzo7qJA3r9MWW0Yzy4ylXYV60HU65BESbWxWzoPb1rQdGY7vGDIdzRcSbZJ3DsQ1zIZj40w
nJvWYpcBC0VhyZaWDWTfAfHbYzQ73VfYMn0t/YLAjRs2xbEsu4hJQ2QOAdy0Gd7OMxgswiUZXfXc
RBcTp960ZkWbfpRN55w8KQ3unkPafzQ20Y1VT/vzTxOmPdugwFkc3Ab3mJXCVx1AxFpsKnsTTwrz
n2ImEOlRq5HzU75aEm/YSuX0o67s0T/lJRaAxqY3c4VYqnvhEMUePI8s+1fXTvKHorXrVJReSDeH
HSIe4ENpvEkYy/FJEkmw08DyYlIAtCjeqsBihOr4Xr9pmOnMGyvvJbkitohHj2RqxvDEtMGs5fLp
B08J3j+a/H3EzucrXh5hrykwJc/JtfpeR3P94vjk/9deKOpjiJvnR6ZblR0QCrf3AxuSehMmtpy2
SvAlL6LG23ErrTi5jlmHtcMhaP8OPtTe203pP8SdZK4T2z5NcwmVA80yw+J1MnjISHOH2QX0c7aR
oaaUC12ZXhkcTO+9xNNnFS+UHm0V8yJ5nb0XKr1QpyR1CoMsTOIY2zClp+g18bL6y0ZAB4TYTzwu
Er2cjrK0mRExqL5456AQPyBJnpJLCO2PJb9FF87bJkpKJKMiQNLRZowqeUBPSJqytH/JY9eizJrP
6FtFsdO5UsOw5S0gv0rlWQ86xxS/sZqouAdMInLQmtGLPYze3h6i6EtRhvFMw7o+h55nvE1YW9s1
o4z5XteZeuP5y3HBbXvbXTNcy0CEl55lXZrh0UQ581qLCQRP8Rnz6rsm4igXKoDuu8LM8n3dC5ax
bkSvyzohXltwUjZz94h8j1NMJ5jDH0JO/yc/GKx2VQ+pcxSd7Re71sw9gt4pn26A4mk77WMnTcRp
Jld/9pQ7tVSYL4ilyMiybOCJot+Haih/dZJk1rrAGmtvO+5SL242MQf0Uz1Ka2+meLhYlsvUPQkY
VWQIZOiynTdrTdYB4CEy3mvZBYcJNjysqesuPGyOVcYoYD0PXHc2SK7r8AdaBit88Njnd3uSJXbj
UsdgeSzTYvVOfQDaw8TPdrqHdEfvHGwT260NsAvXJwvk27wwZ5qqLmDKREmU49LXN4MNI8fH+bUy
Q+/J5PNmPhHTi+9pP2uLOzY+y/5lySzYFzSYKPxS0JViW4YJAzvim76zdsqB/kLyap6cBErBtm2v
6VxzPMJBpnC5WE3p3rC5r+KTZ3VDehvqQPmUyMSxPmSd6Ik/eNV9H+DSu4QeZ5KnqcCZvI8IEzi7
ju2vOHrQQygYkkaWBxJA07TDXzR1P8t5Mt/pSgV+aCblxT9zP6EwLhgTohJJ0TsxQkihbXL1QwfO
z+YYL55lT7QcbJLJNn86/tDRsN1LzMNt3KDLQ0gWXfj4bvUhDy11cqfSwjDhddahNm32yAmZL46B
/viYVn1ZHieBR3GXSvBUVucqya61G+hgDZBQI+fK7W6HwGswNn2i/T0mtig+MT8e1Y4OMz67KJlh
oVi1agK/wvVhTpAcPsYZCoKK7m3MOW437TiV18IhAAQhnXoz8SaYlOZUmYgND3EYpROqqzJIX/iQ
8rsjCqKKY46p9WXQDsjSSohuKJ+hpt3sg1n0UN8n0BqAq82yyWtjIHiz84c7BrnRW8bhDpPC1DfB
puPbwewgxTQfrCSkACk16E+mutkL3NVsBP0usBcz8xxK4yzK/C2impYTOaHTuzRHLV66cfPTcMYI
dtuc77IueciG1lS4JHIig6woaLibnQFNwegzhhUxSgS7L/mYqujx+30WnPXYDFPxy55LLwUHRTr9
mhLpOMeODTwHVnPo0PAN6lFZwOy02Th8/nsAVAOpCxfBdfFA0y3PJnpZ8nMy8o7l1BIL5Irh5Pnr
xEiGjy4IWQhi74cAY8tcMnrlKlwcRCcTpq3DlLx0iZPw+wjnjKmoSKzbyXcK+4qWfkg2/Gk2/G41
mMamzWoSlfXCHqx7aY77MamCz5ZHv9iOLYmQznK5MeVZQ8ba8KsjNLSxLvwgvkDldJSElDM0Q5F4
SGHnknCiVyTOQ4skEHiSVu4MncGMrJQfh4/N7czrsn/iJx8dXMr3+PPMT+utnrtjY1bje9KZycs0
CdJJbdJnewwS9mlwrKVWL5rYOoRW8ZbgiWgYs1Phsg5qyyw3evAaE8NRZhQ3kVItzyUH3z/MQzq+
tAD/59CfUUSOaOQ0NHus203DZX8DS+q3mx7HpyRnkJnDRmNk5YndRv72v3a6+ZdW++7fvlvuk696
Q9XtX/7D9js5f6++5PTwRU94/3cT8/JP/mf/x//19Z/M3/NeBib+J7PLm/eEtonq88+jS+sP3Jk/
97cAvvcbYgCwZpdcPqPKZX74N9zZ+c1xaBCgphenW2D+OYPv/wbL7v6740vvN4p6/YhBJMcnvuS/
VlAfLTjzX3BnL3Sc0A8jm+OUH9hLSP9P48s57MgUTryaJ0zT2yp4T8CIeVbJ8iZ1p/iCgMXbUJX0
XDc5KfNcGXuuscX76HrBNQN34U0c7jOPo2ja0LjjsJxyq/A5cctoU0iuQCu1FOxNecpl0h3uB8m4
Rdu0cOtGFY8dtRWEyiQng9QltAZw2/nXCdEE2TGBgyvjADvE9wqNrV+VbMhycFwni5/HNA53EmJq
FZTehdyZ/x4IXH4DO4qutlmXhBFSH8RTuJvwrRUFEsiB5BcnZL3THcynnYW7mTU5j0BVOhuMhxk+
3mCjEmls6kjftyklrG70qdHF6qa8LGVuU2c/iNI717JB16LIldb2754lxpORxkvAD1ni3k7lo+Bn
e1ujR8ZdYzR77p7PIwkn39AX5fHDjPrGuWQT37KgE9Kt+n1rcIBmaHdF9UBw0azLvaBCprGn+SZ+
4arATLmFd8LkcHKttLgh2vPiU21WMK+lJmtqS0QLjLJ+R/o5byJOJBYh+THknjNlTy35pLQp7Y0M
SNoODRNKdqIb6tcOxqTuMSMPJNq68VmJ2Ts6XIEbcqwbwbiXWjJ+NEGbEFBJ0ke8Cg/pgtd6ywqO
BiiaxkHOMyo0MAJK1DELrUrBcbOeCCHuw54CuAJI5UhYf3pyyvrBydEbriyHLMYi4nhkdsyBmmFF
s+/ptrod/WtUes+OmfV76l+rOy0Ng0stUKkJs0wWElLqldvnDcZmrkhY/veZlpdEdkcDAtick1ed
aHkexXbyJioeVXcjZf97Xj2aXOw3Q7DgwDzq11M5QXtZW3cc1iaX/hUTGAPbEXOKxm5vpsG85B6d
DxPncXpldmgol/Q/adYXu2go4k1LPLz+8ndnx9Y0qF9szGdbYPsIJ6ZfI5+E1FOlGJNK1CX7Fnq0
8qx3l8qEM5Lg34ssujoQ/q5Zkh1r75w+ZCGXAQbbD3JOrbdBmvwZUYutq6LwMfIrWpzixd05kZVx
Smnczqnj3Vl67jEUW+m+ctAeNW6rzr3MRb/u+IxFc+I0JyfupnPmyvDdk0jQIlUlZ8OKwiMRCoVV
L8Yw6iSIMEEnxCVlun5kXihpmJXJU4fvZMNLteNUyyBtyhFfTq2u71LfGRA1VcXPfIqDx9kVSGTM
PIerq6Ai/To6N5Hwd5av9a63qNxG/DpeSSaVT0gox6ewoS0iM5vyuZQTJ7aBAtWVRA743lO2ummt
dLhxdeRdI89tLvkQ6nuCy84NbVPq1JvSerMy6r2DpB6pw4z889K3cZRp5N3OOLS+kEKSz+0oFfts
SvSNXD/4qc9Ki2vWRPrixUVPl1ZoEZwaILzDcDQftDO0NxZhqkuZ1+kzLuoIXMCTF14qwcUxtHmh
2KTHoiwFn+BlE+wtBME3Ed8gkVZEAdm3M+BPnzL/DrLkmH9FpxZqOWKvRozPD8GxAusfkKUcI1rt
dDOsfJIUN40r6+GYdUN308LYblRs0vhnab2abEttLIZ4HCPQ6noIhLBIqWcO3caOSUPLu4A7AGMw
q954iTBRYxLAgDRN3lDSAPmLOvHu6OHJztjdbqie4yC7kLWNb1UrNw6L65RwiuKV9MxooV5JN/JQ
xAzlerC43WBJepKSWYBSurz1VRJmGz2p+KnR2jb2kTex9u2CmflKWvGFGQGmJOr9oJn21ZzGCoYa
weTeLJcukiF26zeDK7/Y0IBQM5WzqmcnSMO3zk5OXdHPO8MOH1Rg7KnXqdYTfE9TTd667Wn8EWbh
71mJXQxOkAduFYxJlPPQjP0FcPExlkHIusJk1zN6J6MQnLQqZDa5JXJ8m2pmGZfRQZKCxMzucI5l
fQkEb3/B0opxQbLTjIagLJlCYKdCxLwA1ung6VM1aPwcDLSwDPjYaZdORaiTYrdMhh6a2U+wySbl
jZp1sI9iRBdqDnhVzaZvXnTjERCkWPQiPCO6sjVKn1OTK2Ei/PYmh9Z7qC3f5KTvEPqLxNCf+V2P
l6rxxVWbfXS1fIfXOw7Q7jNIgO0wKTjpV1nU1XqkZnUnl3fKtLxnwuXdg6kQadnyjiq6UJ3SeHRu
cqMa75tWtBfXrPh8TrvhptF8VFKx1723EyoT1itut8uXd3C0vJcZ+I1PcZBXT8PyTvcsPn0gDPSu
XZ4DYnkioEj2zw2mzvXAzoLXQRs+gmsUPwFxhuO8PFfm5QnjLs8ab3nq9MvzZ16eRGJ5JtF6Zx65
JYpLlfg8ssZelq8gZuqY5WV0bHqdnIsexmTo/fA9K+zpjG+9IeWWB3cpCPeyppjVmQOIjyQuTPfY
SHry/MK/4582blXLvcMi+7sVAgcRFNq0gBqxDLnyzxEnFCZkfNtLuSnzay/I9I4JMZHwFiaAju3E
kdOhdNNyuKmCjIIBr/UK1E1RN28wRXkRQfQozk7VzM7glTYRCafl5U2/phk97w8UHg/JxS7MZFzV
naBuWfUhDbQOhJrmbSe445iJAQoVpulEWcK06MHK2WOeOXpUba0xVGIyxuVc7ymScG4dY7CvlOd4
96DqFpZNB41D5loP3Sy9fO3McWnuWz8tiq3BqE4zHa/pfM2b+MMZ/FZvwqjATSKDOTW2qqRQlg7j
JccZ8Nj8gYpAOOs5rSyeLXR+oS5l+2pdpNPbjMFafi5Vex/ESIXnLINu6Cgt7u3q0HmhucuC/rkf
Lj7ID3NV8xqEUXN1RWqyVzVovxZcKnMJbQXzyNIunqJVE9E3VWLVWkGs6pU5ZD+bPNK7KdO/rIrr
fSgd/C+TfRebraYok/eo38kPEXwwSqJu244xDgeTzaCPjwGnbt1VFpj7IK1J4lkPGWnqzViEEFg6
PqSUya+TUppbxd7o3Psj1Ut1XK6FcE5xSPtprvjME/TxGnz+b825+VV0DOz5HZFTnxp0EKm+4+P8
ebYa8bvn6vSIwA9NS1HP5yzv9WrUdf9ihea0yax2+p1sCq9BldSNAxP3rRv4Vg/8117hfo3/+1dN
m4mAHvu3/Vd9815+dd8Xuf/3X//1P/73uOfZREH+aUDl9lN06fufr3h/+yN/3O/C4DfXN0mUkPwI
nehPOqvQ+s01+ZdnmdzkKPQjivt3xtr+jQwzGRQeGQCE1tIB9Ld4ihX8RjMRz2teW9F34uVfiacE
/l9PCoHrM7KzQgeUNXQYVVpLfOVP9zuMEm3ICWXeNUVNBVfNQL1aSQocrkBw6VYGXbRTjRVvOWyT
V2T+Hl8s0IJdXIztmY5naxtDajAGdwQ4W9wkamXDc7LYjHUg9zaDxyvRtTQgGEA2LiGPSvwev+uJ
qUb7A8Kh2Ci7Lo4MYNMDyip5AM+h3r1Ti3w7qW4F4y1I6qQfoo3HfUCuS8yOrI4nl32zTTKjOpIW
dM9iFDFtZ43bIedzjCvZyrylgIMX5aqMRuMr7hSPT47Y0QeBAh62piYh65FtrVW0NA7kc82M02Fp
R2vKuMX/jf4hb5DL0cYrSa3aBOLh7yr4mr5407MprryNn2I5z3i/yuGIuFC+s7qCC7epK4tl7z/6
s1ss5hybuIxBD2DAQE9MVUpe3TCw8JrHnlaSXVJX8zbiR7e1kixljEhKheoZ/SArfNXska9hPRZn
O+kRM3X5p5003kr5tXhgX5hxPG+KZTs9/SRp7V+YQZozJwTqh+FWc3QbDDOdU16LjE9S02GZ0ik6
0Vc1966z0SeCsIlj4BApcFbQUTDqJZuTBuGzlczmnT914wNoXREdlxVXhz06aW9zZ5zQ85d2914H
qW6PmqKMs5+wayGVq+NbjOwYjcs2HHDhyCxoztCyBY7kqUnB4QJX8WnXJNEdZifbWft94Ia7anKr
Uzd22TpuaLijO44IK51/pRA730Xwaus8w0De2TeCsr+fBhgaFLyu9lVm1Mu3NFBilUThc9N33tbr
w/GSd+Vw21tBwa8y+t4jjKFH44qWw2NoIWhflcKxXxV6spcamQdcq5bWPTtohuG2O7AWlnF9UJTJ
HMrI1c1aK/TuvWknH3QNYm8SqbPF25i0iCYnVjaMEJJhB8LHQZRILA5t3xcPaaDCA9N0IuMIV3ec
BEu0tflQH9omqK/cDvpdMjwyEldrLpW7AJN7rRnr1fk03Kien7FFE8cbl21159XsLDw3RXkpq1sq
4W8om7eIdowzRY7FIjM3+JEZsibTWmJbKzyn3Bee1/OunkaE7lKyvMIfilmtkbact6B+2E6MBm7a
NUz9xVD3jYSMvBAFra6ahfkxaei0WmWs5Q6KeA2dliMh4LkLiSzYVgwd1hmS7pK4OithyHhna7Kr
RClEcF+JonuxcgkAOuKXvnbA1T9G20UPZ8kG0WdA7P/sNbEajzq0O0VBQ+LzQTk44fSTC7BwHim8
0pvOq+pPJtPkYEFvfb+5MPmeCKJbSB6tVyNJx5GLaeDRUZwMrOhrx83NX44fxxEUOI75DeiI4FdR
59FKq4C9kzD48mvTGqZnGiqtjaf68tWyR7c8sSlq2d7lebae8f5gHlY8prEOgcluA08Vr0KMeq8i
LK1rHvYvquW0YDl9d8MtsHoupOfRHYLrAhVzMZqfQZAF+w5Y/SrtmrpD5ui7oc/o7qaZ0blFazF9
VF3MIVuOnJ1k74EYhmz2mgZqDSHekxaEcLlEz940rgu3rT+Toa/vZ9ePvzKjmw45ia1PqUfM6bbJ
F7ZiYSWQXDPpFTgKr3sSHAzDtRt0YbLuoYXGh6lrg2EbMOXxdyAcs3tMMkZEPd5NvRUZOYpDbI95
vCm5sBXXqgwa+1gqR3F7tIVWKytP5idQV5sOtJSNM7kF301B5l0UsDbCGwYHXZRfR682+HhJCNVz
da9WM9wOMoC43k9IbzF8kju0iuS26MriQm4gWRvuOI4rw0WRjeqG96vumpPyM5IyKvL1fhrH8prk
Uj/TrpTQrhD56Wp27eanknw7a5nzllh1GnHXJlCtc06oiZt3bcDGB/a0CZZQQaVBIvEv/TLJM0wo
lqfoI20NqK8mExpqKEgRPU6tWUV7NM2OvTXLiRW8Kzya3PO0Lh66IOiIABQZyajYdxZDlVIJETwe
8OI2qE151iUKs2M20+6jG9vV1wIK+4C/kndBZ5TneioEZmkGwKimEeqTSWD7o9P+IRhVv+sKab4D
CD64A/oWelRi9WiOOV7bxOhovOozSTYH2Cggo4HQ4F1CuRWbnCvHq1SeitauT1PbAfR0SDmp+iBh
XbqI/E1ss2uoYkRrjJmfPavXjz1W63xTD1P/6DOqPre8h1ejYbsPVte6r0YXlaBtlXvqyH2svAwj
ndbTdY4Kl1Umq1YmtaQb4XjsnjfsqrOK+ZPbpcuW31nWx/bccesVadnhpuZXSdyyZciz66Q2sGgW
rvM7B6eJfRwr0uneSbjheowXl69uhmccMX6yFzScPGdjxvOOOG5P51Md9RJCq+1vDZLi8Yp7TfTa
FFF5sKi8QVPpmi0TPsPCoRiDxI8smDmvIZFCdQ4X3fGLFi6VeLfMKxD+hkNX0EaQm7cSBpT4lAO+
spbDVHGGiLh3Umqm3hCVlbfKnhkQk7FwqAvyukcGAsZ7GIIfrZncYlUg/sqDxixTF5+vjWLPLlzw
agpUT3FqmN3Bb0x0lHmquq+OERFQeaKxP7FIdINDPfV0qJE5DNI19aSCiYyZ8sD2ZwuiOGMxdw1G
k2AwZT/k7RPPaj6tkGvjOqiG+tSlzPnWrm5/ofkpDgTugl+KgTDjyJE7Ctctw2MU6ZXztqlbQqtZ
ZiZvXpzIi2dmAzqLgkyqOXXZdbDq51C3iKgKSo+sLT4h71zKDg1cOWRqk0IxmC5xTXSN8sdMJPYo
25zf+aB8dTPmzPwI/2HJRFvONU1l5G4Ln+KYXUWoBnCJOsaVEfe4JwsnY1OFjlC9CZVLhYmCMRpV
1bb+MaUlvg2qsaFBjZBGDUwGybMi5P/FlsjhLT1wf9rWqp6tNRAIL70xKdvN3EuSUAmjXxsdA4pi
Rml+tIltzHEDFsOXAdP4Cged3EsACta8RbM2Sqpz5yndcyA95GbudyuZ0RqD16JhKD+DjeRjX5/g
IGqiEZXLJTbgEcjmtXvVIgLcZRW45nOf50nOq/KUhE586JOiAbRK9BNOCb0uSCZuHMsd36LWLwqu
dmb7kbD4ozcuTZ1fY0k6Kh62cV7Pb2nsfw2CxQf0Q3LoYnuwVuEEbEd7SEjolYAP/S4xvjPU6Om8
n6aUyIHB2vMHS87RfE3b2ihXBK+8Oy7x4XEWhIK3jiww3CckNayVjhS6HRVV+UeTeCMaZR4QG+3W
XLT9MDUoRqqj5iD5uFj3fAYcR1E0D3Uk9AtMDDIjdsh632WcMo20Og+kngyyjSSkDkZXMi6RVUVb
WWVH+olOlyU83PJ/2glyWEKLQ4ItctfbwD8ZX5IsHqdO2+drj6G85wmEJ0+ZToNEN6+7O7PREZMo
i/47lnjRXZ5V8tG0CKrtSayS2tNT1f70WTzh5GgydI4c0KY3ZrrNLwWx0qyDHi/cmTceB0NRpfV7
5KvuybMG56Jcx74r0VM9h06IiB0LExknJ/HZj9nULq0HYUR7DCvjgVePTndlaqpPl4gPvotZRGeS
SiULiJqINGi6DoHFJ4d+pwxLMBIeOz0URYmkxeiChHSY7a8nXipoIFXBL7Cvnb6H5DGs9yjs1ImJ
eXLVdkn0ewqXI9jQJ5wHytmWHA6cGG/4Ygqdo6m7IOUnPNvSoWisZjs2o31aueUXD4nsPdM6uBah
mTm4WNpqy8+MxqEhZM45UO1F7TEBnXhjQTl1fjacebMidqE+Yz00jnWyiIMjes+BpDyltzxVGdkG
hm1tRBAhZrD8pe0OdDJ5RvwbfSZRw1tbpn7+MSovu8jGgwAMRDiWZEGk9eEoWqhYiNELZuRgmxP3
Ru1Wzba2xzMZE0akc55tKZcubp0MFroO/AxbosE0hEprHixNnR21xHcIV92+R4UZQIcp76egOOxj
LNqSvslwSpau64y4XF1toICSR0U51w+bKdcjlYbc/xi5IbpomljvaZ8jjcKatM/XvLGIqPWLBqUX
Up5t3hbbsST1QSr7oEMOBVX1CPtKdgLB4nTPnJ7yTrdx0AEHUXCekqrArDD2BWWHTnoYZw4XG0kO
L11Dx6ef8NocFklIb1svQD4jnTnBCl2lRAkideeTnz4W/AKeIm8oHnleYLlw+DY4GSFJGPIlcqL5
wEVLODzZmtp7fqEx16+3IONpOy7S47ae/wOG+P/rL46wbLOwRshtRjjgFsL4TxMFXP9t6TT9vM+l
ld03bJxu3NS3NnBpwUnMBSuQCt30P195/FXTyhgDxsZx4GtYebCk/kdHmy2sGlVUPu51mhQXThn9
HQW49Yb1YPrUzFLtuJL5ZFF0+/XP/2ZGMX9ekH//zYxNLNMJXBgf9x+A6cbzgCHLbt5TCo8fLAzc
YTXWvnGW07Kygx9dAgIAUP/Div1HrBivqH86irtTVfb+8ZdR3B9/5G+gGKkJuEAH3ssnY8W06+9R
iwBHPGOdJeHALMk3lxTE30kxRnGWFfB+DD2LdIb3fydxdvSb5/J75w/yYvd90/5XJnFM/P7hhWQG
Hmp5x2Zz5/Fv9x9Mw0utpC8qu9rDvHYHpMDqvRIYypbDwZ1TGN1Zt8x8C7oT6LULkVmXFT6RMczO
hJtYCXHBfAnZZn2StkWd5AbGLmD2yLAkG89GXiF4dg0fNMWLTxiKEtjY+d1XLiVUYuPAaKOtKc8G
ztGNjsJgFdQEvWWEsxDkYhGwvJD3/qQIYu0MXnnKu6bd2zh7uI6ZlPm2jQogukLBNTGwngtPGBhm
ccGfuEVWVzjX+ZZHQPkLPMxcs7j0PybBZx1/n75tkFPvbNdAeN/QiPZC6AQLlTFwTJ2U2Mgozn96
pSo2yczfGlM3hsaGAwbEGJsg7r7Jq1t2+mhUi7Tat4ZNW5X3DdEECiVx0mYWSTPNVuaWdEe4r1Nv
pHGqW+SROUm/u5SGkIORL2RuotUD+yqkJH5lk7zrM/t54v6XyHF8FKy+b7rUZe4YD/XeKIM7ZhfD
cx+ZyVcLvPVD+Nq9B3ZigWwubrkQN+KII2tb+rF4RN1lHyN7Qs8ztHcYPaxHgg7eEW8Zm/gyFpch
DasXzUyVaYPpkJ5BbMRLYy3bNnvXEKrA8SF3qlZYFmsXHQyPbpSxem3Sr//D3nks2W2sW/pVOnoO
RcIkzKAn27va5Q05QRQdkPA+ATx9f5B07yF5GFScQQ864k4kBcWqbYH8zVrfClm4ErWdshXt3frN
JdCPrnmqPrtz+G1KJn/eeMH4GlvVIY3lqe+tFKKGad4DhCInCvbDXeLp4M1xx+piTpVzRjpgH/t+
zr4wPIEthsEbW3cSy+tEBva1mCsqDmbVaAlkX+8rP8qP7cjBk8aNPuXCCa+auNKDR3uDTN0nSrgw
oKZN3tewOZvWm53wyMIMgkf63vKUybbdzGEBCsFKcIrM0RRFBJFUBYwyM8/viJCBHYk7Zh8Y8/Rs
zZlJ5BQz4cgp61eQoeg9Jjz7kUCVMVk1BgS6qrXtDXrTm3xAFCJWsCDemxI+StUeBMb+TV8MHbk1
Ls4bx792MKi3tVUHO7dj8gaJZDx2nApXjiGUS2gSiS1ASIE5btdOjfeE12Vggp5n725swBJoFTGV
EkUuvTldUdLQI9TAgXdzgUhlnPpybUyiZjBQiq0zK5oZNUGucMvpYNULXSoRObhKkIAjFHS7IPLJ
n6ub0A8hibAmlJB6PbIy9zMYqypn3Zaw/qIVXWur/CRjCKJOps4U6v6q6kV6T+uv6J9b2Gr0OgCq
nZ1rLhOZUBWgLYT/IVUjHJoIneS9qWr94BbVB1aDnwr4R3JuLxAxPwMNc2Eypv6hMhpnx0wx5Oaz
/Ma88aFUmTpbV/ODbp0Hlq60yFnTbeo6nB4jdqkrWxOtxXSFpCNFDKcsr42CPE1nVazN3mU7BmX5
NS41I18znfcgiwQDE0YS5VSYZybO3akkU2KLDdH7CvI93KHEtW/ohLmYhMcugmLzEU8w7+rowI+Z
8Pe0w4D1Tpbzju9xsfXNib6L2cv4GuXgQcBVgzdK23ZnCa88jZ6hlmSedj+UyXRMS0lsjtm2FA9z
NKPLD+c7EIByR5vQrkI78tAxTeMGSRgozZRodzkXGBPJY92nQc2SNARuifrZ2Vs9O8yV49qfqgSR
An+7nC70YOY6F91IaGgZvlLXz+uBbeqFbeNwEvVYnIhU89kswgLE59uddWwJNpapeOAih9TJbgXE
ma5dtR4tbT+7uBvgFUxZhW9l7BkZOjHRTGSt+9sY4PwuGejpwVdFX8Ygf7Z1XW+rSe1R4U9kerUH
hlHehgNDvg2FsXgnr5PilYfJOiYNfZl4wCOZfTd5ayJmBHnmJ+RRdt2uLBN/EzZZMK0SmMP0j3GL
y7nn+u/oi7ASqX1XSHHXetk2Fcy0ACpgxgyHVRJ4lz6BUNIj7F+ntnNO5hIeLmqmYh7Gsyw5u8nS
cLpH0hLVMn78ktJuHHQZmZswHG7Qh9wDS3A2aWKMu9kfmrVqgbZ28A33Nq6xvS25gyNVh7dGaBu7
6Xn4ymzrPh68Z0gSXYD8z2adn1bTW5Vw2wAKmifyMLggLBnhsFbuxKbNwmbfgUdZclKmjyoL5INw
sSDx28m2GA7hgDgGRxS0rCdK1quVQ9I2yAoELQuwvTPw0WWhsY7HNr40hkhOI7jIIwA+rBa88lcJ
k+JDayd6o2o/PXJKHIourB6jzGj2OCFDmPnDoFlqxUX1Ns5edK7dqbv18ISfS/TeX1lQEIxEJj3H
ILL/LM0L+ChMNry5DR5a9s8rcr62rujfemu4hgC6ep3MVzOPbjCiWhyzWbEOGR+Ra4aiWeAt4aY6
muJkLPGo2m4vbH4WzDmA+LgjNW5hJWXJvjFNWlSYuNUKA3u6MefuSO4v0cR+dbGYyrCcSb4SNBnI
nVswY2NwZDWPdqTrS+V/9UZbf1PeFF7rkShUDSDiLAmKgyOqVUcUBq7Y95lj6GsyC39TEbF1Z6Zx
hfgOjAjHG3lgTyTGkWkFWtpA7pDm1lpnqr6fBtFtpop1JKw84m66JT5RodF+4daz6DHCcd/WRYv4
dNJ7YTEUmHGjbHqiKAFYxe6jkcbjMfenOd+TBYxDwY7bp4oxxtjW/q1vyB6fkG+8EFwyoxSiRIlE
9RUF4PhU5V62pp93d72TcXrbdh7cs3h9Gb0BIM2AibSIr/SRO7f3sYjY/ZvZNc/NnJPlW6T2vSmD
clcExbTj2AtuijCHkMNQF6OTbDNk7NaRNJTPSezsSVg+zK0647Y56E73TGOdIgJknEc5V1ZJfPrA
DYMZXZnIcmeK+lDK/m4yxEMq4s8caHB8hi+tdPbYWuSV9NR6F5lOsHYTMjAkKjfOXaqwMN7KwvU2
CQLzm6p1BDDB3NnYWAGvoYx3GSPDeKNHPHlB7PTXSDg4d6tam4w2kmqTSGE/cfv1L9PcwkPoBsOh
nw+KI9D8q+3EV1Gm6kxKnLFRuCQO9dyKe6q46bFMsnnnDBpJI05lmSdfYN9y3oxOf+75oNd11t+4
xG4jukVd0UpENbK12o2o7OAUWthaUL6OB8QuYk0G/HvC8I6Y5yy70LlzREOzgs3MDqJuwUmWcywv
WDHNO8rv+sSmyTpUBMuf6jA558ZYf+hJIHzBRe1vLGg9+B0mA44Qy+6HhsbwNgjB1cBSePezgucb
gOHWnD5IZt0jKzqiQOrurWZ1XA8lwGKL+L0pr/duR0hxKEzjVarcfytybWxVHRvPhdNscndZtiNd
ha/DW/d1xNSxpaLEEMf6EaZkIRj9MYw9gVUDXF6zrusH92DrzuVNzaNLGBnVnedzSEVltrEXSgEB
DvWFTMzmQ6lKNomyXibNhDxw42F+w+KVrOewbvjuILPB/RyudRQYO/ZawXoGdbOvhj58Lqa4vkeE
5m9qrCsPWMvtq4s/6EgNph9KKyteG5S4SFMxzxhSTg+WkYvVoLoMsrXp7WvlFt8Chi572GPO2q+p
oNnQOBfLxNuCq6XI35WlYlywi9PDZFd4RgWmHqOIKo85aK1eWkGOCiQa1vZ9GF3NTIh9ZOfiauJs
3/QDthQ3bttjiBPoILwi+lg4M7H0jNw22tD5F6fugythu/JlMk0DZZUmxMXu2w9BW0cPKaPxx1KP
1kljMuPIM9XAW8+4jjEx7E8AB+u2XQ7XIr5vE2eHfiqmYGvblx4oMmPPUV89m+2Dq+vi6rQd9nEh
ve0chl91wfaZzXjs7opsonQb7XCHRdX/YI4Nqyuk7g96dtvt2Jn1OWoTl/rTJUurk/IjLWu9nUlf
+Vp1obUJaACP8eSXt6TVqOtgxuogHYCqnVPUp9IOBKeGE+zGombGZqm7lMgHVhRU5j5iYdaiJkMu
K0iuFnDmHIA1HjbZrgavy0/+nGIfrqwA7R2qJqmb9BsvtN6GQeWdoQMgScs6otd1Nn2T4fy5y9Np
5cMjZsEOw89sRhO8g4ktZ4i4f2ZFeA7j6DqkKZUjelqrmtINMhayPzABviojmTZ6zj6U/jADIE68
m0V7niNo2xXs4tal1erz0uTjQiq+kny4l34eQFwi0CRE77up8Ey+xLCGbIxoiw6Xaw5gLGN7t45R
x/aNeXEowdYgworniAKeYBYxvEQCS7lRi8dkisKdE+5wf+7NtE5PYT7cJxrmeaS5uUyU5Bi9jcic
rgs/akcqHGk503ibOO0nvp4jmW15cgVJMLODbkjk7GqPntt19s1sAtpMRVGtpc0XNcOn1TWJe0vM
K5kl4hpx/9zivxNLbaCQmhvGdqgMa0ufFx58okix76rmfqgytVim68PQBvPWkEl+4KRITubA1LkG
UH/bkwAAudmr14WMbgbPFktejYhOauxNvSIxmrD6NLEswOZhS1ZcYL1aFsXTsjKuM8wShIxG67IC
FEbhe4jLS+pjD+6jQV9yboUML41xeGxlUnzIQ4uLx47N8HMTwvNchbE3stOM61Egqk/ugbAYD7hG
8i4/Ng7UL7+DCkGZKYdrmafFNekS8yMnYHOtjIw2N2544kla+7iXzBERgBG89agTX9A0A98e6FtW
nQIpssqLcToWDXA8QA/dnvBQF03NmJ6mzu2Pcirlgz06zr5HU/7ZbRL2GqS7qg8lG0T2LJDq2wr6
wEyg04G3JjiHtVkesVD48FQ1uyxwcWsFyGTDL3DAHwr9MvQqf+xq7VxTzyr3MV7SeeWK5tbmM723
gATvXaI3XyJLf62yxNrSCS2IvQHDmsl/ESnKlta2B+YGcllbM++/5bQ1t7lDvC7VR74C0XYxEpHC
63SinUdhsQrM2lgEPKTzEgrDjGcmkfoKwMx79LLRQMVlaQruMr8Rudii90AEFeGuq7BeH9xpSE9B
Y0Ni6cqn0U3fG5gd86QMECPqS5o6yRF6BaJ8JJOCJUG1ssfXlubH5xr2bBNwYzB9LGuoOCqJ4/v/
J3PP/4/EhQCm5G/zMh9VSlTx9xPNv3/kb3Ghjw8Ma5YjXSGR8nlMJ/8yj/n+H8IUriWYXZp//vl/
SQv9P0yLPwiAIplSsv3610DT+0N4BDXCzPqTiWX7/8lA0/yRJEpAkYOqUFo4Qxi1+sgcf9wDYNAW
hS6gWzhoW05zownKLNWNE1rVyRs14e31jFcEqsNWV9H4rHQanQqT3rmGYLgxgfFAvgKomcQtHR4d
/0ORowoqoQPe5B6mmd8P8n9cIfz78/3JMyGNye2UP5mHQGUgOZ1F8mExgSOtjKoRFBPzIIHnSIR/
BcaieMWj+Cu7hvNPb9ViwvtuZcLEM6+okKaDijBbzOCArmhV8J7VY7lNeqPcIKag/jBRL6aWvB2X
XGu3Dogygym9TmhqDtNcEIdB1bIiSJfhbRPfMmrugQzy7rn2eJthtr4Ju35aK4+Ur7QpxKGd1UM1
JNsmU+CRBM47QpUh91X0sW+pMqYZz5iu78o45x7W5f3jwCmBlg5PeprhnMoqSO15IMobVCXqpoEs
9CHuNdW1UZWAtuHCTDlHINKurSg+TwNuoQweMXozzA5BzHhOm+LZ0eV49Miz2Gd2hsphjBRa7x7Q
TtB2CEet/q1SUrCtJKhiLgt89RF49SaW5b60kmfphrf9hB8Psy5Lno3OjDenLYJzRwrqaUqC13bG
TiKDirWMIzZT7FqXZI5u8hwARsUoZ+NPCSvnXu1tTdD04HvvHVj+DS1GsaL0OVGnsZwdpltWknLX
1mmHByK010YM+akaxnHHaAh7eqauJboPWCeCZXj5hAjmFM4TE8kGTxn9EwhHqL81EK0QlpIt6l2S
OvhxorzdqRlaO0MUZ2tpdtmcW6THT4IYvIRBT6uqDjyGKz7qqIm2JK1gpkSiMzEcUve6D+wTV81K
Gf0Z5TuYY99iKhmPT8hOh/sxJ7lkzB1Ma24Pbk1XjD6NJ5ZxCLsa9EngPQHHlGV8G/SRvR1sO7vQ
t21lisgXamWI8NMV+07F4dFxKn/tW4RG1szsAD+7EqcY+MQBWPYTDdEJZNLWwCm1HuL8ONuNvclA
ppDuwLd5lLax0xVqod5nP0nw2nTWESEYo+rUXkAPdrziqUsx/uOD3dec8XCPn9g3blo8QlBAeC8l
FvgVwtaDa3d6TXqcty48JKSZBTw/6ysKKtiSA3Yjyae5wuO+dyXhqC2zdBvaVCwrep6MlAUjNPx1
mCUbCmAaPs8nR40uxSyEOMPb5FLTAPFGKBKrsupY3OJ1fUQVZ2zI5qA/cR6XKeEmJa4OLB9mhLRP
rq5PvMEU00p0BBWDD8VzNRnW3tDNXlpUbY4bPWCf9OleAwa16bHO/Qfl0wfX0/jUjQoVpFp3XXwd
cOrTomPSQpo3EiOV1bdejfbPA64fw8+B4pEqiOug5EX/nir0Nm7UQIoH9JkXT60BH2EMdnWcfxZm
se1YEWwyD0wXNneguLZzDSY33pvYDFRS3yuqWKwdt6MXnZKwsJhLg11fgXXwdlHoFkBW7bL9ZFqm
5H0vxOPYItayMuuBuKZoFyqNfzEYRtB/uFJE0bh4VkY7eI8xTS20XHUc51byUQXOhIyWaPOwrqCh
TR3ZdTFWkRGt6aGpFMLu1DKYYLfRpslTee+HAEOzIZ1vElH3hwyZJ4mRRO8h5npGHmytufvp8yR0
/9QEsIbnjkmYHRmCzbDJaBN0DLySwhOEdYyCkIa+eajDvL/TvV0dVImRN9SYgDOAWOy8aHk7xHYw
F0MA39OpsXBBSzd9moqkA8aBvtFNnRfYV2jlKw9i7hQRk2sV7dawquZq1X6/Fj6zos4BO2s1AK6T
FGBt0LbqGC0lcGI0Ym/QmG090ny52bXyLaeC8sKZ+x0ai3z2AdlonHFwMOdDo70ZFnf5Da/WARNV
twfpba0NGqYDLNgPNpP5raPCe0+RcWTGobEb6TQBv8fDVhuJecTGXFzp0R5+f4Dai1fgX17xP09Q
3zU59yUh3Oz+f9pggljWSdHO9NIDslBUsBaQwJ4gM3BVDJQbjzFObaaP3Vx1h7QwmBItV1cM34jZ
flifWds3uJhKNldJc59i9SNHouHOF5lFcZXeHJIjItQmGbLoAMKpICh7xJ3ERGzTFuLU1MI/UN5/
YyplrIBuluu8ye95HgbGgwwXx3+DSH9xblNc/fbl/iR0SJwsQ7krzQNqufChbQCMTbQbG0aA8/r3
D/WjyODvd9ZbvCD8AyvJ8v+/KxBMzWinAyhzUL33rYOkRsyc8xGBWbFpZPX2+wezf/SE/PujLQqP
7x6NtKp8GMvEOkg13M29tF/tPMYyp6MvpqLrqt20u4O6FZ/8zpoPnTGiyE8xI/hu1N2Qc3NI+CQ3
sGP2OMHGXdL23YmpNWLIsc83SvERYpgWOGATubGmsrhDpoG2Nm2YoI8mv43pEqQo4zIuB3W9HNkO
Z/fvX+evPj9fWmQYAtGg6P1JuWEaTmwa6YKNCcp7fPjuIcee35Nh8A8PZP642v/rDf3+kX4qhdNu
LGJ8AvZhiHp5cMLgqzm3A6wVq1yDFPvkWgzZRumgJ18qhcpDufL71/qjKOfPZ0DFj8CNVEef79By
6X73keJndoXBOXJwa8l6xQ2JegcwT+nmGnd4KFBP9nWW/sPX9lcv/IeH/ammJqmPm1vJ5NZw5OJR
kF+81ORkbgBkK5hgp2IaryFbyTuUbeUWXm36Dy/8l0+BDzlA8oE4iH3Rj688EyZ5prkyD7bKSL7l
SFSyvQEMjOi3kzTLlXvLWo56E/o5d/169/t3/heXLlmt/3r8n+4SvQ5QGRQYirus/2i3arx2RWif
8hqPJGlZl98/2tIp/HQL5pUKyWdsWpJ///hqY43fogOKf5A2oZE4u/VKtWG3/f2j/OLK+eFRfnpN
rY3oIpOlc8g7Gn+CksC6IXPtmEj/w8f3q0daXoqw4I1J699ufBX4ARL0xGEOsatr33zN3ODIdfsP
r+iXX5PvH+inex79R9+FWeNwdbJaVrq7TSzP2QcgcfBq9fZjGnXQRaOlPK6XQtmquurm92/rL1pm
RwiYLb4vgFPTu//46YXxqGvcwfah95LqMLOFeaosxzxiLbEPlT0CWSGEPhrYOathonyL4nrt1ZkA
cWK8G6hZEWwbnA5UF8U5jfJXt7FZkCnrBQlC+Q8Ns/3vXzYktBigfIYSPGP509cAiWcakkzOU4v6
M8KjcmXGgryqOUPfY8w3Y+ASK90LXEL4zIi/rBBxU46QV0D5LotsO+QcHc1QHClTw23CwiGv6Gla
g000TcS3qtLRUdQ5JRwbYRPNDJldHu3Z5DOzMlS3reaS2qoKa6aRXy0lzNWk63wt3MG5tG37V4nz
P9K7f5DewSFyuTT/uzpaeEp/c5IWI+//+d9P77nK/tf1/Uv/w7Dqrx/7e1gl/rBhqnu+FcjlTsx4
6e9hlef+gY6OMGPsIz6TqWWM9fe4yiSfOCCFBqkTZlhuAhxcfzthmXB50uKnHAdTAUsK9z8ZVy3f
1X/dOBfpps0kjX9IHo3bzU+XXlPbfo9Zu9mypMLKnQ8o8+uPuWNH6wbWkNGlJwfWHV9lknG/e6d+
UUe6PxVcOBq56uF0gOzwbbD07k83n9EgYkF72DdNkm4OYYeljUyuad1QuK8WMRKE5oScM/B8+74S
Cm+TKT4Dlou2QTViy407p2VTj1niOpCVvhrnUZ7hGSOwlhjP6wYKgGpaKDKqZfPVTNgNQ+wB0yEU
FYqNyrunCJeEki3+Atx0T3aMKYq8X36hN5cVQylt3jolO7RN77Y3gDpT0ubp0EuJeThDqtyxamvt
q+fMDBVEDamxyu35vplAUVh+azx5+M7Q/ZXBrbbxcHme7WDXWgDhhjE9J6pmau+F2Yp0q3kVZ26/
ZzkvzwFE5L3kFnicHcdZxHTGEhuLfSA9OF5tXTyMAu2mMVSP/q+WpX2uoVZWe8ezw32kEIIjzXHT
NQBO/yMCKgwKqVVZD4Cqo2rdshJgU2TwrrVM4KYBkEaHmAcWLf3yPUrD4WseTuID3OgWBqw0imkt
AC9Wa4b/+k1HUZySm6Hzx8JuX/vakHBIEA4GVnf2C+ccFEV1iJKmPQyNr/Y4Mj+6vQhuRO+M7ibr
8UZkfduTupUmvTojkx9Joc1HUhdx5vBhpeRwoorfZ2jl95Yf0VEmtV9eCvaUR4SL8JqHWD9FdpkA
B4HcpBpYu20Lj3/u+bhbMxXvGaObLZKuNlyTRTfuU4JTc2Z7F7IEol3K+PHGNkB0Wh7zLqlR8HlG
6x9McmS2ywxaEkrcm5dJ6bharEHYORMdVkjKWMRnTT7vGP9gFvRwcqDwC3aDY80bt+vbV2JA/Fcv
TcVNlZDTNEby7Js18svle47vOFvDIHVubKKengbszKs477sNVUW7tcXYgmMO6C0IuqVVpL968hD9
BSspm/TRj/CPbgaEtSacocBA15GWtdkj7VT6Y+L3trmrXORtvMWiqDdpOyiuFlPLdOfMc85GSlvO
sGNyMF/9wrM/FU7YPQi7wKLtYfHeTwVqA03Iy9cZT/Ojp9vguQPhT/EW98bHRFnjRfW582SjVQOl
VY61h949DVB0jEPZAB2Wod6ZhsE2P5BJstZCRQSapNgBjxhl9KdqGhEADizaLkljNuZHXBzTfvbk
tA6k6XOaz27yqR2b7E7nCVvRqM+eWmXJAzbWY1vATfYz/W1e2KJ5M+pdWtj2NxDV1ReFh/owRVLd
kOETHwmvQpFDojRGwdoekDPG1VlIBUCwH83umTDF4HMS2uHRKN15Y0iAhwWaeXwbbS7xOtVJvVGI
4W5mEzgAppXm1Q4zFpK9NhFrzPI9nIdi1+tSfbNc09yyxi4eCmPwWZQH5nseze6d2c/9Pow5sqfR
b5+h1pb7bGjFpcOTRWCorF/KxLafEfs7x5ggvVUFsDAELjekxFf0qd5XLSlRK6jMI3A0XK3NZ4jl
cKpiu4nY9yWZ7xCmq0q9JZQwfGvmcB8Cfv1GyKLrHZxJ9PPWZHg8H7BFzMREq2Ta4pHa+VNsT6sA
fqdPlmrDbjISNZBVOU5YJFkxNpsxGdQ737RxWhUhkTPr0QuU2BiKuzGmdvbaMUK+ZOdVmIw29uKM
7b3aCy5dNeWn2Z5M6FVOClTOB0Z0DNm5f5SGDO76Zh7Ag3nha2tbTbhJjEEbm6Sgpt8icOOywVgU
vsfuBA8+RB54xmykX/qkIKwmxDAewrRM53sTXQKIe5txTxip8b1IxuraIcWzTnHuB9vBAMyFs5Lh
YMQbUwyZ8Vgw/fqKTnNA5chQV3sWDBnR9/SlqErBsrhUaG98+RGDIptj3QreObD3TMBw7PWyxphU
68FF5ObVhOr2XY2Xmxmz+WEE6rMBkpyaixGqICO9r7sPxGy1ztZLK+c1dyrxVhMlvBb1bH1WfUcS
uzMHm6Cbm53IovZWj27wpbXn8oogMkhQ8nWiQMk7h1DE5sUzHEGpXfPX1JllOuDwqPLsJ3SZWIC1
w0VPUnhXg/FteAJgHkikz+MZtro2sVKvojShxkzbtEJyjHdZrGLWntkez32BNzGSfb62XEKCdj40
Z2OPUNenBVjOHUyd5QtHT0jEKbjxfl2OQ/UMUm0+p6ySd3xkiHITv9s5bEwuyMw48EgCCFai9rrT
UA5YjLLYNrp1XubFHQBSjP8OlwN7dQ8x4iTv2hBoMbtbz75NWEJf0fYieK6t4gKuDFQzqOlzztxz
H6fwrZEKuwmJZ4AJM6Ln7PgBfJvpbrSY2wU3ocVyoaNaw/1obSMR+F+SKed7208qAJ6QBu23ZvoT
No5aDM3jaOyY61IJQfCI39g/OxvYg929keLP69zxLoao8TCnOnoxO/lngp+3DhuBM5CIbIjPRS7X
sRc0lzaO4tvWA+3A22k4zzBHhs/DpFKuGdUQbyWiaaSLcMWMk9IWMHtkc+PP8QWD8RZAMwdyX7d7
R5QVFYQVPw1joq/DXPHDsVMT1Ei4FCEqmX11RtMFm4Oc92HsOrECf04yVEgEOEuf1YBRGyPisDIW
Syg12U6JqIAvYn92BkNuALbeplMkVjmUQtSNFY/HD7q7Icy9E5rSco+x2lrnVRXv8HTpJa6h8O90
XLJ7d1vTzjephQkQTm1FsjnKiDdOOTQQJV8q6iAKoW/5EM/Xqa3GjAxDY35wrcSFuW7jOl5BlhfR
0Ypz9DMW0236+L75yqCZzDLHV93n3o/xSOcQD+PV0FTVAVEaIMKsGPCy+kS5rpPcmyS3VomoMUCq
rY+LoYRfjYkCjyqR4mQ5TPW5nbp5iZl1Wp+ST3IeVr3qXzsEc694TjKgef4MIJNSxV0hmWBNSEPo
qG1SC/fzXKXevQMe4MWcKSnX9aDSxdEKjojIsYAtXSvK55r1FkAVPXA95VMQ3NVtNV8JghsOTeE5
T39ycYVlJbcYKf23EYkn6yCzJ4gg9bEjHMNROSgdcpdnMnADr9ZL6gTLEokYNEiRgoHRtHLcjlDY
HvHsSECj7QioHLSlkAcxls2lN4K43U508Zc4yStGqREPQ0LLOCyfC0kfYRsTq4R7iJsYmkPZXppa
Z/q2yB1Iog0pEQXeymGYMfEaU3gbidEvNglueQAa08wbRHijQoRDQSx3Ep/t49CEjcH804vENhks
azgFbj34OxOJ+9Uvs+DUDx5bzzgXIxUws7mVOTnpqUJz21KtWT4ONm29erFwoaoHyXAyHTRguRmP
l5mbTsotPfWeyUMaijOyDaTlQumakf9IytUGDVdDyVqNJF4WGT50HOPE6RozuEpPUEZtNfsKAJh0
DgOGRhc3BZ9J0JziKQxfs2xIXpopG9RljsGkHSXUtGNW4qlDgmN8FWYSsgkxmS8ITpXjNIIkXpd+
nLwRRANVR6VG98qnDanLnImSm3ObNSY380PYZtZ5dkiCCmTYXXJUndgmwgVUzEvfklYX9ETJOCMx
kDKLNx7ptC0cm3bqN1VQyyfoKzXpx7/vx36aBdGOSYvhi+vZ2Bh903FoR78flhLz0/WZcrptaIqM
JInoU6GKR5Zwb3aQP8Kw4GD12E1QZH5sERzf//7xfxyr/PXwIKOYVUrsWbCjfnz4NGytPNVGt21C
difGXBUX3vzsH4bSf3a033e8y6uELUzHKXgcKJE/PgwI3cHSs9Nvh4jojH4gmXTtGbbhH5wY9fw6
HUDBsvou4i8Fx5OFj6zOgKqRlvIGnEQeJ6PoL26Vdw8proub5S1buyhLAJ4goLcsGgW18N7XPedi
dweOvgz/Gq7+zzzmH+Yxpguzy+Iw+u6b9e8zma/Ap6P34v37kcx3P/n3WMb8Ayq9izHS5fchaGHy
8ZeGyPP+sLA2ohII/mSQLd7H/xrLBH9QMWB3RdC7TCt9pt5/j2VM+QclT4ATFtStjSTyPxvLBMvF
9v3X1JXSxpLlewjMQZRZPw0ZVeqrxQoRUYJ0Dy45A8vQmTUvNdkuMHL9NfEn0ivdIDhgw5/WrFRJ
AgU3e+CkIKaXgGWxRaEnAEvQ9923ru52JhazY7d42eKMlBIvjNwb24+8I3T2ctdBzv/SWGG5m7Mx
8fiVVfcJzqho2Tqzo4OPptw3es74pSOD+aYuGxq93upUCJRD+GdvnP2j0roj7CaSQXYAoAGZININ
7YtjDPhY9OdQzQ23OP9MSTm8uVYOyamsLNyUpqtmzjjPOTQuGs+aW0DKItNpjjTFyTPMHadaF7Wr
iQLJRpBH0C6MYl2QCnKbImQs14ljVtjvDXC4feirYj8yS3suGjF8CIQ/T+jOVXesgiR8WjCcxNJB
Npogt7rxdUobuBXwtOGwdLGtbjtOgJemkEyXQamJM0EsxWrQ09Uk2O1AO6g/lyLPCRDIuF+1Wdve
sqs0UP4XGdHfmSlfQqHtS2fbxlOceuLNKAumaGAQhuNUD/p+CKNi29hR9MWfMt7wyB2XJ57BBkp5
7j27Qfw/zaEEFHcRmWJgw8dcfHL7Sh7bWFAiUS1ZPEk/IEvLpqFMiWe+JWuJ4jv1pmkTEhSf0XHZ
3Rq9o9pb1F+kp5jN0YETvhlafSq9FklkbxmEwuv4oR/RPWrYUSDM65lSGw1tuFYwWN8ZuycnTarp
DV+oPglXrk9T4AIr3kbLqjtuAoQwLaWLwIkazI178EBLvVRt2cEYMEi+Nqg/DcPL16AvUHOQGbIv
83Ji7qft2xhz1xZXVXRw+1yc+UQJizXaepfPqfhYz/N8ip0ovCvtIrmZEr6oDUbQTx12r52wxxbX
GsZabDBPda3XOgD/FSZ9fJemo6bWbapnsrdIuO99512ZiG+UaBwiWZpy51Ll2F7TvgpRfcBjMq3Q
SeCuqQf44gPam6LvWPV4gVSP+agPzZjcVRbuY/ykhPFG3kzZgWFt1Y8+ERN91R/wrMH5prZLvVWF
nfWJ6wDwF9Seh/9L3ZktN46kWfpV+gVQBjgcDuCW+yKSIqXQEjcwKRTCvgOO5ennY052W1bOdJf1
TdtMXZRlmmUEJZD05fznfMdPAcNjYhiTQwYA6611Te+Z9qES3pBt2d6W/yjGoDXaADPiJpueRE1c
BZaqczZ5fCidHfWB6FPxntAUVIu8VPKlwEF1dnLPppH2Xp425fjPA3eIv02dVZsGKAvVvmPQftK7
xumjx4b07ALQg50Ts1CEGHXv2Bw1PYI6pnG7BscOCI3pgpi98LGCocrtGe3qNnoegNJhQoRFwdbv
VZxU5ziWw2EyC+echjYXssHWM39TVmMz762bL2p358217UPzcvSz54/iR5+7ww6j0fTpZ3H+PHWi
bHZCJfKTz3f8HSn8WICULLxQxSSiDyvIqI+v6eMkUhm5LuZyoB2TmQs6Y5LcrjcpLrPtENaU9d0r
NrdVnxYXDN32s6ZR9BA0jnhK89Ymg1aD6+OhqMco7q18JVRtrc2GLrBtb/bhZR4SMsJUbEBQj7uH
LqryXwkfYd7VwBYvKHXdA8FBmwPTXO+gTcZHCw3mXBQ5zHbIKmReEGPNo4I+seOiGh4hqTCf9NKU
e5PjMO5pDMt6Nhw1tGtXZcaa7697dtMuv3pNaN6kGEW1qCx4WgdOw8Rws9yk0Q3k6K9hvgPDcvNu
iCK3tyR9sCRGdUjqidiPx0wXDyGeyXVglCmE56Fu12ns4RwyQU4OfnE2kwb0imU4xooxG13Ofmft
Rs/KryrBXObwxV23sOe2Df9H2GQunlqNUNS1sJes2L/oJA5P6Zh7v1LbB6scBunGEuWM9N7pY6hy
QQTSMT/TuU5PWhMuT4qgo6/HcY/c7nkPRageAr/GmNUniAguA7ximsgqks0a1m6ef1otCKPMMpqd
LQv1akT1Rnn9a6KyastXP9pbqVpHtYhWRpLqL1nGv5O2cteqNSYoUxYc3hLlPLNrEh2y3jq9I6FG
xhdhSHdF45lxtYyCrqM5LOhRDg5m2JB4KNVorrvMmN6m6i6LBlbYXEWAN51culGtGylge2TPM55c
cIZcbMqoesvMSeyzqsN72sSfdykrO3Addm2AvH26GvAfooD0KCpdIPXN0jI5YVOkzjutunMjxBEg
w89+rHaoB9UCWxGknhFpJJ+gHHqleLBkN3uLMoK4tFCNjwg/+CU9OG6fHIVdeN6CO8cU4asIsi2I
YP6xL2W+re3k0EBMAy4JXXxakaoAkmB5HSUpKIYVMn32kU8ZNVTMIN5t8kM+dV4THPip09sismpz
Sfi9vtVYw7ZzPXhcDKXHOUGP/TGPwjTfCPSUVQvIbzH3hv0770JNoX2uHeBPTDg5zBghUemhjykj
rVr2AZCakCsn0dICwLRH/SrKtr+4qhsu8GogyBdkEd2BTcz38fBSNXQqS+/Cr6VoDnOob7BbeGbL
wO+GcgmMeHwhoPfl83F/nx214thzciKv36QtIAEWxPoWK+7PNJHn9h+TJn6psr5jPcUViXN+B8Zg
0vKbjYfEbrBpwoejC33opqXtNxDGvNT5bEUa/Ax5YSxa0F0931bw0wx309hV86PE0rujWG6dofkc
VIPNrkqC8CV16BrO58H5tmGmvQ1aVhvhzkwe7vG4eJcxgNkNhe9UC81kggg7jT0LR8rikT1g2PZZ
qs+AbeeD4ED2Qot3eiAkOB5qxiMru67NfZU7HRuS6zwgSJcCr2rs7aOGZ+UgK/4StWPuvLBrVzbV
jZs2hxe/yi1nCxdhO3fpj0kBb6EcZ+U6Q72sqCMRLdhAcwiApNEFBfMUCPrQ/LblwHmu5KOYjorW
La7BLMSrvBvyFZ1cKyWmq2HX9oFbrdwTLXZ2cR6UHw7r2bKVHCmcNocE7RXmpurikh1GdGChPO+q
ZsN6CIN62OTMbU4FWiVehAAWUlbgJQ4AG8W2OIe6PwoxfVtWG8XMEaD7IyAq56vPWuACDqQkwVHr
7Kel3BQEbY/dHEZbY+bC3g7sKn5j6ecOVO0PiLqYL+NRbwZrPJshwDVI5KQmIxKycPaLRTtgDU4D
OCKTrPwNJJAxWtr2+M4f0g8M5+dP+Oo0FCdmspFRWDyYVWq/8ryJtUrVF+myqmIXW3KKsziElFTE
MsLs6LrXin7fRcCA80hmML1AS6fBJJiDK04J7yGnOg86BiyoRVSlziPfUNRK5LfmgXtIfi1C4fye
KS+mbjkoLvYorLPTC3Xom8z57UeBf1KUYyyYYMVPNjiNo2MqQB4JPMN3AI/diWUz2wOVAi5au79C
vMM7t0hgjsikP3fS8t6l7Lp1kRQF4jMbPeciO6lOBMqIcjYwH/ZlHrbt3Vo8sXqQiwvnsdgA+O53
fkPU03Dc6RYkCXD3tOkPNOYGlOf4xcEe0+mFVHVxGfPoraRk6tEMqvR9ML16Z7sYq6fU3toNZ/CJ
DmcY8vckELM0rOwWGAU3YaerghD/B2WTBaykFSDFmFxc6ryaXGV4zB6AwZ4Fj/Nj+UZa3vnpF1l6
sMKCD3DTSgpxCVks5rDvK7zmYXQNBQOgvFf9WlTz+CuYcIgpeoDAEApeeUIual328dElgl669Q/V
6fDVMwJOmbm6T4r1e9OE+zlMt4xZq70FIYOpmH5kRx1Rdznyrkynb0m8GSvTnCpMgwHNPtXwC7JY
T3lulR+S5p6xQvjeYzy1yI5QcSfa1MTMTqnqEHlL36TKm9Al8aTsa9AmdDFgTPuk5K/iCGsiTGXN
r4mm6iM5PyZEMs7SjRho4AvygZQjDsAN0QUenxzkxXA85m9R2mAKLool5STVp8kH5tynFj0aglB8
LBI8OFbLcaL2DSCyE5kUENJLkgvTUxDELeeFJPtILX/mV2G0n1NX8YvLmNhrp7FWVKXJhfa7+odh
zMMt1TOFk3VhW++FWxo/c5SvTR2b1Y7Jk3/vv84q8rVjzqUHgPZjQ0c6UMMWrirl7DSE+unGw6Ds
Lu9E3JmbnI6XVcv75VBE+0b9+sAni3q7ksELc6ueaS81iDVbSgm8kU5cUG+x9+1z4Idz/zAWPn8/
LQMjObqVj6+a46l5SBVk+9zNiVWOO3K/zx4q9BLcTvwYsyWSCSmmXeu54WaSTU21W9ntGd9377VZ
6o9ZU9Tn0xHyYqBNgQ0ug1/kkNk+KU1AgG4cf8vbQwY81+4JcFr1oDqZv7te0HM2cpx9aXKk7W0Y
RQuKDAz8Elh+dv7sjPCGLYPxSlGwxNdx7m+FHdEvMpQ0xMIn9jZBk3i/TIzuEpHXmRZTFrg/sT8q
d2GYXvpScURawyHyzx3x0rd61PF2igJiccIeP1QR5ewdacF0oZ9IA8livgKQ1YfUmcer0bZMAJwh
1UsfxRYqozvvZ5SKm0+39Ae0gHirmqF6q9jf7sBTe+9OMl+rdGC+0QmTmtOuUoBNLHMlgrq8diBe
iPyUuvlNVZF+NgpFZqrVsj0phz7voZ9sUjwAl96xXdRbmLPfcVr4B/oxaVWc6EKAU2KZwA/s+IWF
gzCFCVN9VcEpOI3uLA5NIMTGmKb8jb4pTq6zSyU8X3eYR1l5DhrtnLOmuaetweqsygg27kKC+n5M
3a66cLgG5kiL7bRrEsFSU7OJ3sISswlIEifbVyr3tqk1N08ElHq4r3Oa73LhyxUpRe9BhBbDgqxo
fyiTJEhpU986tWlIRSc2iaAJqGv0Zw3Cr1Bi4bTDfMg5nh3qeh7ecObrZ59T6LUXA7vJnNgvuRjj
g6+t5DN0e/aiYJjPzuxQqZBWhJYamVinosVCRhhTwanNnL1JcKdezIwdSzI5yvnQ0ogqSuJt8yNX
ZHsRD+bxVaaYYAAS+S3CQwc2dh36YM6NubXWdsnwfYHjZN5MjDNP7OPVezQG1Yt2a2c9V5KLgUdZ
y0Rc5kIqz/tBVt49YIZl0tVrRk2GyM9MUDliJV0LsZ5OM/1mueAuwK1Gl0COYtu01sx8bEjV+2wB
D3FaE85G5WWQvRxOnTC3yoXRy3rtwiSgwlGFvLXeRzWggESJsZ0RrTbmxB2c34OJF5MKfQeuBx6r
K3Jz2i6hfdgXi/KjndVhq2iMDDpMZhIRT9seiPTcqU9Dcr8Y54Tjkp/CM8cmUoNvta0KS3GM2Mtv
zfHWoH0zDpLsFEuHH1aMxdIZJf1kfwia/2P67/2F/qN/4v+NwgmkVtO13f9S2V19fDUf/0azII67
8KP5t92H/p3F/yTz/sff8if7zkbLxRhsWfIPwN1fzHcCKVdKn9d0kGyFh/7771lRHHt3KRdcwN/Z
d+Y/TDyBXIww5v5v0fjfqxb/NLzxMP/TAOQ/W6RdSQWRcuFFYvRD5HXNvxnxk6QjHRRkATlQ0jHJ
uAUYvrFasULM3P5FAf+/eO2s+1Tjn+RkFGmf4yIvaN0177+9VghKrKycNoBcQu+eq0G91bs2dTdF
6Wxmv36HwLDshlff3hjufIFvZC4j+y0LGYXE43FEPgILt/sXP9X/IXLffypbSJRz/oHZLz/1X+z5
QRUDK8/rYF1RGN6l9T7jurYchLvhsr2eSdihHy5Vo7geFwufgvkpkDnGBOAG3VKK6l+MoMQfz/xv
z4l+b8+i7IL3xDH/9hPR+1AZMO2CdTv30VYkWLsKR96kD99/jMi4VY6RXSr0rGYxqvkQlwU8idnp
mX9quafg56eBZnwNOis72rioUTHjfeUWkCz6ZmUXw093/JXhkNEd4IWyODGsj7GrI2jRRwD+Da2R
3XnNrXYpIn/R3o2J5QxPxFkWwjmZ9Dz7dDVXkvFrJk9+2m/6KD4o4zaI8kZL0UqEciVrZHUP1jFt
tiQkF4UJblkF274uH1oluItBQ2jeptzYI6gsZ/1pFEcFLxzzin2oAGIJuUv9F93rV92n1YLyuWhZ
je5edi/B0O9p8FtmoABtSGd5C9uhC0HwH2I3OWees6SEY+k5NH5RIexEHTk1Il5B9oBz5ynXHPxt
l3gWwwrc2hTEdZuaecbmHuMVwkWIA48VIabK5qRBgbT29+jSsCR5zWzgsK83dl0uWueVBs9Dgs3C
LdK9ldELkoHij/WG2NMSys+ugT8VZlzC+RxRxLWq6uFWNs6V93ORGDjOO0J686C5747sEM3Kqj8j
9yKK+oF1nw4zb8lIckEE81Ah+KTaQ6HLl0b8lA7lzmjOU+Vu8JN9cP9cS/lJcvln2/4qGpByWNjS
0L+07BD+9Bg3xc4je5h77ibOxyUj3f5MA2r1FHdoCTjZTxTgShD96cWokuEm5rG8q/YUy3SB/xjQ
qPcrtClE5vLHQ8t1laDyFNnvlk6Vq5hDYM127OLtc+5fGooP4jsp1yWn6Vq9+KFojyEkHFJnjjSA
3cIPt7CPMcsoarRecmYOxPjsgL6EYq4xX1iUogRYgJ7gkvc0FLbuqmtm8CEFci1h6UqNHw4T8l0B
olIyLdDhKaIj7MHuKQVuWnXF2eXeOpH/GS75H9v//rr9/f/UymRLdeej/ud+dDyY7IuPzcfX7zb6
68b455/8c/Yp/8GWyOJHoo7tB1bBX2af8MEIsPqSVZBNEd/5n7uibf4DcgITSRROvoOOzR/6c/Yp
4MhKJvYwqnxpAZj9byFh/75VWWSb2a5NBVrWhWnMj/DXTaErOl81vaO3VdL5TwArp0vBIbVCfoub
T8Of0+Ng+nX1r0Jb6g+Dw18Xf5qlpGKTdOgiZxB2N93/9ZX7llj16GjNRtwHm7ixneoDcAgX6Vhb
7Dt9BXNtGTdD/5bh6Z3XoyQSvfTczO5B2A2m2ppZZQmg9Xb2HvBVZdxC0HwhrSnsljSuISS2VRAt
05xv/26Aq90s695ihbGGjmNiVXrTJ2TChd1NTcFdznbfc5mPH1Mp/JecpSdam0Lr69RObrVKyeYc
Y2a5MdpBUCVLbYEMKKQbbzjZ6JWX50dJPSrjkM0ENgmaX/GJE3sZddC455J2yzYof+mssR5aMrpX
NGr31Z9VvSWwApw8ryyO0ahqgDvZPn4YOosT6KRGuedcPy6LYPrNTTqliNLeBHh595xpqLIcokcv
6t2NHqHIcLNPl4ZVvMQxw96h4tJqDfiDPAMtwRf3owjH5ATyXpaX/bjwbXkpKpb7sZRLErchsISe
P9jUzob2RoBydxekquDTNaP4wIqNr9eXOHrRBejngy7QbIsg2wwNUlUdUPnEzGmrqGRcthTw8h+V
KDUUJ12Gpq8fMFV1+zlomkVAvzngRMKaZSN7+nUACtPOTlH6ELtruIv2iuqabts5IYQJs7U2Mrad
vSTmcK/ZqNdW0/eAy9o7TiESVPmNM4BiDk4pg8gNLWE06uSpouAzC1bkd+PtPDSQjIQsw0Vrhdm+
KAz5VVk63PUSccg1lHHm2gEbjhv9bZqzNl0VElZxCDouWdBcESGbJqadsN9HebhCkZfkhz11jz3b
sv2YXJWW4Elt3ndKENz3sJfeyZ1i6xPPXP6FiMPsmfmDY8M0HHrusumDOTKpJbBoxudE+PW+wy8X
mtI4wDivDtGcl685TkueddIwfjTnLprXjTNQb9v6kCrZMUuluBmp8jGnlupeZuXg/aXUslgJhnVw
v1LOmKMFbYGuG2s70uOV48+PvKfcMZp6ZcBsWNWqmMWashKcjLOrvJPZ2BwM2nrSV0EbyUaG1Dse
wrDivs6M1H1vOw/lNxCYzGrXJs1eu0ZwmwbP3N9n/gXqT5jjHyvFPrWw8tPD4YU7PKPyuWwalFjK
ZQHTOV6f0G4wcRzCcFvB2s9L/eKHNf46pu3DU6pGce/Skc2w9hzmjYdp6KzfZV3heLdz6yW16aPe
drklyWVTarOhP4Ft025rUN2LeXKMm8eYg9NDjWe2hUJMw6UAMVTUZso0OgPh3ou46FG1wKpXJp5+
/mdTuBa7t56xAQgJiM2bbDa4LE9fKkw/2zx6YMS4rUxDbvpJwJLRItvpyLcvSgK8rmX/EHcpjCqk
/ge/i9MF7SloM2iJq3w2ul1S1edCze1jnZhf2JdBZ5cNVSId4XMzcatT4bqoiCG/kTvlzL5zN34k
bt9tR6ITR2ZbYt0NY/k5q0ZvOGGqszkl4JyxlA4PQZuO33lOAh5FWsRHABeERpLEA94wFwR0OGk6
1ieFofEhE3129JnxjkQ38EK0VmevLLoI1O+6nO68O5cyvKVHDzvfS+OtgzhKGyo3euL6P+gBcDdt
ofurjxcM+SPG8MBoQx/mfv5d2TXrR1tKiZ2vClY+ldEnbUtGCCnjK2rzwvWQh0jbXZQ/Gibwv6XD
wWZJrje4wXVOmScbc8PZcEpR+0IcvZ2R9+d2ICu1jkrOp2A9povX6Gg5daWgkMseXT5Z2CJZLcJP
j8zNyigcb2d75AEthyJVeg14GqMQP7ysjI4O7yN0R5IIZAbMfTikZ8p+W9iDwa7PRL6kuPDQZREw
OKGiQ6+cb3an+FzQSbLNmjrEk8snpd0ndjouiQtCJ6Gzz8Tz0gIXWBlT3XzBu0lKvODwHlxF9xaM
bwSZddTQwcSUmlPdGOlbPIXpaxdjm8xc2/ttRla/RWwb6yWZ2XjrYO3UO86EiVxrrb0zRvj8xeV9
WurRgtOTUQgAhlE+tmMdfE7AuuRTW+css91ccEMoO1IvmB0Aka0qTgfIOvdLIBGdmdjVbNMgbH5W
hBc2zr12IBOWProxHaRN8WaMfZXfwbLUsuNmt6HKaeJozLzvGAaYLR4Ohjrunge8yfdRbiLPbusO
43pSDR0+eqgfJ6+4BjYWHxBozYrstPGYUc9+Ho3hHqDBAuPJjdk28coqpLUSdTitw3APtDFZD55s
jknNzuRw8LeJFvErRCdfm181172J9R0PE5gM4qTTPp59ag7HWuwMAlqLOAyoaxEZHNhsxIbfOFtP
oygFoQiY0nLUL6MRLrATvoSc2dd1N/ABCAaW59DuFgMZOG4Vxhzd8rEizpHE3KOCNcF+a9NNvXiI
aDCBn99ZFHS48dcYUqsY9Lo70WNM1ZNhiUU5jsDs2loswhbMb+UykuAdGtacBalXBQmDsWf+EWS4
gqhcuVPdebBZXQQneIR07LTVj8EBq+OXRbPrfIDGHDXAFamm25Zk1LesQB64lypce2mj1iYM9hVY
Y7Uj+EV3SkITojHx9c2FvIy874wuqBwRjUYLAVBPofDohtuGq8jCthtc5pT+OkeOC+177N3fVBrN
nQ3V7O2jiit/nRDh8tZlEQzvSC/Zze1maBt+ln63o8NEii1nb2l/eE3gR2JiG7lTDo5ZNks59sUq
dM3g24zmfqecycMfkwnArQkQLEN7DuPj2IoeQ8Nn50xDbR6Q7ymXE4n94eO9edCmGC+MfrjYw3D3
Y543E7nQz3G4aw2bKRQ9zE7fco6mp61n0IzB76wlRcTM18u3eD/ilIXJCvZJZzqHkEdtMgdJ/HVo
GzEOjhFiFqkBjX8KFX+bE+18sSlIX0iM7Hev+egvI5GFX7hfTK7NINxL3oQif8SSbzyDVEl2cdRO
x2RM5m1hTvpNOh085BoUN/jBuyMOaNBGtD1zus40U39N+dj8nCbT9LtPVM7XFB/LrXF9ffNByiMa
x4ogWk47+cDRfpMEafviTaV5DqKioDDbMreT0FD9ZjxkISguFb7FsparPDczONLG+KyHXO50Eeur
4WOX7oSiBKItvVNmedaR+i/3zchAqtVhXb7ZMtgTwgeH1IXnxksUgcvQmNe14WjF50yCVsUBgbFg
xsKkxBxTjmTPuACbhokQRlNIy/T8uFRvUyDNaC7DLIkKt0idID8HvhttfTD+CwGii9HehBOzM+Y9
Ead0WXiF9cNWWqeLsukI3QSDCtezIRLrkS2C/Y1GJT2xgJFBye8yToZFEFdcAV7fLggOKnjBPXDB
pZv5HwmFBLBzLIiKlFlshYZsWoM5/+LQAkwdTDftp3Tq0Cc+TsU2d4ZmX9W6fedLO98MOkHB0I4F
7TO8iGeYYp3gVFhTuB4uFWnOx3JsxHloTT1+lLYY6yvxuzp7MtQQcq9nkhBwE+GCt8TokgwwRJsx
QGLTJrtsT04Us58GJUa50C2XQ/g8Vlb8PTOW3jJbonR+HmS47Zm1XKtJWO996cvnfhwgbEyNAFE5
h/A4kxhHOWJk9DUOKjkYStoftRRduHDrOObtQFO4mRxQfzc2LqJwKJmG5PFY36bGYq2YCf9wYGst
VjWnq0NIzSlLdtPaPRGB3PxIA1eCRTNV8+wRXejOQVlLez0neP3XVksMLMxp+MLElFgIVCGOej8P
3WaBAWxCqLP4EK56XEAJ5/a2WXf5pOhgS/n2yinxrFXJfngsrcRXi9Suq3PYuBGWTwNfSm1ULojn
yoXIXOoq3Ndlb79n8xBtC8uvXipf9B+CKxElJVV9axx5jQ1IcDh3V1XrecduCjEX8TmkPkeZHwnN
sj/Dwk/2Knbil2TWxptVlY63Vv4k36m5GA+6G6aN9mHcitlW1xCpG2x/OAY7mWTreqpS9D0veiAQ
MuxqGrV3PY/wQ7uhJk1tqEcZVc0G58rW6kr3gnw3HTpFexXG+ORWSAOFsbP7P+wjAPvp4cBE69UM
At1sCo5lMzesOG5wCiPvZx9GXwZsgytehqBAEGpyVmvRikWrtP8N4dtdRn0eb6RQ1AkPInppPL9/
HRK+OZlRdK9JFoarYFT2qaAu5RBTn3HFvvEdSihpoCf8W81x9pEkSs3pKq5+SxJz7KCD2AE4U88z
Q9fDHJrmGgD78JJadgJVIY3ObeAkj+Xc2OupqdtinVtV9zAGcmDcA55ZhXl01QgAKxtNGrUzGapH
6rmyz3oS8hphnNxMs0/A1iubi2bguWfu/9qbYwzWzRMUjsS53a/H0veWzO3FJu27mcxihpF07M1l
mtmcgehUedNRKbDCoWJkKvXfYuZWPwNMClsn5JzGtoo2z3DxJ0pecS66kM49SCanniTxU8cpD79X
Bt5/NirjYMOjOwUtH3ndst67Vdn/jBEa18HcxR8TCWCHRAlXaqtgssx8Gtafnvh2xewqK1oNgMj6
7CneAGYYmxfWBAx8cxUlpwLw3wtKbnuglDZ5MUo+V22kcm6CNJwxc4fQF9nWowtW4BC41IzQRpw9
j1MlTpGRF99yGAnkxGYhnj3Ok2czZ89D4g7sLy9MuWH1Td4czbAlQTQHeH4NPmjMFTNtWIuuS3sy
5WkXrkA0V6/dWNU+967RekqdqXp2G5qXEwr1xoVLYWJBqVddvJGODT6GzryTQELWl2NbNvR2sPq9
zA3AoQd6XGe8IYpwGfRBL/gIu4H7FfhD+1OrggZkkc/MPt3yg9x/xUTadF9LhUjj5F35EHJSixcD
awc/UELQrfCyTaxdefMNVm9LNc6OJ9leGqvVpznV3Uef9/poaYbxrfCYKpRxtgOrQiMKANAHLAPW
ogzj6q1xQfHgoDNuTpY6RNhMdFh32bHEw0oqy+KrxPk+nn3Ib87OUNiNHYrEp0U/hNYLgegygiM1
xt/apEiaJqRpTfHNqBYB9o5oUeKpfE25Q67CgNw0VZwGdLFuCDkTyIALtYhamTMn1c3DZOroXfix
9ewmTBxQkWd+BqMtb1PptSNCUFi8yLz+blNYzCS3puJjppjuu+QMuo8cg2WIsfAqyuty5WgDh/gY
f6YhwpZVpovenT6y0ZlWABWZ0ncd/SlRYt4PYy941MoDZOgnMxjENqRF+RgmFMv5ITD7nhbnlaGg
LfdVwCndu3VxKy/EtvMHMwR2RmoyRwUYg5SsVlEcB+yie9pd+DgYiH6HOW96iNeRfd+mcnzC5Ht9
qCpsVS3fNGM+jv3kneJwilaIHs3W8gPzM+Lj81mRiJoxeJc5fz6rjyoynZPmBrVRmd3dksl9BIVn
bdmbMbUEBkapzgIo3BsObE/Dl0wC7ObiCPNy14TeTao1SK1XA9Cv1CiSCye7ezci6xUF9B79qkPr
REyC8LuTI+LiifN/luhvc7eyaZB+oQIhUwt/aNSVo0Em6UxNg4tIYsbjg9vuOsrnlgkeiBWTJJNW
+onvZUZPfJcRidx0mP1gY/Rlc5QNWuJS9iJ4rUMtqJ+t2vdkss0T9bv4lFUEBLGV2rnacV+fal5t
WVJu8xhRDncyK4POSuIj7rHHArKzS9D9Ip7aY9WZ1TGWsUd8hfFhAYorXDFYKd4wUHUXxLW2Wzt2
y5HGc/N0XWtjGigurpJ1KKdfPvaEVQc9bAmBwPwyMFPtNa64J8XKtGBURcSxrmZMPLOXbsKkDzeN
Y86XO2FwGwkXT6eV5N5pTLvqOhsjvOi+BtMTGTAWFeUoOLIy91A5VfID1DSr4Fi2FNLaitEG4hVQ
MhyqF+4E4kVFk8SxZWrOXMRT7JbNrCsZ8dBFxHXPoipAGD+8TpPSm0iR0LoF68CEQbpOxmy8uoHA
sz55xr7LVHUwSgoJiZHVP00YSysDPvCqzUG/zX6747qOeySvL5qs8aZJqfC2MEBNC/7V2XfSyx8y
hmEbgLGVuyqipJroZIR1Je2I73hJLnapvIlRX1o3FhsPRSdW5rcviprcF9B5IVbridERyhWxVa0S
CIxZgf9CDnH1TF98bm5ghY1YhDG5FRuD/oDyqCHHI8lWJXb0HPGjX0RpaLwCamwPnhkBeNAcogk0
R4m+4T9uYpxxKn6K3JlOsMwntbDAj+sMq6SO++/Ezeft3A/qZypmdfNGv7Q2LjFNWuQTwhgbhzoP
lJA68uHoZ0rQkENO6taCd06JdsQUsKSeX7320k4+tWFO89L3BlPux7YJ1GFG6n+O5Vy81TYFlkZS
1JeRhDHtb07dXjUIAOQ2XESP1YAQZ+t7DXHavTsW7ZuB16YLasb8n0ZpR1RwAl2O8S4cWk/kL0l7
j84X5Fc2tDwLskxWhpDS7XkKM/a3aqTy4U4KdrDXPXWdHlcU5szPyJfOwauF+2hPCokhGaiGCfvZ
aKEP294XqoFyliFNsOnCbBgdGONoyJXhDs0ODbmel3B1x7fYU2wQSKjTqculu+6ja1y5fb8KC+U/
p3hAH8KG8HmqmnQlMnc8Ues7jTsSKBVOb7Ksn2RUQURG04gDcSxJ9S5QnZ0r3kEbZ+kwZT7lpZNR
LzsbpXalS69IVzaclQ3biHjMpN9d7UnMrwjnw9XA3Qo7wsJtDitm27WV/cMmcnMhCixpV6MHflPG
YqJByEkuLWWu3MsHT/3sqjTCP6uyIz3H+rExRFojQVqRPNbeyNTFsu7FrxHTepqYOGUtO9fQbxN+
HOR/DtebyBmTrRnF44U4GGkoV6Y+wScexLVMGFWCQxDhV2BF8AliaVlPYXCHA8S5mT8lMX61/8Xe
mTS3jaVd+q9U9KJ3yMB0cYHo6A0JzpREUbIsa4OQLRvjxTz/+n6grPo65aywozYdvfg25XJmyqRJ
APcdznkO2SE00J4zC47TRqzZ5NJIjcoSt3VhNFdgJfrVHKz8btJEnsCfj6sv8+jGt86cVPTylevc
6GSPM8bJmyTfx21lfHIizzwhkITzohAzAvbqmH/iyMBCn0xa8C1O1fxaEr9qb1Dl0nv2ejUEfo98
AOKERRs31332masNkHCexZwETD3Hu4Zc22/so5cHHDcRZpLss5SWebCMdr4hu0ceUcGR9lGp5sSz
nQOo8fS3xu7qyPcKTj4oDtonR4vLe6BP8jgiqj3bQ9sfQL52P5rORq/HZVvBnPPAaVftOH53EkQF
ddb59BBZsm4dAKQkhsgjOD7l97LIHmwwFEfNzNH9syt+y5MlaXt2CFooMz3fJ7YcqdGInn41Sr2J
NmEniystEtNvnISf0t5y7+EIZLjqpXwgwpf/qXkONWFfPYft4pPBLsK6I5aNdmxJGth0fIYP0DTa
b5xAyl0tCX6P2mxYwTpXtRlviia64C5qrjjcBdsDni35yu5s0ER6216UJbNTafBDRPsuimVHXpwx
Z5qgT6p7mRmrLQdyb964HSFpgaQrWYX5kF0xmqdkgnmJWSJ5Leb7MWXFhh6ZtYkeO/cst/IDAMbo
2piiXJvpSDZyX9Fq2AXJ7LURreZoCO5UPzlHfiwk4KDSvo4GdAt++xwFfbox4mJ8pWV2bzs5z5dp
VG+VQQ502qEejAp3jZxtunFwbzzEgzXs6kLif4y8hyluzE3qZIu8ldHloW102BTWALU8Qab/aA38
vTxHcvNMZevbGfc1LqRm2Pa0r2xoOiYcGlr9Q0vZ/iKjwrkEug4W3rbG+mpT0NMJZAI7p0uc+woE
eHmMe0GINWCu5kuYjvWZ7eq3ok7NdFW2jbiLQlPeDE5h34+MM15yCTd/lRpB2NLusr6JOq6mgQhv
nqrY++LchT/DTAGxuPmjJCeNKCO9AkFgFA0xdYzdkRKnYpjUWlAinDpN5p+tkCOLuDhKlogJZ2qY
A+EqbFvQOhjlE/vU9qD4fPEKtcV+jGrX16VubVyYH8VOt4TNaRqOLK3aVr04VoDDNZi7TeZM7g9o
JQSRaileNo77LzpQghr5bkZsPAGRoAwCQSErE/ZW1tzRwZhGNJxIXmKUoypgBGxzGPeW4rUUdm7j
S2q1AwRQrkhmJDGgHdjO7Sh4yHmyKpHTNNGDyNn5gOsaHmM52m/FMI1fY8rWx2okrQUC87g8/4PF
ju4lbrGarXF8qVL2lwtlLHxiREppMit6PITkPIz7zpXsYdLW4qBJ2+hm0HT9a2aRFIMIDbAwyxcO
rin3nENQSJ0MMguoL2cwaZAliaOTwKICmweGU92IEj1NaBLSmATZ9LlyU5O9TeRtTbPkzM+rCJQA
2cvBughMLfBbGc83XQxJmxIVCKv0nOYYjg3wCpFO8punJzGzPJ2NH6aSgtPKjEvo84Y3kcal4qhe
MWhD0JtEnGLEmzhJv3KczqrO3jjyMiR1hMAVyC9ZK8c2PmV9zR7FzNPT2MuxWLWBph0YsitsX3Wz
/IOBmw7rRWx+YmdrZauBhahcq1yIN5Tk+W3JBhVGrkntknFcIofhaD+0OlHZPjyu8Zl5MxkmRO89
wrnXYSBDhetCb0Sdxn5wM8T6EiCe6ZBXe/MttbHkwDH2tlqQ1tHaRggbbAUqgrXHcPg0K904YrMZ
byF99GugeQzJVVTgQwVZQ4yvwZ3VE3qTDPe2xmQUTBTddfPcUYQfpyAHqKLlGlI6o/GHqeq/G6VI
bjrKiVtCfXh+zSRASannZ60vTZT0/D9ypDAWG12jP+sgMkhMjNIbzNDmpmh1XAYowqFkgB56jrpy
vq/7Pj8XxDSwRodHapMYfsgMqX/Lyl5uwtKtz6qDFkoCUFKvy3iI/S4b5m9NSNY3vBB5qOdi2FOv
MyYuulD8Nxvhew7OfPo9GwFkgb0oFn+jD3pNIzS0f1UHQUf418/+Fx1BtyEc8E+RCOnofv6iEBKA
o00ktfJDwopl/GE7QFw9BEIGnt9FqPQvfZD7x0J3dUhPtvQ/81p+ksn+UjYrkeZ+ELMalsXLsw51
oDR4tv4TqASYUVkj4GRCkAiV7WiEB4ywAluLF0jx2uAVuzcAK6+qMgVzw4R4XOvp5Jhb9BAtax4J
/68hqjbteU6hzKh4un3q5tzPGcytWW8LP3Kq7IDev/+KN5jaPomx+CVtyPHDCJ+xImsgzslJuYsA
KNavQWZY2xwI151pYcvJKptVet7xLvDk0sk43bjR02Gv5WX9Paz7iQdB2qGKVCwxM89wb/W2i8+h
axqbiT6ewr/D+Y6dY2O3Kt40beKeSF/w1sQAoxoyEm0XJZb3lrDoI1uvmnTEw4G9K6ZOf5BzHN+l
JUIevhnpK4xWcmXj8DhqYHF9nS55a0LCATmW0X5yYtavGShpsGEhcZbKrdA7hf0EeS6yISsZonPv
qf5C36nK4tK7dvlVV1l1a6f62Z4p5j39Zi5QpKR2tp+n7Nz38oQJ7z7SsJwKu7sg0bzR+OZ8Tq12
i6drN5PWcADwPxKhqjlZtg41ha3MHaGoM81wHlshHchcWR/oPmrEe/jopzolO6JkuO8HOSuAlVtg
7oxgKxHiwtyLXgZawitAl+lmquvgxUtGcUhmt7xgWyCAeDY1h3QSkkjqZGr2o6Pp7LcZ6qz11sLd
5VJdrkCDpAdHjZIYMUzrWdj1n3pLMBQoiaxQMMRo9S1sirqkqS/MSvvWWG2w7lJBDAdXWrPq8kF+
HuhcT4B1hpUKIyYZNBqksZFC/kZeNktOrso9uzOIRIWI8p1eiPylhwdN+q8LvBE+6te6LL4gaZFf
PG+WO6ny9KpSu78wtGFeGQ/43xiknfO4kuck60K/MtjCcbydg2IM2UTixKsrS9t7+pDu2EuZ95KW
PmZ+ziKXPpErWtD1I/vsYEHy7M9GMmSWnce4Jrcc+OVcF9OKAFn51MIeQ97mDdEBOdL0MMYh0aBD
Y1xMskfAQIiyf6WcGI5B6thra26SHakV7csAhusc5Mw32MZaj43uMoB0h2K4s7SkfsmcoKrXaTIz
gelHTVS3xCsjKg4GpdW+bciGOW+qbVJrYB4S0DnvQdOOOxLVeJkc+/yldxz1ZANeRx2k8VVULIyj
TUPlaa9yHFmnmfZjbTW9OsrEDDZaDOqNx4XBbI5ExVvCvZkwzza0SYZj597x9MtoQCBdIYacHjzU
ckc7bcnlsYlBw1Flhnd6O0VARIzE3PasFTbxKCkLwe5rJxWkFQecMRQGL8qEj/1MfhMw97+gtOs2
bTDm2MsZHRiuPe6lHGS1a0EI0YbTGyDiKs9gCwnjKNsxWDFPsLYIqpua2j2Lz2aCHxb1i3M2omY8
AS2IKGHN9owNZ7iJVKZeyHmBlNIGRW+tzelTGdjURaK0gkejViYxJjN7+6Hy1inVBbVmOfqxzWw/
xjK/k7HBvTUNKiWsIhvu3c4Y7ychBqyFrDvXJbIcn0fqBr/OXqv0ei+LPjqzN8WXlor+SKteXQzH
U5dYSPFUsWd80sHnfR+sEgou2mZzH8yu9iCRKNz1dEpPSGw0In7LITm1ZJGs4lYmmFU9LumF7Jmn
6HcKYyifRAFyVENH+BQj1uCiYNmyYh46b8hic7YJav2dmaQRco1oIM0kbNi41RSLGsPGB1sy/yRM
HvIBSRLTAUWadQ4VUc+TctBeeK27MZge+KFBaEhSd95zrtVyWzVmd628Orjw2+DA6EM+x4OhdqA0
om3LZPPWdNB09w6Ilkm2/dY2TPXCot978VBiXrCFxjtz1GKMRKnJ1e60myVTzlmjhDQPddoz6quU
QoOUpdExnbLuWPZ2hYDfrQ9EdKpLib58naTxN7Me3TVinSM+4MUE124xV7+U1kxu+9TJa1ixLlbk
/7mRDB8hY/bf80YfoBJY466tQdSw1TXBXTjE+ko87hFxI7U9DFttshY+LUb2cymhM84LQojBORE1
LvFbAVOGvUjYHCmKddt6rqf6yAJFuzGKfq9CF7gaTIhRq+s9j+oNo9B8rRLcJnha2adCel0bQGwA
KNQty0QQXVZ2TC3aVCY9LWSiBPom1odu3KZtkh2ijoHhGtMcqBysnKuorl/0ZdLcd6zg1u5gjWCa
dTE81ItdD4rlvDGrAakodsorqTACEGlYeHsEhvgRKKJxCY4eiJurRO62ytAIXfSG86zsrHQfeGb5
tXJBlrJywlLMNf/IuIjBxljaNxHDLR//ZukbTT6d6PR3rTXPewd1zC5n2Q0iLHhDGsgfC7J0ZBA/
KGJmkajt24JBH+N8UM3BAUdQQaKkxkRTpN3RTgr9wZ76hkkyqqu7SOZTu4IL3tEbRXAanHw0topG
JUKpp/0Yg9o5Atqon7g/qrN0y25vMdLnmOmKN0WE1941S4CNGJhfiQtjohjllyA1lmHqNJOErIIH
vgDFZ2ouwJq0dl9ZYzJFbqrolgVygv5nYhvdjAZiwrm4ZFaunxskvHAL9H7TR2FJgqXW9+V2MEkO
Mp0WazN7a++H0iyADJrmbQdasmpVW/Uic3KHeGOQpWXvHIAah9zOtaskZzTeoG/q9/m4LEppiZ1s
hze8uFJfxPlNhtsUtIfKomjFY2AdHVj/z+QNV1Uy3NH41UdIPxmOGyv+rnjiTBAxAbJmYwUKw3Li
T5ZSySah3EXkCmwF63a2HU3sHfxeWnsVRPHWSujxtCLWN5an47iBm7CHeWLCsB3KKyzgOw1qVo6p
khdsDnUxFrCD0X64+piuWkqLdYO4bo3fZHwb4nH8MZTmWxOL+kVm/atT9uwfhB0Wd2zwHIb8HbBr
Gcfs9qzhLK0a9Wqp91ABzdovAhYysokUJlaOp0bvrKNVuY/mPChmCkMKrklbEufzxo8aVoiwOkJf
ZCLfRqiCTxj1h7sWu+QuKAbtASFeuxuE4SDnyJ0bJ5mCNxc0w5Z7NATsMVt8DZ16jPHX3sTwwC66
iggFn/t2qyXKWDtQyR9CmJFnwEvoNBNzTnxhtxnhgL0XHidNLo74NjzUo6y+GkkPEkMrg4uKa3C6
QwE1m0cUEUeJIP4V7KmWBdYmrDSW/Wjn4/XgAoZlEjriHAXUQvZarxVE8g5ywzwz2iYtrDKqq0GD
d1TYJ4mqErH1SBTH6BgPUIGXHCp2cp1mBnsBRnKXToPx1DIyJ84Qo1Hq9MMhzoLiIodsMladw5SR
oHItfhZx3e6rIS2vumWRFWfG4Z0do15zQbc/cdChtnbIYvfBiJobe3DTY2woEpeCFhZGWOY/mI+7
N04jsk99miviq2GvVbo093NqC8K2Jnu7YJQOeV8avp0GHkcN6qoV1YDlsyIfz43e3gu92VKnAjOV
c7Jxs/qzFhR+NRAI3k/al7xHGorvWHyyclZ/jlvXflzQtJSObNalqY8ssxi5kDOrMKfZMTNSwFsg
gRQ+Yy4MEFeqJeBNhz71SCa58HElBPwNRrmCuRgc/9JZXv70Tfwj79Qyj2ub//0/TPtvTo6f+rTF
APkXe5/muuhu9DjajwPGMs0SKSIBj6mzB97NFEmxUJ61T5Vnjo8u+5bnye3LOzOaw5M7mdUXEtWS
DZHEbkdWthnuoo7VP4Fq81YXGoM4mTLMqj3tkjPoQejtxgwcbb4BDFc2pYRG4Pmz7bB7oqjJ+3Vg
tvmOKYW9sZkJubBnv6FPh5yijcWdBj16r2rnqasa46C1pdgElWc8m10nT62B3zCpvMIHWcZNmwoE
7FmakvVu1UxlK3c+1JGUL1Tq4U6g3mL5OLwWvbh0bfdgU6GsppQtCm6cyRdzNKE2yc9BnM7nuId3
jBGdGFvdqMm1TNm1OdtsrFlRLSyiN7MFE82+Lmw53BVF4QaNRPEZ7Gtm+mXssrurI6c/AxOZDlFF
tYsbz3Tui6Lp7xokD0Sh8Ti4maLU/C46PX4rURr6pa3JDVmK5rVgau+tMAKixHAsfVNMvXOy207b
C0A3fpPMBZtRMvrmDXK+8XvfMPmKyLfMO4Gap1bs68Yq2/YhvZOzGAmseo5vgkG4vV+pupWrTpD+
hq0fNAs5v3dzmnNCRznaEfrXCyC2gE0q7IErN7p3GL1xOJiFzV5Cp8I22Cf/IKKdUlANw/gYKZZ2
sNdcIFVulXfYF8BynYEIJXf9e8mdvZff5lKJcwpTlCclhC0+SHOr08uTwDxE0Z21VPJMFHk2uUt9
b7xX+noCYKVb6v9Bc9uzt/QE8HG8FbD1+LbLUPMuRFz3rkkGNPmoBx7V0mDU772GQ2XGw2hpQaz3
bqRbGhO1tCjI6+lWgqVxGWrATcoZIPREZFZurK4iqy1iF+i9tzzue/tjyJoQBVKyR8xDDqNBUBGb
iQ05X3jKheuleH5Ckr5eSwyeK4L/AGrlfXuxxzrZTS6wUx5i9Fvs0h/K2iZ3QSuvmhnHe/ZAxdnC
FXxVnWGvi5hKWZtQ0a8KSuEj+5qKnS9NGojj1lkB5yrXEWAFlvV8D+so1I2FbiPWHa6YC6tX+VTx
HbCmXlrGdGkeGU/TR6ZJnd5EacukgCbTzpcogPfO03nvQr2lIS0NK91VS5OKogqOvuGE54oOFulk
xK1LU6uW9pY3uTS6tLyMqZ2nbGmDnaUhdpfWWGihS1pF9QX4f/rVWRrobmml56Wpzpf22n3vtOel
6Y6W9ttbGvHpvSfPlvZcLY16v7Ts7dK8j0sb37539PXS3OdLmz8vDX/CQ1oFwA1a1Kz4wt4nA+ky
JEBvLvdiGRyYbef5v36iGktu2AeD2vsDldoQY5wpMa5/fKB6dRNO9ji5Owb8D/Oz9Vy9as/Vdbht
7hEY5XdadvvrV/wpolfajNqA8XpQSG2PO1/+9IqLjlU5AD53veMGX7OiieFp2Ml0i9ZoNgkEKZZo
2ap11kaYRl8NMZNNZAfpj9kQo7XgOIJtngys7lAcQ8qaA9goa7NA4b+bRaB9bsB/PIJc5cnt5MWA
YMFedKttOtX7sSqqs6Xq9IgLaDxwMHO7MR1YOdK9dsBGdz3VFL2zSraZbVTbqYHy5BIZ+uIMCdrg
IcgOfSXcXTtl2icVD6Cw2zxFz4eI08w6Yz711HcPERvgV+QPpExkA5mnyRjXTzZKa25HZWaff/Oh
Lj7CD1+jbcI8N5wlp9rG9f4T27Uhj4der9J2U+vaxzyND60ZuBsxad7GNGm3TM8SF91mLc7yAwiN
iDux601pfGncKMrXLPvCt6nvhqPK7OmkuUZzcRnKPlPfFU8WuoKOdfSm070ZpJE1XGvVkrUBBCDl
1kwsrOZySvd6y+yASAWQg74TahJ9Q5gXm3biXVme2VMgB3P+Ws8dEirVOqyh5+U8YsPH0ZS8H1Pz
+5Flvx9f0XKSecuZ9v6B/T+z+/7/iLsQlvdL1sXxVanuH//zVZX/6x+nV2r9uP4wsf/z5/+c1kvn
D0kswAKz4D4VTOf/a1pv/UG/AuCCWTm/OC5D+X/5ecUfXBGCGT6EGc/0nP/r57XMP7gbTQZPhg2e
mlXZfxIxBWLtw/WOaB34htT/9rhi7hkaXYdZR5GKsMLsMhiItxHsMrXpb0skKsXGCwLEkYY2RJQH
jZ1u2EFVp2nsg0MRhtzSkRS3dL+Rr0+jRH3XjXtW1mrDAYs1ptRCo9h2KCH8oKHFGgKrWVVFOx3U
Al3MGjRRo5c1O9lG+qap9GhfqLq6wxCffkYnUyOTL6KdMhbuRJelJ/Zw3gEmFiVMnCvwVVF9VHFv
M+Xz4lfXqx1cRyZb1CApvd5vCkv4bmKXuxSAzJZ0umxVlIPTMEe3koeiyonKxW7snmdU5agGirH9
TloQOko26OZjm2vFFXNlPJ0qNo6nqXbNc8mQaBu4RQCIyX6zk3leO67D+hGJNDETrNUHatmSUX/k
BN8ymiV/pnE8VUlf+mOTwzBMSTcf59baG0EqjqmMpscuZfR6ajD4WGsvW/LndSi7zH0dJW5y/K4s
AaAnkKUenAQ+v68Y4Xr20KXm46ow8MCwx/Yavf4OWzr9TKlUfiZmqtvrdmk+y4h5K0uYKD+ihIYj
lnnEPyNNrL91VhccSStmYYO2kQoRkY04DBoCN5ALsfaoaTA0b2ZbBvxcl3k/JoOZSjbOKA3iTKtP
KAfLV62MU/gYdg8bQsGji3VCuYI54U+JywiKeweLYtPUI2y92TI30ewY/sz23o+W/5J9Eb7QMO7M
K2oy9aMa+BZ8kznXUxrbNPEIXsrwE09LIPCYJiuGlCAPjHUG5BmRe+qGd8qR1sFTVXQRCLAYVdYB
2tqyGHBQaQzJcVBE0yUIqWWbGv29zR9pXmre4muXjJ2BkRXddT5VAq2SxnGYa0OxDQBQmaucVzlE
tka2RWQEP6bS4T2R0iWICzQiT1sbXCoRs+/KvEqnCV49vUsRmRHijXrAMDczA7nEjyB5OVsK26W7
gPOoy6K+L7CX1agLsWxsu5ma0cQLc43tLPwh8JisxwBL14Rqs4TFTeYw7Nq67VblALCLqjLriLbF
U/IWCG16naPZ+IQ93BVosw3rh+4NLrd0KIoKBZMikA1/ILZFK8bqvir7rO1vQH64JKGnWPFgXZoF
ovle2HtPKPbfpoYeBATvDO7P7msGfVMyEmBTRR3xL0wdxQNcC6xUVqkRYdKKJsfdYhD2Qbx2p39n
0V3QsMUQylvFAUVSVM5GRcNxfDQmGTYr9I/eNRvHb6YOpGUyCvENjlm21/WsvYIqL89jF6b+bFT2
hQ/Fs9eGW45Po5aEr4TXxQeFmO5QTli/a7ND6ZI5rXcnU898YPSyxDTOET45NVCP8GFmLRzgmTBb
MdUxZ61DRthm4Bhl16OFD0wY0VL1pfe9NguEBGOrtYwZ4uhrTL/8NQySfusQSnQ7I5ACMLconiah
LgkOt3ZFRhs5ERAFbEgzaMVWrbSAuQDsKc7IUXR/wPLzwh+i9kmk65cmobwfbO+F9rPcMHh1QIPi
tXcxGm7i3s3O7WSJF9cOZcLuDJ2abGBDrltkEZsS7RGm8RK+m5HSha17U4gDhOkCIzh4P58RCd8a
a6HgTNrBuEfZ6OIcVXq5GUs3OOPZzZj+aDqur4ohULnh09FfkY54nxyLjCi9aTz6z+yeeQioFsRE
q952863QXPj2o+jKR0f03kmVGcwU246/wfi2j7ST00bvO31n2cTI9IkVb0QDrYV8jXRvxkTZZCIi
BwsSOCMUWW+K5ZmeAwLzK7LRj0442l/IWMKgEUd2vRMDwX+M3ONbjefejdIdAykxy6dIBL2PL7C5
Cp7zFyTSsCvrwh3XcHGweg+RfXE6O300Gi36bsjci1Yk+/SbjoABFB1jsid6Md53OVLwnPSUY+kh
4bcRiRUMKXHD+uWgkptQKAZ7hjXMX/EVNvskVfEVpxQguLG9Z/3kZT5PSyz3ODbML5zbHvabtMlW
QkzO/Yx/e9U3YE7XlaerI+i1Kb8j1W18SsYi+kFcSnjtErY/ZjliL9f0wfsaDk3CxLW2mfiyAB6U
cj5DFWBFq8/gJeNJ7UF/AmDzoAxuSRe3DVAYg7wnv1Ses3qmobTm4dzXmn3rVJE0iQwyAuz4GIpn
PRwOHr3mNmTEeGixPBMoZrTtVjJruQrZqE0cB5GxwnAC7U9YcXRryn5+1VzLWDqvmZ5WTwvsEAib
zlGchGuIgtoKwZZ9nl3VfzGbMNlC6+pYrSpKZE/hMAhhXJerOAjSNVyw/FgRSnOLoxHSJKQr87vV
F/kts4NxkzYTOzGSAeZV1bnNNxZSiLfnnHXeUGnH2Z2778SaT1u0oP0DPO4Q35MN7sIiGugYVmH6
asYewtN82QbSAOlqPWU12QVCkPpdO9ahQ3DIaYBC9yQHwzj1ii2Mp+ndrrQSSIt2wZNO42cOMR3U
uaiC8ZK4kbPDr5ocG8et+DTBZQYDLhTFcYJCeCIPHrH6dRD1vNXcQD42iddfon6w9rOaOK8RlJxc
jPeRbuSHptdsigEmwyuZOJKBhhl+/e8KHfnZL7U059e0iV7fhu/fyw+V+Z8/98/K3P7DgFCCuRa7
+ZIPQv/8z5QR8w9Ek1TlxO64FqIZ/s0/K3PD+IP8IaJELMnh8kFJ4/5hOgZRqRYVuzTBuHn/SWW+
ZJz8pREFvcaezEDutbSiEIGWjuSvA1qBTzWqrZzx9qCOnmp2HOUZu9D6BcI7h4zU/dQZ8hVL0F3g
IthCk/MUoek7M1kk5ij50pX1rQPIZAcioGNS1V4SDl9SzozYLzpWnVXZ2JDps+fW5VGlA2UdROF7
/USHCd8y7wD7IEpem0Ny9+s2+yNe7/0vx+jJEDpZP0iV7J/+cgk7zRbMhw0vN/HRr2zT4EdelxdU
Rev/7JVsvkmBiR3AHrMZ2rCPH2Oo1Ybs2dv6jUEtinU/ybUzyAffKEP/1y+1UJb+8pVJAFDLU3b5
xRL8Yv6kfeJ8ZT7Iw8nPnf6bDCoWRSr/3E6YcGrPOAT9sqh1+tTXK6f0Zd81a3DP/UqGVbQLaHP2
c0dGbCy/8F89klRww2h9Jpa6fg614QSC+RXSpS1KKJxO8ZWV67QuLZozBoKk0YU860Q8bANLpwLo
moPVRM267dn02oRv+WizXp1+/lJV8YtVSSqlFLDgrz+Dv43B+Mu7sPkY3jk4Rgxzuaz/slcIhIz6
ydI8v3BdNFBAqRUYCubDDGODnVc8l8rhEOnZImMHIyhzZffqLeN4/vUbeX+hvw5yHFsaAKosqb+r
5X4OLp+iEU17KChSkW6tjKqiQNLkM/GsHKFG9i3r0hPDMpqY7EQ47WOBHqoPErmjkmUZ45n3Vgcm
dkQRIKodFdjrnIQvajJI4BHX37zZBfH41zcrmTTxEMJbqzM65BHy8VMjHMTV0nYEIKXPKLJw2kl9
eLR7/QFxxg2d2mPTFQeMzft5dOA7609aBKoJg80qov2u2fn1BumDGNsg9UfwoZ3HgaHy6tfv82/f
Lu+T/DHkgja3kuBJ9/F9ipAsuDiWmk/410PpQv2mLgE1O4yYsTpiIxqDqNNBB6veot2p55ee6TZJ
jqy7fpeJ9vMG66f34v6EzdSd0sgQlgRozWDtlfoq9QxIRtYK4eSu+e3LvT+TfvqO2JBzNaGhdCXj
wY9/d8JCUnfOpOdbLXl/7BaLlduSsaQGrgr7AUCUuUWbUODJgWNdLeQdvGkAqKIXOYG0T5Kg2YRI
DqhI8uegQ+bdeFuVNI8z6O+TiSF53QXeuA1EfO8p4JBtwuLHms/Ui/Y+cehcQX6RJYLmb6I72cAL
PBEgTpkI5Q/CYXXOWNtuYaJjk0NFuG9dvKaFoF2GNcDosgaUjybi8uur4uPDnPERFwXj0kWL6hjS
5tz7cMvjRoQm3/JFMOjYEJ23JW5mTFxoEze/fiHz77cJszJGYtSQvJAlfjo2BPAzMw+4p61EntjN
fc+FwVbRLcFIeBa4gCb6nIzDg13Nh7abrhihvgSuWorv4KUOXNRozRt5QCA3032dMeJp65uxyHa/
fp9/W65K5+P7/Gkyr0OnCM2ySvF6O+fJGLZNKpM1hLjngAOahMO+96OyR9qpEaORjflNDR5m7ZYY
amY0OTggtVvHbrTNOFbWnmK0v6mbWmF9HVLCi1xCxCvHPs60vk/dgFylrNrbviD2wS47uPMY21Ya
UyguNV7Y0XsGLQg/VwFAh5U2oF9BTa42BYsQ+p7i89gmr0FUmtxHw/Qyie6JUCGHXKio/6EYE9A4
h/U26KrwxBR73qa4XH/9mf39IqLaETZVD8c0s8+f7ua09Sg3rNzzQxHctkDpRNuvY0vugtLc/vql
jH/3WtQc0hKmZRvC+OmcHhP8Ko1VEIiF8O/YdfPnOS6tU0ku/BO5sTYC4YqNx3TThD9CGQ/rwmqQ
U3gcsENLrNo8wbuwElFfsD/85s19nMcuN5MEcMxdy9CXu+nnsi9LekMJl8VuorLjFG6l0E5z9ek3
n8DPlQqv4upA34HfIRVHJPnxlq3NZSHmZCGjGqSe4zIcIEvNxyizm+Oo8Kemuw5hWb5mlfjEiuhe
kKTEqMxeSzvvNtVM/k1Vx/lGNuOFIVB0hmGUolSQ9m8Kin/3Th3X5lDksmCO+9PDpaUrxpFOjrTr
FDxVYua4sN/EIokLGRHhgJZsjYOTS0LJrz8kGoqPZzJpPiazW0fCJJE0hR8/o95V7VyEReCrUoLV
lTxi6PKQGVi5eYXUAFWi+s1LGv/uNR3DNIlM5YSFvPzxNT016TYKd3Kmq2CnzMWrFJdoR2xp+WZM
aa+6b1Haf6oiGyqN80owS4Sa62tbx2R8a0VxSxIMBl4LJKFcx8njrz8S+28PYKgU1HcUuBKgH5X7
x/c3aizldbPV/MbtfIYRu0AE2yDhdoGkAowunbMTqKLdMJo/EgH0DPU5oAcSlZzgS12x8UocG9Nm
/yOJoq0a9W3YY2jU0vgyOOmujFDFCiTvXll8czhvNxLreM/M5VDwr+eSDLMEtAvYtcbH80OgmGi+
T0p/7ICuGAitGKwg901BDwYDJJk6/c039Dd/g8R1QdtC0Lvg3oHP+vETyOO4pduIpN/08tFU4p6x
BJEsuOBKMpPXmdfWG/AAN+VImBKBaOuMFTc7cXJv2rC5Iu+8InflMCBonSxSez2ahMW0EgyA0p9l
BXxFecxpIRScwwYOtUfYOVMyHPSDY6ww459lCBqFEcqrK8gLdEL3obe8L4YZ3xgwajCVH2qYHn0C
yHoAtkPc0/yG87uEpFXd1l3s97xRQ1d3GeHfY5IQ0MzwfqyIGmhbH31guEL7s2v/D3vnuRs5mmbp
W2n076FAb4DtBpZh5UMhKWX+ECFH7z2vfh9GKLMkpanKjtodDbDCAIMupRgMms+87znPqfTTVKD3
zx5k1ll4FMgoGOZqQv2+QweWAt5DqoHqoIq7aS+F3dwDf6eg2qeCJR3hr3xsC/c8jW6NwZr51fOv
H8bv1n9Q3oEFiQZbu7HB9mFkqPXESYxcYT0mT/JhqaE6TZc5REhwndtP+rt7nIvn9GwTP5f/611P
89/v/+fnIPrLlDx4cn9uRlrVT4wkz0XRv62fvP7Zrn5i0om0VE2lhKfRr6Mc8q1+oh0wk49jJixH
ptjxN1/rJ7RDwRePYGMNzxHxat+cSJJ4wM4CvPFXhvFvdTY/zhs6Q5RJEcaAqD++rh9Gb43UFLHO
6nxGL+TO6WDegVewXczNkwjGto0DoJu7lnGSJcrjmyu12m0J3orrPi4vPn70h9UfkDH8EGKZo2FB
WuZ6AAugDyyz0Hloc0yfv/40efwm7/YlzOKSQrCtRrFAleUPY3IA2pfNVgJqKghVCp9ONQF9R7PR
lENUF9mt6AbBgjudz6KoNkm7aQDjIcicNnp9S70VusTgfgnicNVXxqkWdBOlBtdeiUBHcge/J1gR
YuiCY0lBuPDrs6fi9t3ps+Iz4TqzEsOhtlW5vCkYyEVcGnqTq+hKsf6yOMJdkFZCYeeNCiMffj81
KJyRyDG7lVUH/qXqaOdA0sAeymZJYF9+Gw7I4gNTvBPU5MRT1IWchiSuNITtxAg4cjqzXcu/leOW
PspYUnZbEzO9x27K7PNDN5dF0mxEqsVORKarEE2h99nGcIGkDkurP2s0b61qwdLt24eS0TJsEfrB
Iu4clBjwAC/osa4zwkDV/Kkf+7VCZ9+TWjYsjJ4uJ7AG4zQtSP61JbBfllnDKPb0hH2qHk01oF3T
LlG+qIWkLGRAcld6KF4kAhTVyOKTlbyJCKfp+k0QVwZQBAIpOq8qjuUAIw7ZbqJhM1mNbpzaP+8L
g/pg1OZL0QjdOQSwbqqRInyk0j4+MU1S5EhsL1ctuFJq0iUIQSh+94ooE3Ob+Om5SRcPpE/m1nai
6/cdotiZ1nryQ6YNzXNWV+JRIx23AInPWoKA0EaaWNbAmML/1OXhCD7YYIv6MMGyIs3Jb8yefD94
8t1UP2wt06LFSYAcuG8yirLCTnsPS1IEK9I7yuk9uQ3FR4Nbo5UIjUYw3ISIPh+1voPyPS7zU8lk
CqrTK9S/yU7P8tPgD5kB6N3rZGrs8HmFqf0aMqbJj0swN5XyrOqlWR1F8Fh8bUiTcXvljVhBN1uw
XFSufF8m596rhXvP0aTczsy8seFPpCemoVx3ckNqgwPliBTX5y4x+0slFKNFqTklGItSXHugeG7K
vK5Pjc4RX7bv1N89XZ36j0Vapi/V+wlq6/78FkDzP4nAT0wNyrtxzfrzeW36HHn+2yntjz967QoY
BMwgvWGZq8MV4P9/m9X0A3PcmlKWHzPq36XSmAcmN1Zjx8Y2RdxWfv/w16riOOFRuBjXKYDrf8Nf
+130uGjSW2BvQKgsU6/1sejlJ1oWc3r5wi/Y0FN4y6urunHbW6+pGgIG26taKIR1gmeHWQfn0HGv
WrT2MhpYU60Nors4LJpNkaf+oRNa9Qy5OokgIz5PIkhw7ke+Bn5E7NYcHjjKyNpz/Th6Bvzz0I4Q
vnawhFkeVOEUZkS6yqzWucpll0VXLpU3SqrGmxQMzlSQ+8YunZBZJdXWIUbRY1y4DMQKbjMl0EXC
OgaH6dGibsPQfwka4JauPv190Gc20KNupgtCu0CCj2ReluEwjaNF3eeXeH68Gfq4FNkB3EF0h+G0
rqv8Uo1VAV9hEFNoA21oFhXRlsiNFxVKiBu57+CryU70YjlZctIorvdgknEDb7usHrA2lVdBLceL
gCoNlRQC6tE8KOiJgrhjK5brjnQfBl4/0VUN70RuWidkUrb9RB5qEu/KvOruFVhR2ThqE9CRU8C9
S9nkU5bEOWcj0S1gaDfaKcWNQEPoF5pfTCEqCZeUKPso5pA19EFTpK7/f0j4K8Z7Gr68eCRGyOPq
gtd53K/9YnT4YYjVP/43qVbTTbxJtvlWU79+O4D88CNexxISrsZWIGOCpuE2fqP9Y61r0P7Crr+z
3f+xQpZFVsjIBBEMkj++bSN+8+oTccXcxPH4OuMhzd8ZSyRlnMrerhw1Fo3IXSVF0lWSS60PK0dC
2ciS1ynaOu113aen4Hbm7hyxdcF6j1DZYOJr+DTXyjUsR4s+fnBd5j4JOTdOV7EDFSZmo+Lej+8t
dBiht/QotdbCHAfQokFN5JTxoWc+9J1KtRPcee3f1O297FczoS+IIRgu6bXYrdyfK14xV1BfmC/Q
TKIl9vKGENknDytkotGuC8m1Yf1Ekof+AltkEhYkrgq2L+mHWoAx0RKlsyZOpn0rTCKvX8R6CF2d
VX+nBshVFqIeQJWUKneS1tFZ590nFgnNSfsgWsl1WYkXcT6gZkf8Z2tKn81KqqZq8lhF57oJsblu
QlJAWJgqLrw0rBhFb7eGvJKC4NKNhkNFKeAzwgxX46NQpI6vxydKJ8GwzzKoWlQhcqRPtSDM9EBc
YSymzhoE1PZTLB9qQqqAeifCDOA2zWgSzlKG7MBhiVSyglf7SVF100AvEGmVp4pfrSpdOZMc5TE0
9FWXcq5t32s0B+Qvnd9fw3qcyzE0XRWidUAp3fZ0un1gXiGsef7KjTOiHekPUDn3z3JSmILuTyr1
dNo+Plu8dyB62JpQqTe+iw+D3lDCX0U03Q3xdVHhGFPVcoWybOm1+gzYIsHzhg4uKllE2Tmq/AUt
1eMqpq7Ui4ig45JNmuNYhzpUzlAAe1e38yIIHbt2lBUykXnXoT1TUeuRXTvNFf84T47FWl0UWXIs
9XNJMHGIks/uDxcameqm0c4KiSRNbmHW+y9qoa218A7hK3VtjeSYGFAhsELJmxTkZuWtMk2D8oQ8
iSkA8inSrmU2iKtCK+aNoq560TrRyVHs+tq2OozGXnUVZKBmJX0xsNSW7pFG2cFQH+X6cEYwAaK3
1M2B/wCss3gqQypVtABOzOTUyHFVOgVNGvMhrvplFIlL5i9w0gJJY2E9nAxdBWLG2fSZNk+hosYc
0MYsVNqC1GM2VW9k2T0Lkiu5KE4LlvUlYKKku4cf0x1nco8xOZGMu9yBDSh40a0QKDMvkxYkAgR2
q6tzvJnUToonseMcm7g/h75M3IaTatORMXzMQsPO9OH+zei6+n6nLI9b4Xcj0LgsosgtmiaRR9a2
kfJm8zeMfHQMz85MT8NnV6hvHC6fU0j3OQSeoSlw/RRrgpfPhro5p3N7GLTdme+rthSW+RzzDa52
K5iSKQ+5xjr3SF0o/AoSoZVMvSpcBfQvMi35k6dbVT4+3Qi26fCIDOBMMBLeeL7Xm/MusxyijkSs
WG4UkPRlhQ0MJ6zhG67BnJLuzEbSw9vAuJjhKUUUi5FXAjFtzLssWeQe2jZDGDS7yOGjZIbBM+tC
9cHaSli8bMs6OdN+c8nAulCibuUH9WUmSNcDGAwIak+u1l3Gamk7ikk8g0fUBX41Pliv0llHMxkp
mPwi1h71h6oSMGoABwiGDEt11q69plm1Zn2c6aSy+npCMpgTzOny3efGIAHNbK7Agp43EXLwWste
EiHwZpqSXbWV8GJ5SjQxff0Fj9BlqQe38eAviqbEZia9ZBGwNeKuLTj1vpsDolLh1VuTytO+tATJ
YOq3bKN4aD3hsMennsbtjJaxK7YTyLbUQ7WbhC5Uiy9RdboZgemnuEBXZcXskYnyNDCtJWlFLG3r
+iYoquscGZqeqLdDmF+7sAZrvMPTBnXzmJaiBAjuXHGp5cklgsOlCNwAlfajI2aXCFCOalmZ6hTQ
i0Cb6oG5chPxEIH4qlWxMEdk3UiQLOuYCALRmlnQXXyISK4nzrn1J6IUzdqmZZbxb/AzLxsDcISB
SLc/Re1ZOeAme21eWVSADfQH5W0wXGLgA8RvTr362KIMECTOTcElXCCE9SeBI81zHKrsz2dem8RY
s6uX0EMBXOmrGp85oSh3eUzynTXSDJENkzqgYOFGN1bdwC+8SOHY0tjL0UC2LTX0Br5D8JhHSEwE
knjNGKqZdaOi9XGEFNKzMM8A69hp6pwkvIa21aSrKkeiOWjzIM0u41Zfh25wrMp9O8V9aOcgUvAH
S/x9BbOwnrM/mDpuSYRFeEtvcokWcBnXngWO1ycLsiKs1Utu3VI76QrlS1Qh4dP0W23Ir7q4RiYe
1Ie5Y7wMpPU4tUeCcEnUbyS5mAzIQK6rvp8WrhnNNHU4oWXFEjw9x9BZLIxC3KjlQOp2W6xTpd+E
uUdRr65uxUiBmEWXcuKT7Feo1XUzmEeNQcNIEf2ZEB6GsvZFNyRktFKHDCVAHarf1nJ9LHbdQ9wN
NN0T0B+RshTaDrmluIqpyoPP+BITs20CUi1Ua63Xwqkb3uHeszHBTizHOysb/0KJ8WHytKtB9jL4
NOq5Yl1nXXa9gifPX6QVblQpX9O0aULCrQfxvnM725W7uVRbjwFBhiTWNzgHtbVjPccGU4Y1UwUy
FM4y0uOV86ReB4RbFwTr1Epm6wrNKNmGQHRNVwS0XjBJsc8nEBEbsCFy8AzQG/6BiaLy1rCuWkKS
/E4lw4hkbW8qyXe1e2m4OKPNwjbVCwFBvVuSxFjLPC7CaSCuMXcRxTSciA5kil61K+YoX1cPAW9o
BEaH5BRZgc78cC61jxZYxdhQbquaWIKe9zqUb01rRVAOWQoXIuBom7HyhsJiOKl9ber6Dy3Vo7h+
6YJ0EmfWQ6co0dxqygch05d+4S5DX3pq2qACM+vFdkjjtsfPb2tWO5X73K6s1DwMPBoUOJgJWHDj
L35PRFAn9+qTUBDuY+LITykSz9t0ONaK5MpDyDIdAunKCoW7tO9v0hAIbBesBqcyJk1WAFVLFAJG
qzBii2zS6NSTetq0yWNaDwtzMJYVBjQdZxASVZZTrtddCmru2gXq6lZURxXMptJZDkvFIQlT0gRz
G6YF4wFs6BGMnmezr6+sJMsmeSAvg6CHpo5CmCBOcMuOMRrNwPIFTXWFipelHbncg3qSZsoLlaRJ
IC3citgDyMdSWpyGbcboCwIjh8baVwsIAvJUdRSaRiq7eBVH7hSaDGJwrRAmJYzYWRQKvf1f3gD9
2KhZpmWatQrlQLRZgV35YnwLgBjleooVFlfKWvGkI66NP3PoR9ly5hCjYBgV2Z51bYsCbCq8iJd/
16b1XYPlc3RUXutIf7K9/Mke8o8/ft04ygQgy/xXNpdbbxjdjVdp6rhxVN6kJrOiem2tjBtHhYIl
HWs4ZLJpcS5fi1DigaJT1hqFebuWzO9sHK2PJdLdvpE+tS4BqdQ+KqGyQshbNZFUUDz+S23oZwa5
SBmE48DJsMUH0izqjc5uBOfKd3EQD/qdAc2itu6JsMMxLrjHjjd8CWt9kbHDlNgXBaAOi6Oq1Sad
AZPFaU69VvySy8qCnAGy1LVFMBRLMSNviSzXKDsGVQO7ba63/G2enERBsVShwoW6cqEX2pmmw9PN
1QvVkc5UrEy6+9C53rwnfciM8ksIGJdD54DAVCaql5L5CNGrehiiy96Fcg3/Wuv0uaG2p0ZmHtaE
0kmZepao3ZeMGLKsSlY0iWdZ3y+iGPQc+4Vedq5Q2JhT01GvSt1dEtl4HjsqyB0P/FmpFcvBQZ8T
uNFF5RpLOHTj9rq5rwrrSjSL20DlkrmiSrqjfpgL4Qz9waNAqFqexSdjYMivl95b/eO7pfe4+cf5
Z2H4kXhqPnSp0OTJpSeiPkfsMvKp7diIT7AonGt9f24AnbU9St7hYMwEtkcNd+bXJ/CdSGqszKA/
EdGJUrTFhv1+DQ2D2UyxIED7YmDMiKbF9TIn5keyG8A+s9CTsUiQx1g7wyrIhy8kDyknFGzBjOjE
cRr2c69UxRwNlD5pQsWfG5ITz2D+nnT0cAioCCc6a5xDcUTvDGykVC2Kp8yE4BRCUiBAnLGCU2DS
dCA7WARpAIaU4xx7vu0ZjohkUX7sW0a6thsu2GwthtInmEaWbhhej4EOn5pBfQxKlTR67GnHvz/6
/bUS/U//1ecdJtlP/bwKNxkRmD4h8t7bOtvrGMlfvo6RlONNkVq4QRr8SK6kevU6RtJjpgMkUvij
JK+M4qavvlqGSLZrjIPEmr8K+1+HSCJ0R0GLZerI+qVRyvg7Q+R3Qh6qfZT8US1xFtTsxrLj2w0i
a1kD/2bQL2AZ5NekbRi3uSG5p0QpjpmgVtHdVYL4MFKfnk1k/vfU1qkrY9uuwTy16cxo4FEj/rJu
C6lJj5oYubpk+tGTBvDw5vcftas05v9+2Qr66XNGc+1/ZMOIljM1VowaBEeMxVZl1F3//Lk82TyB
Z337TP7wALvH02TKZSpWdCon1A/eu0uwgSOXRUc1+sHfPJ7GAfJvJlRUiaNTZXxyvz6eMm0pBA10
kDCnaxqj6W+0kbCxvCu8fLN9fyy4qBHSSgm69DJqjXiEeZCVBX7FtRCfxvQwFSsZjg0hMRe1UpRH
IpTPo1QmL9hu9Co4a7MRy0ZDU4unBsPsF/rK9Vlpmf2XLIjxZiYkpGXzAsM1KH+WnOs4C8oLIxRV
otyI/CDFyABFSjHJxZoxoYhC8I4iOgTGB3SRHhqCzLLDJk3VU7CDylHUSe2mcfqEeEm0XjP4Ftki
jZOCZHjNB8gTNaUuLtuePnXRhzSO0HV2/aIXK5JV5ChqcmLoBErVOX7tYFpnEnTRwNT9iy4zNFQD
Q5FfaQZJ6vC3u6keQn2eEKGu32FJjlddJ/XYRhsZl2URDFE0Z8eB0k2B/HaXB32IB1cR2C7QwjLW
HeF47HCBODwGmtAdWUGsHkmQ2NcaEQWzEYJ0CVupvhGdQlthIIzXCLr0hVCp1pJVzbAYkaAzR9AN
56RhDQPPTgNA4+ps5FjqmPOGZCZ2G3LtPVp4D+GWY6O3ZpGsN1QFw3Y4zgRdeWmdprsUc3d4xpIS
05p2M7IR5FA9t8gXkeidBQ5iRjVwrw01Qixc13G18jJLPOsDFNSUNFlzIXLvm0UYARJl3dK014ak
C1/YR2Dd0FtDvIY86REvoed9OPNBxqxMQjceAqnNF8Vg5hNJrtindQRJrajaQ7pKsyQ2ZnHmWOBy
w4rQJxCJNoXHZGmAEiwPyS4iVCSUkuqeJBMsntBpy2c3drorDX0z/FC1ctjQEXo3MZzaPE2zQi8n
bppE0bQiOX0R5kFpnWsWXAxoGQF4Yc1qiA3shSj1T9vB6HwSGPNUnZHcLCjzmLSE5wSZKU0K1K4O
WoOE+HCU5pE0EawYtyS7puwe0pB3K8qo/tn1dcl5rBFHTrR33LMPbKO4RZdNGB9lnIK+gw++huvX
wIKbKHwQ/E6t99aa5OUFV59wxbhUnBc/yIz+CCW68wxTt1riqKilxyxq8P57hS5R/IudgUeqwxMy
NwrFg+9LvOoJO+HEocYYmYde25aPpJ10M6HIiMcU/Zj/Dd5eOCE8OA1nTc3KW02HIVhVHpofW+0c
sLttH1/nlas+9drg33UuCE9sSg7KIWo3o0AwpQokCkgUVSlpDzOPuAGETEjfySUFTDHmBUUmmbth
JU3oLdTz3hIpuNM4Np+tptBlolktaUYEOyEHTVcZF2LtlIeN3pTNiHZkx0z2zYNVaOVNgB/6TO2G
Ya7VJe4sIHc6KOHCai4EQS1v2kKjVqq1oGJxgs9JBxJ1Cp1BBrywcZpZLBOXTIXdU2dylpDVKuC0
JrQH2eNNH5fhcSKF+Ab0QMc1H4BbPSS+rYOdTKws3fEEE0sEDI+oUg3VUBMY+kwv04akI2p7tH5q
gyIm6SanURj1a90aPHOe4sx3ZpHWd4vcFbQFIdnioZGFlPplbuNdYYXDE2UCVwduJVIWjCuBrDjP
PbUASwKLTFVj3caZf9k0ArkAUaNLh2KrD0uVoNe1b7YQwmCFAZtsE2HqpnVym6aeMWsQ285Lx3Gu
qpohZ6LE7kBmGuw8aiIZNa5KJI9hUM3gHiJTeh5E2MnL3LVYeHTdYe0Uw1PdKwRV9J6XSoswpDhC
f6jn3tdh5mGhQfx9l6VZeMeiRW6PSGlW0onWEcbIGF5dc3e6xhZ7VyJ7m8hbQAJ5fyRoXQtcwyxJ
dE9NEHKOL9ThRITbkPGsBukDSDb9qlJrHsJcrC0ibds8uJdSNbvV8pbacJ4XKeiAWq00BEKjupnM
KtKwKgNo2ULOxOwLpvkgXMtmGlfcEoVBh10T0Q7ot+RjL+jx8DZc/mFm+BUqLD3rm24pRy3lnELs
S+U8y7Pi1B1G71lLThtpAa5snRW5ET10nuu9eOAiplkp+lcYrymWWuQDAnWKQnMR0DP1JlC5jZnT
SxRvMFT6SzURwWAJad4dqU1Of0fpneiobhskUFqDYgkRcJWeiYHclFPJRabcmFiJ2yxXhqnQo7Ft
Yo+UNWz9RLbUBIZ1MYimeY4Y7kQpJHB5cgovRMTst2i686LuBtf2EPeQhlg2w0kfZNmsjslGsMVc
FYlgJQL2wcjDZEY59Jh8kba2AVDzV3Db8ossNZBqRKCgwRiJuKH7iqpgGYqw8VKogFO3MqAIIHQj
Sj4kANdWq3KJInxRgazTbfK972A/WMeVPm5/w9wiJjixoiNPGfXAEHrzcOqT6yjaDDsJ4xA92EJa
k6V9IUspLGexGZ4iZgMmaqKfI0psx+6Qjgg9XDpqUlbrhBjkF5XJZ6G4FYxNS98YRYsnhay55dAq
7lKuyvJa6TRlaYbYDpG7RJFdoeF5zn36JhMkJ9aqpnU5D6O27ibgwbIjiaI0YF2/ZrMnDTkkDB9W
I3gp9FxKDqOZVCEssE54GmkM5LOgTfLMljoXgogKya62Kx1uy8QD87cog574jsHPw8PBJ4RPDtTo
qONRQ2VXBceD5avH9GBMshax5dxaPGfTEvvOow4GH+k2RLRzNY7MNVhEYxlUVSJN1Mwh5bsT5CeL
BwZyjpRckIBGCzkafHUWh666FLUquxYTtqRtze1Prdy7jSmAxjTTwwE6s+6S0GQExlkSWvqj5FdU
KwqrTSd6UWVjyQHND7JIhDtl+di5UrbSK72DNBMQqNyGgXtWaqUxU1JSdltt22eMMqVizSUb9/Gg
BP2ERnp3ras+mkmNMPZnx8s9Ch6CchLUmRFPxhzQmtDYCt9tldb1HXJOg21NblIoVRqRAcBx7wyR
xB6oAE13L+iecB/WKuKDoAqotFBTXnhmZpyPTcQjqIPhC+dbrKCG9A/WUPtwDLK+ZHnmF+BOm8Ks
rqy+Rc8TlC24FQXYAN0h6hkXpluYc6PX2i8D2r+5QZ9lY8k6S42sDIk7rkqHBplTkKw7kXPFXXCr
2hMJdz+jg+8UFz4o6Jzly6grqIaIkUqGFhTNspo0NaDlQp0u6gqm/WFWVGTpmRbZWfNI8qQzNAC0
Z40WQakMBqknlTJuJLsrTJeEb7kwj9EdDCSJq11ZUWK2aH2ag0iqOnp9nczfvi3uWmA9wbTwPdLp
/CFyTn1dVoCYAP465Amxhgmtw2rjegaTGmhHaR02Btcfn4ba2uTq1ku5i6Mvqurla7qXqMMK9kPr
AHkY1tHGnQjIjI/9UjPPpRHc4ksjw4WnAJ4L8y7tKEMmK4Rgt0K7hH7tezMf/hOZBEXpJTNS4GGN
SFtajLklx7QNEBngOfBkAA2jBom2nJmUqaI5lbf8Ge6C606IlzMWulSZ64gg73w6bJk1IDXUlyAW
LG2aWDQ+rRFvQ2CZ+GRumTdY5JjJQ1r1Y/8dqq6d13mXTaIggKRSVnhgR4QOwjR/XY1YnX5L2GGN
iXkT3cNsGOE7tQmmt4DkeEKGl6nP+y2nRx2RPZZnwsPZcnz0LdKnzeW1uOX8sOqFJVNs+T/dlgUE
h114iep4YI1WF4cgD6EGDU2eEiaTdLMC+TyYohEwxJMNaygfsUPKlkAUNG40cxqw1DlsqVUqRjgB
ky23SNwyjHiqSIMZwUYOkJ5DZYQdhVvuUb9jIG15SMWWjWRwSPcaEgl8ImnEJ2XtSFLKLTRvKYjM
daFEkJYiMYQO4uTkGwakgRo1cTjFCGeqRkyT7oCBnzgQEgi3cQtySROQTvUg8ixuOU/aiHzyRvhT
uOVAdSMSigx74FBbTpSzZUZRHBaumi1JyhyhUu6WLyWz5xzB3GCn0hFARaDd2K1VJXfNzJ25ZBL7
1jHCgwSKuxhmMJ1TZSEKZT1pciOYwy/qZm4h5zM6t2FnJ4ExHKqBh5pGpANrpWRf1djXTjlp9QhL
GaYagt9mFulzczA5isBLE6W20ZJXScczp5lC93XaBWG9TlUUF3aswFLEKglYLyGV8sIQ6TNKkGFo
OWELOhZjmeWUFjozEtAfWKdaC5F3cpbWFQRVy3LvEbVXD70INsUWfMmZur0c3rtlaly4gwTWj91B
cNQiM18MUJMmPfDYq450rd6rpDviTL0LzS9Ge2JnIILRte4IfXG7VLPIPdb1LOS66/6R6UUW3WHD
1xZpKMo3eTHQLUz9FIupL8TKHMQQbFpDVYlrooPOajb0xQeNIWbpsyydhbw45Sm8+ZpttMLmuEBD
Rd/JD8j+UoboMCUDiCj72E+vSHw05yzh9JWud+qlOqTKoaGXwiotNWXW6mnZ224AtoCkbdpYjLwy
yc0mDq6u8a6AWzl3HtpwhjanzhgeXTivZU0upR0lYnyGUsc7UhxPXzWqjGcpN83etxVdDE81QamX
nu8pZ75MvJ/tgCk9L6LcBdYrxsLUE2vj0Indvpw6dVBd9nLkX9dR3awAUGqPvLvSSvIK6zkHhzAv
LBLzbF3ukY8JrSrdyFXKql4Kg0Mt14NTJE1VZ4sNtYy4govl1zXOwtqMg8Moqb1pDQsM3kZOH9IS
ukM5g+TgRGp3LER82dDgIHTHSVLliqcInUBo3xRMdYBkWii8Imo8qNJVdEnjzbyqkJCHZJWBwbYx
vxErHwawXBW5O00BeI0RoS3Vd9XwkisplhBpqA1Z2ar8YrAZRP2Th2U57Wqhgv/QGbRU1GLWhKGZ
rEkKaQlHJehr6g55as7rJq1Iuer6yX+xOY8yJ1GipYLXl9jZoiMIUydT1kb1q52DTKfbGVmBWO6q
/n+3Nv3/gpXq9RSnm2oz20pHL+rnol8/E2pZfYs4Gn+7ZWZfpf/ZP/palPvxgf7x/FdEq1S6KT9/
B7jZntf2pH91mGhDHlX99Azz2zgYvVSMSBLUAn5o40Vp4r7+2tIPJNxRNGDwGo8/9F+ofb65TD+7
EL/+jrsr+ut/8+4LPLJvrcY74fpp8ra6uhUVvivH/uQSfDjCm0tA1ZRQH0McaTrbn3eXwLDGtig1
VfqiX6/Qf8sl2DzFPuEtJTbdx+rtJaB8PLrT/8pF+HCMNxdBOTBx4tGHMHffkl7Em+fANA5GIzgg
JDqAn+vbY76g8b3Xl5e0A2yIkFStr4/5uy/PE2DpGtpwfGfbn11j6v/9S/Dh7u3GicOnf/3TsIgG
Unh197oMsnygs59BT0BbbPx5/wwYEkMFFTMett1l+O8aC356GVgUSh+bMz8ZDT4c448XQVLpCwID
oh33w4vAgKjTHtRGocT48+meBRlY774Pgs6IiCEXy+XuS/KCvRkMLBkP7ti1/DpgfrprANt675dB
O+A+m0gFlB89Bya/Fi0K2KPu5XMNiKOZZHdHdn7Gb6uM31kW6AcaEb468p3dt3+/LDCYLRgLweLB
2hh/dtPPJxsRwQ3t+SIwMTD3Y8xDKLX7efciGOrByDCDayTvfvvpLsPXXNC9RwQJbiGEFQvPxfbn
/dSAy19UR0LMuHz8XG8DrqWR2bjXxAh0AJKZaRhjesKbgdDQD1S8ljpGy29vySf79opm7qbpPcYC
6wDFi4QO4eOXVzCtQnZ4XTF+vuUAgrF9RwBCcRF+MBCOUqHx5/2DbxgHyEJkaRRbbn8+30VAfglB
Y+St7fUOyMoBGjwch+brwgexyJtXgflQ4z0AtvI6Un6+fcKoldn/ImiKCYJM++EuyYDuasJ7BVq6
mw8+3cIIJa6873ggWQcq08Aom9s98x9eibFkYFoKjtbPOiluEQDfybh+d6cgs1NQ8HejCnv9pu/e
CIs1EgtIQ0Oltfv5dFPj7jrsPTLw6rNdkDApf/uib0YGi6XDlgPGavFzXgcZe97eC2bxQEMnOOLY
vn3LNxfBVA9Uwj7hHb2+M59vpUg90SBEZv8RcmQ6oQd4Pz+Me0YK8bIlftYayk46rOx9AfQDSiSj
U/V1Dviwd+ZBADWAgHM3doq7KekT7ZwUEabNvk8BVWV6IMhlfzg0muaBavCwsXn+pKsmNnXivkMC
YnFYzVi/R3zZm7HA0A6oJQJj/Fo+4U35XLsGVnFjBNRe60UY+PQnaCqMkvu33557j+Vfxhv92b42
pwstkMrevl/dOODt1vF8f/jqFokBBAVgLNjNEZ/uxo9NJd7LvV9/BToJudUUTt7de5YCvAyjM+31
vf90syDrOXV3V/bYL+u7LSMgpx+tj9H8s50cO06ftYL8tWi074VgAGRDiHcCKMD257vXgVFAYUf5
umL6jafhL8yX39q1Ew/Dy7ZR6z+XP+rn/uwffG1Pfv/719bk2HoZ+4/v/uFVnz3vPvuPPu6/37Ub
tu3TN7/82k7dfs7rn79+we8/+t1nff1WX//j0n8uNsWj129/0b+e5sgb/dc/4RN5xeYfq2Lz9Fx6
b/uHuw7aHyf0r3++O903o+Evj1+Wm/jtYXeNiH0PS3jTpnh72F1tf9/DLjdFv0k2bw8M+misle19
ZD/ePHqb6IdXeleR2vcj/mK05M9lBN9m9l/d0ONNkaB0CN9fpF2Lbd9vcMxzGn048LZOu++B/yTT
Z89Lcrp58vofv0O76tK+p3/+5BNJ9PUhHMeX183pvgf+Nap3z8uyqpNg8/DurHfr533Per0JNqgw
N+8UH6/9rX2PfemHof9uwHrd+ex74KtN7Ef/ONs81W+vyOuaet+DX1fVpvjR0PK6ctn3+DfPZfUP
+zlxN9G7s99JTPY9+umGwZws3Kp494y/ViX3PfqiDjh69fa8vwkj9j52+u6Mx+Nu24v7HpdZ+Rsz
8Izowwfu7mEZ4W0u338PiaQ7NiZ7f15RJz+fnr5pyvb9mFN/SIv3y4HXvcXfMMNeFRgh3j9Bf2xc
9j3z6Q/pjl8v/HbFN26SKHZ+/W/jiu0/WzKdbXjNuNVfj/R6dHCQYxlq329yuknG6/T1QG8Ozv5u
74M/u6xxNv27t+K1hMamb9/D/4rAu+dk9VNG5+7sVWn/s/9TNsGeX2HieZuq8svv6Aevvb6/4f5u
5xmM7B+fztdPYCe37y0+Yir46fH/hkfo6plXy/24xv+jxLPv+f9Vo/+e9/rH49F/Qpv95Yn8aL/5
Tef7/S70q373R3/2fos9/ovH6HlT/Pv/AAAA//8=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jpeg"/><Relationship Id="rId7" Type="http://schemas.openxmlformats.org/officeDocument/2006/relationships/chart" Target="../charts/chart3.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2.xml"/><Relationship Id="rId11" Type="http://schemas.microsoft.com/office/2014/relationships/chartEx" Target="../charts/chartEx2.xml"/><Relationship Id="rId5" Type="http://schemas.openxmlformats.org/officeDocument/2006/relationships/chart" Target="../charts/chart1.xml"/><Relationship Id="rId10" Type="http://schemas.openxmlformats.org/officeDocument/2006/relationships/chart" Target="../charts/chart5.xml"/><Relationship Id="rId4" Type="http://schemas.openxmlformats.org/officeDocument/2006/relationships/image" Target="../media/image4.jpeg"/><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3.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15</xdr:col>
      <xdr:colOff>48935</xdr:colOff>
      <xdr:row>0</xdr:row>
      <xdr:rowOff>125835</xdr:rowOff>
    </xdr:from>
    <xdr:to>
      <xdr:col>18</xdr:col>
      <xdr:colOff>56972</xdr:colOff>
      <xdr:row>22</xdr:row>
      <xdr:rowOff>156673</xdr:rowOff>
    </xdr:to>
    <xdr:sp macro="" textlink="">
      <xdr:nvSpPr>
        <xdr:cNvPr id="33" name="Rectangle 32">
          <a:extLst>
            <a:ext uri="{FF2B5EF4-FFF2-40B4-BE49-F238E27FC236}">
              <a16:creationId xmlns:a16="http://schemas.microsoft.com/office/drawing/2014/main" id="{66A8F1B1-0DEA-33B7-370C-C8DB6F5C742E}"/>
            </a:ext>
          </a:extLst>
        </xdr:cNvPr>
        <xdr:cNvSpPr/>
      </xdr:nvSpPr>
      <xdr:spPr>
        <a:xfrm>
          <a:off x="9171963" y="125835"/>
          <a:ext cx="1986440" cy="402959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35607</xdr:colOff>
      <xdr:row>10</xdr:row>
      <xdr:rowOff>8393</xdr:rowOff>
    </xdr:from>
    <xdr:to>
      <xdr:col>15</xdr:col>
      <xdr:colOff>35607</xdr:colOff>
      <xdr:row>22</xdr:row>
      <xdr:rowOff>136580</xdr:rowOff>
    </xdr:to>
    <xdr:sp macro="" textlink="">
      <xdr:nvSpPr>
        <xdr:cNvPr id="32" name="Rectangle 31">
          <a:extLst>
            <a:ext uri="{FF2B5EF4-FFF2-40B4-BE49-F238E27FC236}">
              <a16:creationId xmlns:a16="http://schemas.microsoft.com/office/drawing/2014/main" id="{292F6A40-4A46-674C-798B-E2BF4A55E4A2}"/>
            </a:ext>
          </a:extLst>
        </xdr:cNvPr>
        <xdr:cNvSpPr/>
      </xdr:nvSpPr>
      <xdr:spPr>
        <a:xfrm>
          <a:off x="6721250" y="1822679"/>
          <a:ext cx="2431143" cy="2305330"/>
        </a:xfrm>
        <a:prstGeom prst="rect">
          <a:avLst/>
        </a:prstGeom>
        <a:solidFill>
          <a:schemeClr val="l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xdr:colOff>
      <xdr:row>0</xdr:row>
      <xdr:rowOff>1</xdr:rowOff>
    </xdr:from>
    <xdr:to>
      <xdr:col>15</xdr:col>
      <xdr:colOff>41031</xdr:colOff>
      <xdr:row>4</xdr:row>
      <xdr:rowOff>0</xdr:rowOff>
    </xdr:to>
    <xdr:sp macro="" textlink="">
      <xdr:nvSpPr>
        <xdr:cNvPr id="2" name="TextBox 1">
          <a:extLst>
            <a:ext uri="{FF2B5EF4-FFF2-40B4-BE49-F238E27FC236}">
              <a16:creationId xmlns:a16="http://schemas.microsoft.com/office/drawing/2014/main" id="{C458001A-403C-CC07-46E9-27EACB26A7C8}"/>
            </a:ext>
          </a:extLst>
        </xdr:cNvPr>
        <xdr:cNvSpPr txBox="1"/>
      </xdr:nvSpPr>
      <xdr:spPr>
        <a:xfrm>
          <a:off x="1" y="1"/>
          <a:ext cx="9185030" cy="726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0</xdr:col>
      <xdr:colOff>48638</xdr:colOff>
      <xdr:row>0</xdr:row>
      <xdr:rowOff>64851</xdr:rowOff>
    </xdr:from>
    <xdr:to>
      <xdr:col>2</xdr:col>
      <xdr:colOff>137808</xdr:colOff>
      <xdr:row>4</xdr:row>
      <xdr:rowOff>89172</xdr:rowOff>
    </xdr:to>
    <xdr:pic>
      <xdr:nvPicPr>
        <xdr:cNvPr id="6" name="Picture 5">
          <a:extLst>
            <a:ext uri="{FF2B5EF4-FFF2-40B4-BE49-F238E27FC236}">
              <a16:creationId xmlns:a16="http://schemas.microsoft.com/office/drawing/2014/main" id="{9CE9B52E-8891-E587-261B-5E4405396F7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5" r="-4059" b="-1045"/>
        <a:stretch>
          <a:fillRect/>
        </a:stretch>
      </xdr:blipFill>
      <xdr:spPr>
        <a:xfrm>
          <a:off x="48638" y="64851"/>
          <a:ext cx="1305127" cy="770108"/>
        </a:xfrm>
        <a:prstGeom prst="rect">
          <a:avLst/>
        </a:prstGeom>
      </xdr:spPr>
    </xdr:pic>
    <xdr:clientData/>
  </xdr:twoCellAnchor>
  <xdr:twoCellAnchor editAs="oneCell">
    <xdr:from>
      <xdr:col>1</xdr:col>
      <xdr:colOff>591767</xdr:colOff>
      <xdr:row>0</xdr:row>
      <xdr:rowOff>0</xdr:rowOff>
    </xdr:from>
    <xdr:to>
      <xdr:col>3</xdr:col>
      <xdr:colOff>137809</xdr:colOff>
      <xdr:row>3</xdr:row>
      <xdr:rowOff>145914</xdr:rowOff>
    </xdr:to>
    <xdr:pic>
      <xdr:nvPicPr>
        <xdr:cNvPr id="8" name="Picture 7">
          <a:extLst>
            <a:ext uri="{FF2B5EF4-FFF2-40B4-BE49-F238E27FC236}">
              <a16:creationId xmlns:a16="http://schemas.microsoft.com/office/drawing/2014/main" id="{BDC18CE6-A549-76EC-BCA6-D3F29B8917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9746" y="0"/>
          <a:ext cx="761999" cy="705254"/>
        </a:xfrm>
        <a:prstGeom prst="rect">
          <a:avLst/>
        </a:prstGeom>
      </xdr:spPr>
    </xdr:pic>
    <xdr:clientData/>
  </xdr:twoCellAnchor>
  <xdr:twoCellAnchor>
    <xdr:from>
      <xdr:col>3</xdr:col>
      <xdr:colOff>162128</xdr:colOff>
      <xdr:row>0</xdr:row>
      <xdr:rowOff>105382</xdr:rowOff>
    </xdr:from>
    <xdr:to>
      <xdr:col>14</xdr:col>
      <xdr:colOff>550985</xdr:colOff>
      <xdr:row>3</xdr:row>
      <xdr:rowOff>8107</xdr:rowOff>
    </xdr:to>
    <xdr:sp macro="" textlink="">
      <xdr:nvSpPr>
        <xdr:cNvPr id="9" name="TextBox 8">
          <a:extLst>
            <a:ext uri="{FF2B5EF4-FFF2-40B4-BE49-F238E27FC236}">
              <a16:creationId xmlns:a16="http://schemas.microsoft.com/office/drawing/2014/main" id="{B0D9C14A-1632-055C-E850-CA7B9383C5BF}"/>
            </a:ext>
          </a:extLst>
        </xdr:cNvPr>
        <xdr:cNvSpPr txBox="1"/>
      </xdr:nvSpPr>
      <xdr:spPr>
        <a:xfrm>
          <a:off x="1990928" y="105382"/>
          <a:ext cx="7094457" cy="44784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chemeClr val="bg1"/>
              </a:solidFill>
            </a:rPr>
            <a:t>Amazon Electronics Sales Analysis (2025–2026</a:t>
          </a:r>
          <a:r>
            <a:rPr lang="en-IN" sz="1800">
              <a:solidFill>
                <a:schemeClr val="bg1"/>
              </a:solidFill>
            </a:rPr>
            <a:t>)</a:t>
          </a:r>
        </a:p>
      </xdr:txBody>
    </xdr:sp>
    <xdr:clientData/>
  </xdr:twoCellAnchor>
  <xdr:twoCellAnchor editAs="oneCell">
    <xdr:from>
      <xdr:col>0</xdr:col>
      <xdr:colOff>0</xdr:colOff>
      <xdr:row>4</xdr:row>
      <xdr:rowOff>2</xdr:rowOff>
    </xdr:from>
    <xdr:to>
      <xdr:col>3</xdr:col>
      <xdr:colOff>3110</xdr:colOff>
      <xdr:row>18</xdr:row>
      <xdr:rowOff>135308</xdr:rowOff>
    </xdr:to>
    <mc:AlternateContent xmlns:mc="http://schemas.openxmlformats.org/markup-compatibility/2006" xmlns:a14="http://schemas.microsoft.com/office/drawing/2010/main">
      <mc:Choice Requires="a14">
        <xdr:graphicFrame macro="">
          <xdr:nvGraphicFramePr>
            <xdr:cNvPr id="10" name="Product 1">
              <a:extLst>
                <a:ext uri="{FF2B5EF4-FFF2-40B4-BE49-F238E27FC236}">
                  <a16:creationId xmlns:a16="http://schemas.microsoft.com/office/drawing/2014/main" id="{2FE70DB2-9B18-49BB-990D-8D2C0A89957B}"/>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727048"/>
              <a:ext cx="1827716" cy="26799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372108</xdr:colOff>
      <xdr:row>18</xdr:row>
      <xdr:rowOff>153799</xdr:rowOff>
    </xdr:from>
    <xdr:to>
      <xdr:col>2</xdr:col>
      <xdr:colOff>601212</xdr:colOff>
      <xdr:row>23</xdr:row>
      <xdr:rowOff>48918</xdr:rowOff>
    </xdr:to>
    <xdr:pic>
      <xdr:nvPicPr>
        <xdr:cNvPr id="16" name="Picture 15">
          <a:extLst>
            <a:ext uri="{FF2B5EF4-FFF2-40B4-BE49-F238E27FC236}">
              <a16:creationId xmlns:a16="http://schemas.microsoft.com/office/drawing/2014/main" id="{BAEFFD00-F78B-E5C7-1E6B-18070EFF92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0310" y="3425505"/>
          <a:ext cx="837306" cy="803927"/>
        </a:xfrm>
        <a:prstGeom prst="rect">
          <a:avLst/>
        </a:prstGeom>
      </xdr:spPr>
    </xdr:pic>
    <xdr:clientData/>
  </xdr:twoCellAnchor>
  <xdr:twoCellAnchor editAs="oneCell">
    <xdr:from>
      <xdr:col>0</xdr:col>
      <xdr:colOff>49796</xdr:colOff>
      <xdr:row>19</xdr:row>
      <xdr:rowOff>6991</xdr:rowOff>
    </xdr:from>
    <xdr:to>
      <xdr:col>1</xdr:col>
      <xdr:colOff>249088</xdr:colOff>
      <xdr:row>23</xdr:row>
      <xdr:rowOff>116461</xdr:rowOff>
    </xdr:to>
    <xdr:pic>
      <xdr:nvPicPr>
        <xdr:cNvPr id="20" name="Picture 19">
          <a:extLst>
            <a:ext uri="{FF2B5EF4-FFF2-40B4-BE49-F238E27FC236}">
              <a16:creationId xmlns:a16="http://schemas.microsoft.com/office/drawing/2014/main" id="{EF70429A-F229-65CB-F48A-1E77603E70C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796" y="3460459"/>
          <a:ext cx="807494" cy="836516"/>
        </a:xfrm>
        <a:prstGeom prst="rect">
          <a:avLst/>
        </a:prstGeom>
      </xdr:spPr>
    </xdr:pic>
    <xdr:clientData/>
  </xdr:twoCellAnchor>
  <xdr:twoCellAnchor>
    <xdr:from>
      <xdr:col>3</xdr:col>
      <xdr:colOff>29306</xdr:colOff>
      <xdr:row>4</xdr:row>
      <xdr:rowOff>9766</xdr:rowOff>
    </xdr:from>
    <xdr:to>
      <xdr:col>6</xdr:col>
      <xdr:colOff>562708</xdr:colOff>
      <xdr:row>9</xdr:row>
      <xdr:rowOff>178037</xdr:rowOff>
    </xdr:to>
    <xdr:sp macro="" textlink="">
      <xdr:nvSpPr>
        <xdr:cNvPr id="21" name="TextBox 20">
          <a:extLst>
            <a:ext uri="{FF2B5EF4-FFF2-40B4-BE49-F238E27FC236}">
              <a16:creationId xmlns:a16="http://schemas.microsoft.com/office/drawing/2014/main" id="{8E98DBD9-616C-601F-D83F-D0999AB10436}"/>
            </a:ext>
          </a:extLst>
        </xdr:cNvPr>
        <xdr:cNvSpPr txBox="1"/>
      </xdr:nvSpPr>
      <xdr:spPr>
        <a:xfrm>
          <a:off x="1866652" y="750402"/>
          <a:ext cx="2370748" cy="1094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ysClr val="windowText" lastClr="000000"/>
              </a:solidFill>
            </a:rPr>
            <a:t>  Total Sales </a:t>
          </a:r>
        </a:p>
        <a:p>
          <a:endParaRPr lang="en-IN" sz="1800" b="1">
            <a:solidFill>
              <a:sysClr val="windowText" lastClr="000000"/>
            </a:solidFill>
          </a:endParaRPr>
        </a:p>
      </xdr:txBody>
    </xdr:sp>
    <xdr:clientData/>
  </xdr:twoCellAnchor>
  <xdr:twoCellAnchor>
    <xdr:from>
      <xdr:col>6</xdr:col>
      <xdr:colOff>580292</xdr:colOff>
      <xdr:row>4</xdr:row>
      <xdr:rowOff>11723</xdr:rowOff>
    </xdr:from>
    <xdr:to>
      <xdr:col>10</xdr:col>
      <xdr:colOff>592015</xdr:colOff>
      <xdr:row>10</xdr:row>
      <xdr:rowOff>0</xdr:rowOff>
    </xdr:to>
    <xdr:sp macro="" textlink="">
      <xdr:nvSpPr>
        <xdr:cNvPr id="22" name="TextBox 21">
          <a:extLst>
            <a:ext uri="{FF2B5EF4-FFF2-40B4-BE49-F238E27FC236}">
              <a16:creationId xmlns:a16="http://schemas.microsoft.com/office/drawing/2014/main" id="{26E508E0-1AE2-186B-980A-E08AF0BEA91A}"/>
            </a:ext>
          </a:extLst>
        </xdr:cNvPr>
        <xdr:cNvSpPr txBox="1"/>
      </xdr:nvSpPr>
      <xdr:spPr>
        <a:xfrm>
          <a:off x="4254984" y="752359"/>
          <a:ext cx="2461517" cy="10992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Purchase</a:t>
          </a:r>
        </a:p>
      </xdr:txBody>
    </xdr:sp>
    <xdr:clientData/>
  </xdr:twoCellAnchor>
  <xdr:twoCellAnchor>
    <xdr:from>
      <xdr:col>11</xdr:col>
      <xdr:colOff>5862</xdr:colOff>
      <xdr:row>4</xdr:row>
      <xdr:rowOff>0</xdr:rowOff>
    </xdr:from>
    <xdr:to>
      <xdr:col>15</xdr:col>
      <xdr:colOff>29308</xdr:colOff>
      <xdr:row>10</xdr:row>
      <xdr:rowOff>7121</xdr:rowOff>
    </xdr:to>
    <xdr:sp macro="" textlink="">
      <xdr:nvSpPr>
        <xdr:cNvPr id="23" name="TextBox 22">
          <a:extLst>
            <a:ext uri="{FF2B5EF4-FFF2-40B4-BE49-F238E27FC236}">
              <a16:creationId xmlns:a16="http://schemas.microsoft.com/office/drawing/2014/main" id="{6B59EBFE-1216-6364-CFB5-4D29CCF3DA0B}"/>
            </a:ext>
          </a:extLst>
        </xdr:cNvPr>
        <xdr:cNvSpPr txBox="1"/>
      </xdr:nvSpPr>
      <xdr:spPr>
        <a:xfrm>
          <a:off x="6742797" y="740636"/>
          <a:ext cx="2473240" cy="1118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xdr:from>
      <xdr:col>4</xdr:col>
      <xdr:colOff>561010</xdr:colOff>
      <xdr:row>3</xdr:row>
      <xdr:rowOff>90441</xdr:rowOff>
    </xdr:from>
    <xdr:to>
      <xdr:col>7</xdr:col>
      <xdr:colOff>51056</xdr:colOff>
      <xdr:row>10</xdr:row>
      <xdr:rowOff>14242</xdr:rowOff>
    </xdr:to>
    <xdr:graphicFrame macro="">
      <xdr:nvGraphicFramePr>
        <xdr:cNvPr id="24" name="Chart 23">
          <a:extLst>
            <a:ext uri="{FF2B5EF4-FFF2-40B4-BE49-F238E27FC236}">
              <a16:creationId xmlns:a16="http://schemas.microsoft.com/office/drawing/2014/main" id="{74AD4D09-1075-4E63-BA99-E2D0204EC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442082</xdr:colOff>
      <xdr:row>3</xdr:row>
      <xdr:rowOff>94560</xdr:rowOff>
    </xdr:from>
    <xdr:to>
      <xdr:col>11</xdr:col>
      <xdr:colOff>345392</xdr:colOff>
      <xdr:row>10</xdr:row>
      <xdr:rowOff>78336</xdr:rowOff>
    </xdr:to>
    <xdr:graphicFrame macro="">
      <xdr:nvGraphicFramePr>
        <xdr:cNvPr id="25" name="Chart 24">
          <a:extLst>
            <a:ext uri="{FF2B5EF4-FFF2-40B4-BE49-F238E27FC236}">
              <a16:creationId xmlns:a16="http://schemas.microsoft.com/office/drawing/2014/main" id="{66D00C4B-AABB-477F-BFC8-2C8FCC65F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555477</xdr:colOff>
      <xdr:row>3</xdr:row>
      <xdr:rowOff>77702</xdr:rowOff>
    </xdr:from>
    <xdr:to>
      <xdr:col>15</xdr:col>
      <xdr:colOff>21364</xdr:colOff>
      <xdr:row>10</xdr:row>
      <xdr:rowOff>42729</xdr:rowOff>
    </xdr:to>
    <xdr:graphicFrame macro="">
      <xdr:nvGraphicFramePr>
        <xdr:cNvPr id="26" name="Chart 25">
          <a:extLst>
            <a:ext uri="{FF2B5EF4-FFF2-40B4-BE49-F238E27FC236}">
              <a16:creationId xmlns:a16="http://schemas.microsoft.com/office/drawing/2014/main" id="{EAFFC2C4-0816-47C7-A12F-BBF513F67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35607</xdr:colOff>
      <xdr:row>10</xdr:row>
      <xdr:rowOff>21364</xdr:rowOff>
    </xdr:from>
    <xdr:to>
      <xdr:col>11</xdr:col>
      <xdr:colOff>7121</xdr:colOff>
      <xdr:row>23</xdr:row>
      <xdr:rowOff>14243</xdr:rowOff>
    </xdr:to>
    <xdr:graphicFrame macro="">
      <xdr:nvGraphicFramePr>
        <xdr:cNvPr id="27" name="Chart 26">
          <a:extLst>
            <a:ext uri="{FF2B5EF4-FFF2-40B4-BE49-F238E27FC236}">
              <a16:creationId xmlns:a16="http://schemas.microsoft.com/office/drawing/2014/main" id="{3133AF4A-7F9A-4315-B37B-1BD0E3D86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18144</xdr:colOff>
      <xdr:row>15</xdr:row>
      <xdr:rowOff>143677</xdr:rowOff>
    </xdr:from>
    <xdr:to>
      <xdr:col>15</xdr:col>
      <xdr:colOff>72571</xdr:colOff>
      <xdr:row>22</xdr:row>
      <xdr:rowOff>127337</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BEB5E6E7-E9C5-4AEF-9A06-EDF122B468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723744" y="2886877"/>
              <a:ext cx="2492827" cy="1263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281215</xdr:colOff>
      <xdr:row>9</xdr:row>
      <xdr:rowOff>156211</xdr:rowOff>
    </xdr:from>
    <xdr:to>
      <xdr:col>15</xdr:col>
      <xdr:colOff>36285</xdr:colOff>
      <xdr:row>15</xdr:row>
      <xdr:rowOff>27215</xdr:rowOff>
    </xdr:to>
    <xdr:graphicFrame macro="">
      <xdr:nvGraphicFramePr>
        <xdr:cNvPr id="29" name="Chart 28">
          <a:extLst>
            <a:ext uri="{FF2B5EF4-FFF2-40B4-BE49-F238E27FC236}">
              <a16:creationId xmlns:a16="http://schemas.microsoft.com/office/drawing/2014/main" id="{D5B5841E-2375-4D29-8F5D-608E985A8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149551</xdr:colOff>
      <xdr:row>4</xdr:row>
      <xdr:rowOff>7121</xdr:rowOff>
    </xdr:from>
    <xdr:to>
      <xdr:col>18</xdr:col>
      <xdr:colOff>106823</xdr:colOff>
      <xdr:row>20</xdr:row>
      <xdr:rowOff>78336</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F507364E-D8DF-4398-9069-FA44C32EE8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9293551" y="738641"/>
              <a:ext cx="1938472" cy="299729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113945</xdr:colOff>
      <xdr:row>1</xdr:row>
      <xdr:rowOff>1</xdr:rowOff>
    </xdr:from>
    <xdr:to>
      <xdr:col>18</xdr:col>
      <xdr:colOff>7122</xdr:colOff>
      <xdr:row>3</xdr:row>
      <xdr:rowOff>135308</xdr:rowOff>
    </xdr:to>
    <xdr:sp macro="" textlink="">
      <xdr:nvSpPr>
        <xdr:cNvPr id="34" name="TextBox 33">
          <a:extLst>
            <a:ext uri="{FF2B5EF4-FFF2-40B4-BE49-F238E27FC236}">
              <a16:creationId xmlns:a16="http://schemas.microsoft.com/office/drawing/2014/main" id="{4E900061-5E82-D7A6-99BA-137A33AC4279}"/>
            </a:ext>
          </a:extLst>
        </xdr:cNvPr>
        <xdr:cNvSpPr txBox="1"/>
      </xdr:nvSpPr>
      <xdr:spPr>
        <a:xfrm flipH="1">
          <a:off x="9300674" y="185160"/>
          <a:ext cx="1880074" cy="50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Statewise Sales</a:t>
          </a:r>
          <a:endParaRPr lang="en-IN" sz="1200"/>
        </a:p>
      </xdr:txBody>
    </xdr:sp>
    <xdr:clientData/>
  </xdr:twoCellAnchor>
  <xdr:twoCellAnchor>
    <xdr:from>
      <xdr:col>11</xdr:col>
      <xdr:colOff>35606</xdr:colOff>
      <xdr:row>10</xdr:row>
      <xdr:rowOff>128186</xdr:rowOff>
    </xdr:from>
    <xdr:to>
      <xdr:col>13</xdr:col>
      <xdr:colOff>334710</xdr:colOff>
      <xdr:row>14</xdr:row>
      <xdr:rowOff>163794</xdr:rowOff>
    </xdr:to>
    <xdr:sp macro="" textlink="">
      <xdr:nvSpPr>
        <xdr:cNvPr id="35" name="TextBox 34">
          <a:extLst>
            <a:ext uri="{FF2B5EF4-FFF2-40B4-BE49-F238E27FC236}">
              <a16:creationId xmlns:a16="http://schemas.microsoft.com/office/drawing/2014/main" id="{8B8BB0D0-5955-5988-57E6-4FB364124DC9}"/>
            </a:ext>
          </a:extLst>
        </xdr:cNvPr>
        <xdr:cNvSpPr txBox="1"/>
      </xdr:nvSpPr>
      <xdr:spPr>
        <a:xfrm>
          <a:off x="6772541" y="1979775"/>
          <a:ext cx="1524001" cy="7762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Product</a:t>
          </a:r>
          <a:r>
            <a:rPr lang="en-IN" sz="1800" b="1" baseline="0"/>
            <a:t>wise Sales</a:t>
          </a:r>
          <a:endParaRPr lang="en-IN" sz="1200" b="1"/>
        </a:p>
      </xdr:txBody>
    </xdr:sp>
    <xdr:clientData/>
  </xdr:twoCellAnchor>
  <xdr:twoCellAnchor>
    <xdr:from>
      <xdr:col>3</xdr:col>
      <xdr:colOff>156673</xdr:colOff>
      <xdr:row>7</xdr:row>
      <xdr:rowOff>71215</xdr:rowOff>
    </xdr:from>
    <xdr:to>
      <xdr:col>4</xdr:col>
      <xdr:colOff>534113</xdr:colOff>
      <xdr:row>8</xdr:row>
      <xdr:rowOff>156673</xdr:rowOff>
    </xdr:to>
    <xdr:sp macro="" textlink="kpi!$B$3">
      <xdr:nvSpPr>
        <xdr:cNvPr id="36" name="TextBox 35">
          <a:extLst>
            <a:ext uri="{FF2B5EF4-FFF2-40B4-BE49-F238E27FC236}">
              <a16:creationId xmlns:a16="http://schemas.microsoft.com/office/drawing/2014/main" id="{B2038E75-CBE5-4783-80CC-5C24AC8BB58E}"/>
            </a:ext>
          </a:extLst>
        </xdr:cNvPr>
        <xdr:cNvSpPr txBox="1"/>
      </xdr:nvSpPr>
      <xdr:spPr>
        <a:xfrm>
          <a:off x="1994019" y="1367327"/>
          <a:ext cx="989888" cy="270617"/>
        </a:xfrm>
        <a:prstGeom prst="rect">
          <a:avLst/>
        </a:prstGeom>
        <a:solidFill>
          <a:schemeClr val="bg2">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014BBF-5F61-44FA-91F0-A99847FF2448}" type="TxLink">
            <a:rPr lang="en-US" sz="1100" b="0" i="0" u="none" strike="noStrike">
              <a:solidFill>
                <a:schemeClr val="bg1"/>
              </a:solidFill>
              <a:latin typeface="Calibri"/>
              <a:ea typeface="Calibri"/>
              <a:cs typeface="Calibri"/>
            </a:rPr>
            <a:pPr/>
            <a:t>8868188</a:t>
          </a:fld>
          <a:endParaRPr lang="en-IN" sz="1100">
            <a:solidFill>
              <a:schemeClr val="bg1"/>
            </a:solidFill>
          </a:endParaRPr>
        </a:p>
      </xdr:txBody>
    </xdr:sp>
    <xdr:clientData/>
  </xdr:twoCellAnchor>
  <xdr:oneCellAnchor>
    <xdr:from>
      <xdr:col>7</xdr:col>
      <xdr:colOff>135933</xdr:colOff>
      <xdr:row>7</xdr:row>
      <xdr:rowOff>75413</xdr:rowOff>
    </xdr:from>
    <xdr:ext cx="967899" cy="264560"/>
    <xdr:sp macro="" textlink="kpi!$F$3">
      <xdr:nvSpPr>
        <xdr:cNvPr id="37" name="TextBox 36">
          <a:extLst>
            <a:ext uri="{FF2B5EF4-FFF2-40B4-BE49-F238E27FC236}">
              <a16:creationId xmlns:a16="http://schemas.microsoft.com/office/drawing/2014/main" id="{B86B6B8D-963D-4DCB-8E59-0FA4F8C9BF39}"/>
            </a:ext>
          </a:extLst>
        </xdr:cNvPr>
        <xdr:cNvSpPr txBox="1"/>
      </xdr:nvSpPr>
      <xdr:spPr>
        <a:xfrm>
          <a:off x="4423073" y="1371525"/>
          <a:ext cx="967899" cy="264560"/>
        </a:xfrm>
        <a:prstGeom prst="rect">
          <a:avLst/>
        </a:prstGeom>
        <a:solidFill>
          <a:schemeClr val="bg2">
            <a:lumMod val="50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D497030-B805-4137-B388-86F951DA748B}" type="TxLink">
            <a:rPr lang="en-US" sz="1100" b="0" i="0" u="none" strike="noStrike">
              <a:solidFill>
                <a:schemeClr val="bg1"/>
              </a:solidFill>
              <a:latin typeface="Calibri"/>
              <a:ea typeface="Calibri"/>
              <a:cs typeface="Calibri"/>
            </a:rPr>
            <a:pPr/>
            <a:t>7867688</a:t>
          </a:fld>
          <a:endParaRPr lang="en-IN" sz="1100">
            <a:solidFill>
              <a:schemeClr val="bg1"/>
            </a:solidFill>
          </a:endParaRPr>
        </a:p>
      </xdr:txBody>
    </xdr:sp>
    <xdr:clientData/>
  </xdr:oneCellAnchor>
  <xdr:twoCellAnchor>
    <xdr:from>
      <xdr:col>11</xdr:col>
      <xdr:colOff>161810</xdr:colOff>
      <xdr:row>7</xdr:row>
      <xdr:rowOff>88845</xdr:rowOff>
    </xdr:from>
    <xdr:to>
      <xdr:col>12</xdr:col>
      <xdr:colOff>519868</xdr:colOff>
      <xdr:row>8</xdr:row>
      <xdr:rowOff>178037</xdr:rowOff>
    </xdr:to>
    <xdr:sp macro="" textlink="kpi!$J$3">
      <xdr:nvSpPr>
        <xdr:cNvPr id="38" name="TextBox 37">
          <a:extLst>
            <a:ext uri="{FF2B5EF4-FFF2-40B4-BE49-F238E27FC236}">
              <a16:creationId xmlns:a16="http://schemas.microsoft.com/office/drawing/2014/main" id="{79E2DD17-D55A-478D-8F7E-E17BF80F1579}"/>
            </a:ext>
          </a:extLst>
        </xdr:cNvPr>
        <xdr:cNvSpPr txBox="1"/>
      </xdr:nvSpPr>
      <xdr:spPr>
        <a:xfrm>
          <a:off x="6898745" y="1384957"/>
          <a:ext cx="970506" cy="274351"/>
        </a:xfrm>
        <a:prstGeom prst="rect">
          <a:avLst/>
        </a:prstGeom>
        <a:solidFill>
          <a:schemeClr val="bg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9D5A25B-7844-428E-9962-E47F0F0D3912}" type="TxLink">
            <a:rPr lang="en-US" sz="1100" b="0" i="0" u="none" strike="noStrike">
              <a:solidFill>
                <a:schemeClr val="bg1"/>
              </a:solidFill>
              <a:latin typeface="Calibri"/>
              <a:ea typeface="Calibri"/>
              <a:cs typeface="Calibri"/>
            </a:rPr>
            <a:pPr algn="l"/>
            <a:t>1000500</a:t>
          </a:fld>
          <a:endParaRPr lang="en-IN" sz="1100">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996603</xdr:colOff>
      <xdr:row>1</xdr:row>
      <xdr:rowOff>80715</xdr:rowOff>
    </xdr:from>
    <xdr:to>
      <xdr:col>13</xdr:col>
      <xdr:colOff>694911</xdr:colOff>
      <xdr:row>18</xdr:row>
      <xdr:rowOff>106680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94162D89-7F25-0B95-0481-2518A0ED4BB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4391761" y="267873"/>
              <a:ext cx="1837255" cy="3207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185122</xdr:colOff>
      <xdr:row>0</xdr:row>
      <xdr:rowOff>165804</xdr:rowOff>
    </xdr:from>
    <xdr:to>
      <xdr:col>0</xdr:col>
      <xdr:colOff>990488</xdr:colOff>
      <xdr:row>2</xdr:row>
      <xdr:rowOff>166255</xdr:rowOff>
    </xdr:to>
    <xdr:sp macro="" textlink="$B$3">
      <xdr:nvSpPr>
        <xdr:cNvPr id="7" name="TextBox 6">
          <a:extLst>
            <a:ext uri="{FF2B5EF4-FFF2-40B4-BE49-F238E27FC236}">
              <a16:creationId xmlns:a16="http://schemas.microsoft.com/office/drawing/2014/main" id="{4DC10878-9A8B-1C45-F533-B77BDFB645BD}"/>
            </a:ext>
          </a:extLst>
        </xdr:cNvPr>
        <xdr:cNvSpPr txBox="1"/>
      </xdr:nvSpPr>
      <xdr:spPr>
        <a:xfrm>
          <a:off x="185122" y="165804"/>
          <a:ext cx="805366" cy="360669"/>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AEA614-F20E-4B8B-8651-BAF886FCF9F3}" type="TxLink">
            <a:rPr lang="en-US" sz="1100" b="0" i="0" u="none" strike="noStrike">
              <a:solidFill>
                <a:srgbClr val="000000"/>
              </a:solidFill>
              <a:latin typeface="Calibri"/>
              <a:ea typeface="Calibri"/>
              <a:cs typeface="Calibri"/>
            </a:rPr>
            <a:pPr/>
            <a:t>8868188</a:t>
          </a:fld>
          <a:endParaRPr lang="en-IN" sz="1100"/>
        </a:p>
      </xdr:txBody>
    </xdr:sp>
    <xdr:clientData/>
  </xdr:twoCellAnchor>
  <xdr:twoCellAnchor>
    <xdr:from>
      <xdr:col>2</xdr:col>
      <xdr:colOff>46464</xdr:colOff>
      <xdr:row>3</xdr:row>
      <xdr:rowOff>118328</xdr:rowOff>
    </xdr:from>
    <xdr:to>
      <xdr:col>4</xdr:col>
      <xdr:colOff>204439</xdr:colOff>
      <xdr:row>10</xdr:row>
      <xdr:rowOff>179658</xdr:rowOff>
    </xdr:to>
    <xdr:graphicFrame macro="">
      <xdr:nvGraphicFramePr>
        <xdr:cNvPr id="8" name="Chart 7">
          <a:extLst>
            <a:ext uri="{FF2B5EF4-FFF2-40B4-BE49-F238E27FC236}">
              <a16:creationId xmlns:a16="http://schemas.microsoft.com/office/drawing/2014/main" id="{FC475864-6DF7-D427-A0F4-15216A28EC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228600</xdr:colOff>
      <xdr:row>1</xdr:row>
      <xdr:rowOff>103910</xdr:rowOff>
    </xdr:from>
    <xdr:ext cx="990600" cy="264560"/>
    <xdr:sp macro="" textlink="$F$3">
      <xdr:nvSpPr>
        <xdr:cNvPr id="9" name="TextBox 8">
          <a:extLst>
            <a:ext uri="{FF2B5EF4-FFF2-40B4-BE49-F238E27FC236}">
              <a16:creationId xmlns:a16="http://schemas.microsoft.com/office/drawing/2014/main" id="{B7FB8508-14D6-8B2D-E550-75E5A66772CA}"/>
            </a:ext>
          </a:extLst>
        </xdr:cNvPr>
        <xdr:cNvSpPr txBox="1"/>
      </xdr:nvSpPr>
      <xdr:spPr>
        <a:xfrm>
          <a:off x="4066309" y="284019"/>
          <a:ext cx="990600" cy="26456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8BA5D6E-18DE-46C4-8B14-A54057A77C13}" type="TxLink">
            <a:rPr lang="en-US" sz="1100" b="0" i="0" u="none" strike="noStrike">
              <a:solidFill>
                <a:srgbClr val="000000"/>
              </a:solidFill>
              <a:latin typeface="Calibri"/>
              <a:ea typeface="Calibri"/>
              <a:cs typeface="Calibri"/>
            </a:rPr>
            <a:pPr/>
            <a:t>7867688</a:t>
          </a:fld>
          <a:endParaRPr lang="en-IN" sz="1100"/>
        </a:p>
      </xdr:txBody>
    </xdr:sp>
    <xdr:clientData/>
  </xdr:oneCellAnchor>
  <xdr:twoCellAnchor>
    <xdr:from>
      <xdr:col>7</xdr:col>
      <xdr:colOff>561702</xdr:colOff>
      <xdr:row>1</xdr:row>
      <xdr:rowOff>67492</xdr:rowOff>
    </xdr:from>
    <xdr:to>
      <xdr:col>8</xdr:col>
      <xdr:colOff>740229</xdr:colOff>
      <xdr:row>3</xdr:row>
      <xdr:rowOff>43543</xdr:rowOff>
    </xdr:to>
    <xdr:sp macro="" textlink="$J$3">
      <xdr:nvSpPr>
        <xdr:cNvPr id="11" name="TextBox 10">
          <a:extLst>
            <a:ext uri="{FF2B5EF4-FFF2-40B4-BE49-F238E27FC236}">
              <a16:creationId xmlns:a16="http://schemas.microsoft.com/office/drawing/2014/main" id="{F216E625-568D-4FAB-F3B3-012E1251198A}"/>
            </a:ext>
          </a:extLst>
        </xdr:cNvPr>
        <xdr:cNvSpPr txBox="1"/>
      </xdr:nvSpPr>
      <xdr:spPr>
        <a:xfrm>
          <a:off x="8029302" y="252549"/>
          <a:ext cx="1011284" cy="3461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1FF678A-BAAA-4CAA-AF8D-E86FC444EE0A}" type="TxLink">
            <a:rPr lang="en-US" sz="1100" b="0" i="0" u="none" strike="noStrike">
              <a:solidFill>
                <a:srgbClr val="000000"/>
              </a:solidFill>
              <a:latin typeface="Calibri"/>
              <a:ea typeface="Calibri"/>
              <a:cs typeface="Calibri"/>
            </a:rPr>
            <a:pPr algn="l"/>
            <a:t>1000500</a:t>
          </a:fld>
          <a:endParaRPr lang="en-IN" sz="1100"/>
        </a:p>
      </xdr:txBody>
    </xdr:sp>
    <xdr:clientData/>
  </xdr:twoCellAnchor>
  <xdr:twoCellAnchor>
    <xdr:from>
      <xdr:col>6</xdr:col>
      <xdr:colOff>90738</xdr:colOff>
      <xdr:row>5</xdr:row>
      <xdr:rowOff>20983</xdr:rowOff>
    </xdr:from>
    <xdr:to>
      <xdr:col>7</xdr:col>
      <xdr:colOff>674914</xdr:colOff>
      <xdr:row>10</xdr:row>
      <xdr:rowOff>152401</xdr:rowOff>
    </xdr:to>
    <xdr:graphicFrame macro="">
      <xdr:nvGraphicFramePr>
        <xdr:cNvPr id="12" name="Chart 11">
          <a:extLst>
            <a:ext uri="{FF2B5EF4-FFF2-40B4-BE49-F238E27FC236}">
              <a16:creationId xmlns:a16="http://schemas.microsoft.com/office/drawing/2014/main" id="{33252ED7-DB05-4F0B-CEE0-B75CC89E1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76200</xdr:colOff>
      <xdr:row>5</xdr:row>
      <xdr:rowOff>5442</xdr:rowOff>
    </xdr:from>
    <xdr:to>
      <xdr:col>11</xdr:col>
      <xdr:colOff>762000</xdr:colOff>
      <xdr:row>11</xdr:row>
      <xdr:rowOff>185056</xdr:rowOff>
    </xdr:to>
    <xdr:graphicFrame macro="">
      <xdr:nvGraphicFramePr>
        <xdr:cNvPr id="13" name="Chart 12">
          <a:extLst>
            <a:ext uri="{FF2B5EF4-FFF2-40B4-BE49-F238E27FC236}">
              <a16:creationId xmlns:a16="http://schemas.microsoft.com/office/drawing/2014/main" id="{77C1A272-7EA6-175B-A915-1B2F9512E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241397</xdr:colOff>
      <xdr:row>21</xdr:row>
      <xdr:rowOff>126224</xdr:rowOff>
    </xdr:from>
    <xdr:to>
      <xdr:col>6</xdr:col>
      <xdr:colOff>738733</xdr:colOff>
      <xdr:row>35</xdr:row>
      <xdr:rowOff>127970</xdr:rowOff>
    </xdr:to>
    <xdr:graphicFrame macro="">
      <xdr:nvGraphicFramePr>
        <xdr:cNvPr id="15" name="Chart 14">
          <a:extLst>
            <a:ext uri="{FF2B5EF4-FFF2-40B4-BE49-F238E27FC236}">
              <a16:creationId xmlns:a16="http://schemas.microsoft.com/office/drawing/2014/main" id="{9CAD05AD-6452-4DC3-A1F4-35FCD4048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795503</xdr:colOff>
      <xdr:row>23</xdr:row>
      <xdr:rowOff>67542</xdr:rowOff>
    </xdr:from>
    <xdr:to>
      <xdr:col>17</xdr:col>
      <xdr:colOff>866263</xdr:colOff>
      <xdr:row>30</xdr:row>
      <xdr:rowOff>13050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8E3832E3-5C93-DE4C-9A44-8BD36CC757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473903" y="4273782"/>
              <a:ext cx="2204360" cy="12256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192794</xdr:colOff>
      <xdr:row>32</xdr:row>
      <xdr:rowOff>175352</xdr:rowOff>
    </xdr:from>
    <xdr:to>
      <xdr:col>18</xdr:col>
      <xdr:colOff>330506</xdr:colOff>
      <xdr:row>44</xdr:row>
      <xdr:rowOff>146892</xdr:rowOff>
    </xdr:to>
    <xdr:graphicFrame macro="">
      <xdr:nvGraphicFramePr>
        <xdr:cNvPr id="17" name="Chart 16">
          <a:extLst>
            <a:ext uri="{FF2B5EF4-FFF2-40B4-BE49-F238E27FC236}">
              <a16:creationId xmlns:a16="http://schemas.microsoft.com/office/drawing/2014/main" id="{D5DB163F-7319-BD5C-EF8F-1A0B110E8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828841</xdr:colOff>
      <xdr:row>48</xdr:row>
      <xdr:rowOff>55890</xdr:rowOff>
    </xdr:from>
    <xdr:to>
      <xdr:col>10</xdr:col>
      <xdr:colOff>644798</xdr:colOff>
      <xdr:row>64</xdr:row>
      <xdr:rowOff>26736</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54AF73DF-BB0B-0A7B-7844-066A95AC2D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723161" y="8834130"/>
              <a:ext cx="4258417" cy="28969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24.999189351853" createdVersion="8" refreshedVersion="8" minRefreshableVersion="3" recordCount="399" xr:uid="{D97DB7F8-9DF9-498E-B0B0-DE969E07D171}">
  <cacheSource type="worksheet">
    <worksheetSource ref="A1:N400" sheet="Dataset"/>
  </cacheSource>
  <cacheFields count="17">
    <cacheField name="Transaction ID" numFmtId="0">
      <sharedItems/>
    </cacheField>
    <cacheField name="Product" numFmtId="0">
      <sharedItems count="10">
        <s v="Smartwatch"/>
        <s v="Desktop PC"/>
        <s v="E-Reader"/>
        <s v="Laptop"/>
        <s v="Tablet"/>
        <s v="External Hard Drive"/>
        <s v="Smartphone"/>
        <s v="Headphones"/>
        <s v="Printer"/>
        <s v="Camera"/>
      </sharedItems>
    </cacheField>
    <cacheField name="Quantity" numFmtId="0">
      <sharedItems containsSemiMixedTypes="0" containsString="0" containsNumber="1" containsInteger="1" minValue="1" maxValue="9"/>
    </cacheField>
    <cacheField name="Unit Price (INR)" numFmtId="0">
      <sharedItems containsSemiMixedTypes="0" containsString="0" containsNumber="1" containsInteger="1" minValue="2043" maxValue="19870"/>
    </cacheField>
    <cacheField name="Date" numFmtId="14">
      <sharedItems containsSemiMixedTypes="0" containsNonDate="0" containsDate="1" containsString="0" minDate="2024-04-12T00:00:00" maxDate="2025-05-16T00:00:00" count="399">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sharedItems>
      <fieldGroup par="16"/>
    </cacheField>
    <cacheField name="Customer Name" numFmtId="0">
      <sharedItems/>
    </cacheField>
    <cacheField name="State" numFmtId="0">
      <sharedItems count="28">
        <s v="Arunachal Pradesh"/>
        <s v="Odisha"/>
        <s v="Bihar"/>
        <s v="Manipur"/>
        <s v="Madhya Pradesh"/>
        <s v="Meghalaya"/>
        <s v="Goa"/>
        <s v="Punjab"/>
        <s v="Assam"/>
        <s v="Sikkim"/>
        <s v="Tripura"/>
        <s v="Karnataka"/>
        <s v="Uttar Pradesh"/>
        <s v="Andhra Pradesh"/>
        <s v="Gujarat"/>
        <s v="Telangana"/>
        <s v="Kerala"/>
        <s v="Mizoram"/>
        <s v="Nagaland"/>
        <s v="Uttarakhand"/>
        <s v="Chhattisgarh"/>
        <s v="Himachal Pradesh"/>
        <s v="Rajasthan"/>
        <s v="West Bengal"/>
        <s v="Jharkhand"/>
        <s v="Haryana"/>
        <s v="Tamil Nadu"/>
        <s v="Maharashtra"/>
      </sharedItems>
    </cacheField>
    <cacheField name="Country" numFmtId="0">
      <sharedItems/>
    </cacheField>
    <cacheField name="Sales Channel" numFmtId="0">
      <sharedItems/>
    </cacheField>
    <cacheField name="Payment Type" numFmtId="0">
      <sharedItems/>
    </cacheField>
    <cacheField name="Sales" numFmtId="0">
      <sharedItems containsSemiMixedTypes="0" containsString="0" containsNumber="1" containsInteger="1" minValue="2043" maxValue="178443"/>
    </cacheField>
    <cacheField name="purchase cost" numFmtId="0">
      <sharedItems containsSemiMixedTypes="0" containsString="0" containsNumber="1" containsInteger="1" minValue="581" maxValue="18600"/>
    </cacheField>
    <cacheField name="Total purchase cost" numFmtId="0">
      <sharedItems containsSemiMixedTypes="0" containsString="0" containsNumber="1" containsInteger="1" minValue="743" maxValue="164943"/>
    </cacheField>
    <cacheField name="Profit" numFmtId="0">
      <sharedItems containsSemiMixedTypes="0" containsString="0" containsNumber="1" containsInteger="1" minValue="1000" maxValue="18000"/>
    </cacheField>
    <cacheField name="Months (Date)" numFmtId="0" databaseField="0">
      <fieldGroup base="4">
        <rangePr groupBy="months" startDate="2024-04-12T00:00:00" endDate="2025-05-16T00:00:00"/>
        <groupItems count="14">
          <s v="&lt;12-04-2024"/>
          <s v="Jan"/>
          <s v="Feb"/>
          <s v="Mar"/>
          <s v="Apr"/>
          <s v="May"/>
          <s v="Jun"/>
          <s v="Jul"/>
          <s v="Aug"/>
          <s v="Sep"/>
          <s v="Oct"/>
          <s v="Nov"/>
          <s v="Dec"/>
          <s v="&gt;16-05-2025"/>
        </groupItems>
      </fieldGroup>
    </cacheField>
    <cacheField name="Quarters (Date)" numFmtId="0" databaseField="0">
      <fieldGroup base="4">
        <rangePr groupBy="quarters" startDate="2024-04-12T00:00:00" endDate="2025-05-16T00:00:00"/>
        <groupItems count="6">
          <s v="&lt;12-04-2024"/>
          <s v="Qtr1"/>
          <s v="Qtr2"/>
          <s v="Qtr3"/>
          <s v="Qtr4"/>
          <s v="&gt;16-05-2025"/>
        </groupItems>
      </fieldGroup>
    </cacheField>
    <cacheField name="Years (Date)" numFmtId="0" databaseField="0">
      <fieldGroup base="4">
        <rangePr groupBy="years" startDate="2024-04-12T00:00:00" endDate="2025-05-16T00:00:00"/>
        <groupItems count="4">
          <s v="&lt;12-04-2024"/>
          <s v="2024"/>
          <s v="2025"/>
          <s v="&gt;16-05-2025"/>
        </groupItems>
      </fieldGroup>
    </cacheField>
  </cacheFields>
  <extLst>
    <ext xmlns:x14="http://schemas.microsoft.com/office/spreadsheetml/2009/9/main" uri="{725AE2AE-9491-48be-B2B4-4EB974FC3084}">
      <x14:pivotCacheDefinition pivotCacheId="402188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9">
  <r>
    <s v="TX0001"/>
    <x v="0"/>
    <n v="9"/>
    <n v="8941"/>
    <x v="0"/>
    <s v="Vivaan Sastry"/>
    <x v="0"/>
    <s v="India"/>
    <s v="Store"/>
    <s v="Credit Card"/>
    <n v="80469"/>
    <n v="7441"/>
    <n v="66969"/>
    <n v="13500"/>
  </r>
  <r>
    <s v="TX0002"/>
    <x v="1"/>
    <n v="9"/>
    <n v="19827"/>
    <x v="1"/>
    <s v="Ishaan Madan"/>
    <x v="1"/>
    <s v="India"/>
    <s v="Store"/>
    <s v="Credit Card"/>
    <n v="178443"/>
    <n v="18327"/>
    <n v="164943"/>
    <n v="13500"/>
  </r>
  <r>
    <s v="TX0003"/>
    <x v="1"/>
    <n v="4"/>
    <n v="16640"/>
    <x v="2"/>
    <s v="Azad Sandhu"/>
    <x v="2"/>
    <s v="India"/>
    <s v="Online"/>
    <s v="Credit Card"/>
    <n v="66560"/>
    <n v="15140"/>
    <n v="60560"/>
    <n v="6000"/>
  </r>
  <r>
    <s v="TX0004"/>
    <x v="2"/>
    <n v="3"/>
    <n v="2945"/>
    <x v="3"/>
    <s v="Shray Chawla"/>
    <x v="3"/>
    <s v="India"/>
    <s v="Online"/>
    <s v="Credit Card"/>
    <n v="8835"/>
    <n v="1445"/>
    <n v="4335"/>
    <n v="4500"/>
  </r>
  <r>
    <s v="TX0005"/>
    <x v="3"/>
    <n v="4"/>
    <n v="2848"/>
    <x v="4"/>
    <s v="Zara Kata"/>
    <x v="4"/>
    <s v="India"/>
    <s v="Direct"/>
    <s v="Net Banking"/>
    <n v="11392"/>
    <n v="1348"/>
    <n v="5392"/>
    <n v="6000"/>
  </r>
  <r>
    <s v="TX0006"/>
    <x v="3"/>
    <n v="7"/>
    <n v="18703"/>
    <x v="5"/>
    <s v="Vritika Kata"/>
    <x v="5"/>
    <s v="India"/>
    <s v="Store"/>
    <s v="Net Banking"/>
    <n v="130921"/>
    <n v="17203"/>
    <n v="120421"/>
    <n v="10500"/>
  </r>
  <r>
    <s v="TX0007"/>
    <x v="4"/>
    <n v="4"/>
    <n v="9640"/>
    <x v="6"/>
    <s v="Hrishita Dada"/>
    <x v="6"/>
    <s v="India"/>
    <s v="Store"/>
    <s v="Credit Card"/>
    <n v="38560"/>
    <n v="8140"/>
    <n v="32560"/>
    <n v="6000"/>
  </r>
  <r>
    <s v="TX0008"/>
    <x v="5"/>
    <n v="7"/>
    <n v="15189"/>
    <x v="7"/>
    <s v="Anaya Sachar"/>
    <x v="7"/>
    <s v="India"/>
    <s v="Online"/>
    <s v="Debit Card"/>
    <n v="106323"/>
    <n v="13689"/>
    <n v="95823"/>
    <n v="10500"/>
  </r>
  <r>
    <s v="TX0009"/>
    <x v="4"/>
    <n v="6"/>
    <n v="4093"/>
    <x v="8"/>
    <s v="Indrans Jani"/>
    <x v="5"/>
    <s v="India"/>
    <s v="Online"/>
    <s v="UPI"/>
    <n v="24558"/>
    <n v="2593"/>
    <n v="15558"/>
    <n v="9000"/>
  </r>
  <r>
    <s v="TX0010"/>
    <x v="6"/>
    <n v="8"/>
    <n v="7088"/>
    <x v="9"/>
    <s v="Shaan Dhar"/>
    <x v="8"/>
    <s v="India"/>
    <s v="Online"/>
    <s v="Debit Card"/>
    <n v="56704"/>
    <n v="5588"/>
    <n v="44704"/>
    <n v="12000"/>
  </r>
  <r>
    <s v="TX0011"/>
    <x v="0"/>
    <n v="1"/>
    <n v="11790"/>
    <x v="10"/>
    <s v="Lavanya Lal"/>
    <x v="9"/>
    <s v="India"/>
    <s v="Online"/>
    <s v="UPI"/>
    <n v="11790"/>
    <n v="10290"/>
    <n v="10290"/>
    <n v="1500"/>
  </r>
  <r>
    <s v="TX0012"/>
    <x v="7"/>
    <n v="9"/>
    <n v="19740"/>
    <x v="11"/>
    <s v="Prisha Bakshi"/>
    <x v="8"/>
    <s v="India"/>
    <s v="Direct"/>
    <s v="Credit Card"/>
    <n v="177660"/>
    <n v="18240"/>
    <n v="164160"/>
    <n v="13500"/>
  </r>
  <r>
    <s v="TX0013"/>
    <x v="8"/>
    <n v="5"/>
    <n v="19143"/>
    <x v="12"/>
    <s v="Abram Shetty"/>
    <x v="10"/>
    <s v="India"/>
    <s v="Store"/>
    <s v="UPI"/>
    <n v="95715"/>
    <n v="17643"/>
    <n v="88215"/>
    <n v="7500"/>
  </r>
  <r>
    <s v="TX0014"/>
    <x v="1"/>
    <n v="7"/>
    <n v="5387"/>
    <x v="13"/>
    <s v="Anaya Sunder"/>
    <x v="11"/>
    <s v="India"/>
    <s v="Online"/>
    <s v="Debit Card"/>
    <n v="37709"/>
    <n v="3887"/>
    <n v="27209"/>
    <n v="10500"/>
  </r>
  <r>
    <s v="TX0015"/>
    <x v="1"/>
    <n v="6"/>
    <n v="19724"/>
    <x v="14"/>
    <s v="Farhan Mand"/>
    <x v="3"/>
    <s v="India"/>
    <s v="Direct"/>
    <s v="Debit Card"/>
    <n v="118344"/>
    <n v="18224"/>
    <n v="109344"/>
    <n v="9000"/>
  </r>
  <r>
    <s v="TX0016"/>
    <x v="9"/>
    <n v="9"/>
    <n v="7785"/>
    <x v="15"/>
    <s v="Nakul Hora"/>
    <x v="12"/>
    <s v="India"/>
    <s v="Direct"/>
    <s v="Debit Card"/>
    <n v="70065"/>
    <n v="6285"/>
    <n v="56565"/>
    <n v="13500"/>
  </r>
  <r>
    <s v="TX0017"/>
    <x v="0"/>
    <n v="3"/>
    <n v="7262"/>
    <x v="16"/>
    <s v="Rhea Hegde"/>
    <x v="1"/>
    <s v="India"/>
    <s v="Online"/>
    <s v="Cash"/>
    <n v="21786"/>
    <n v="5762"/>
    <n v="17286"/>
    <n v="4500"/>
  </r>
  <r>
    <s v="TX0018"/>
    <x v="8"/>
    <n v="4"/>
    <n v="2877"/>
    <x v="17"/>
    <s v="Shanaya Desai"/>
    <x v="13"/>
    <s v="India"/>
    <s v="Online"/>
    <s v="Cash"/>
    <n v="11508"/>
    <n v="1377"/>
    <n v="5508"/>
    <n v="6000"/>
  </r>
  <r>
    <s v="TX0019"/>
    <x v="8"/>
    <n v="8"/>
    <n v="9997"/>
    <x v="18"/>
    <s v="Miraan Rastogi"/>
    <x v="14"/>
    <s v="India"/>
    <s v="Direct"/>
    <s v="Debit Card"/>
    <n v="79976"/>
    <n v="8497"/>
    <n v="67976"/>
    <n v="12000"/>
  </r>
  <r>
    <s v="TX0020"/>
    <x v="8"/>
    <n v="6"/>
    <n v="2081"/>
    <x v="19"/>
    <s v="Dharmajan Wable"/>
    <x v="8"/>
    <s v="India"/>
    <s v="Store"/>
    <s v="Cash"/>
    <n v="12486"/>
    <n v="581"/>
    <n v="3486"/>
    <n v="9000"/>
  </r>
  <r>
    <s v="TX0021"/>
    <x v="3"/>
    <n v="4"/>
    <n v="4246"/>
    <x v="20"/>
    <s v="Myra Chanda"/>
    <x v="12"/>
    <s v="India"/>
    <s v="Online"/>
    <s v="Cash"/>
    <n v="16984"/>
    <n v="2746"/>
    <n v="10984"/>
    <n v="6000"/>
  </r>
  <r>
    <s v="TX0022"/>
    <x v="3"/>
    <n v="5"/>
    <n v="14316"/>
    <x v="21"/>
    <s v="Lavanya Koshy"/>
    <x v="0"/>
    <s v="India"/>
    <s v="Direct"/>
    <s v="UPI"/>
    <n v="71580"/>
    <n v="13316"/>
    <n v="66580"/>
    <n v="5000"/>
  </r>
  <r>
    <s v="TX0023"/>
    <x v="2"/>
    <n v="6"/>
    <n v="18074"/>
    <x v="22"/>
    <s v="Gokul Devi"/>
    <x v="15"/>
    <s v="India"/>
    <s v="Online"/>
    <s v="Credit Card"/>
    <n v="108444"/>
    <n v="17074"/>
    <n v="102444"/>
    <n v="6000"/>
  </r>
  <r>
    <s v="TX0024"/>
    <x v="9"/>
    <n v="4"/>
    <n v="14772"/>
    <x v="23"/>
    <s v="Miraya Sahota"/>
    <x v="16"/>
    <s v="India"/>
    <s v="Direct"/>
    <s v="Net Banking"/>
    <n v="59088"/>
    <n v="13772"/>
    <n v="55088"/>
    <n v="4000"/>
  </r>
  <r>
    <s v="TX0025"/>
    <x v="7"/>
    <n v="4"/>
    <n v="14215"/>
    <x v="24"/>
    <s v="Hansh Rau"/>
    <x v="16"/>
    <s v="India"/>
    <s v="Direct"/>
    <s v="Debit Card"/>
    <n v="56860"/>
    <n v="13215"/>
    <n v="52860"/>
    <n v="4000"/>
  </r>
  <r>
    <s v="TX0026"/>
    <x v="5"/>
    <n v="8"/>
    <n v="6274"/>
    <x v="25"/>
    <s v="Heer Gole"/>
    <x v="7"/>
    <s v="India"/>
    <s v="Direct"/>
    <s v="Cash"/>
    <n v="50192"/>
    <n v="5274"/>
    <n v="42192"/>
    <n v="8000"/>
  </r>
  <r>
    <s v="TX0027"/>
    <x v="5"/>
    <n v="8"/>
    <n v="5670"/>
    <x v="26"/>
    <s v="Divyansh Ahluwalia"/>
    <x v="17"/>
    <s v="India"/>
    <s v="Store"/>
    <s v="Cash"/>
    <n v="45360"/>
    <n v="4670"/>
    <n v="37360"/>
    <n v="8000"/>
  </r>
  <r>
    <s v="TX0028"/>
    <x v="1"/>
    <n v="4"/>
    <n v="8325"/>
    <x v="27"/>
    <s v="Damini Bhat"/>
    <x v="18"/>
    <s v="India"/>
    <s v="Online"/>
    <s v="Cash"/>
    <n v="33300"/>
    <n v="7325"/>
    <n v="29300"/>
    <n v="4000"/>
  </r>
  <r>
    <s v="TX0029"/>
    <x v="1"/>
    <n v="3"/>
    <n v="13195"/>
    <x v="28"/>
    <s v="Renee Subramanian"/>
    <x v="12"/>
    <s v="India"/>
    <s v="Store"/>
    <s v="Credit Card"/>
    <n v="39585"/>
    <n v="12195"/>
    <n v="36585"/>
    <n v="3000"/>
  </r>
  <r>
    <s v="TX0030"/>
    <x v="2"/>
    <n v="4"/>
    <n v="7947"/>
    <x v="29"/>
    <s v="Keya Chacko"/>
    <x v="17"/>
    <s v="India"/>
    <s v="Direct"/>
    <s v="Net Banking"/>
    <n v="31788"/>
    <n v="6947"/>
    <n v="27788"/>
    <n v="4000"/>
  </r>
  <r>
    <s v="TX0031"/>
    <x v="2"/>
    <n v="8"/>
    <n v="11358"/>
    <x v="30"/>
    <s v="Hiran Kata"/>
    <x v="19"/>
    <s v="India"/>
    <s v="Store"/>
    <s v="UPI"/>
    <n v="90864"/>
    <n v="10358"/>
    <n v="82864"/>
    <n v="8000"/>
  </r>
  <r>
    <s v="TX0032"/>
    <x v="9"/>
    <n v="8"/>
    <n v="15744"/>
    <x v="31"/>
    <s v="Shalv Sodhi"/>
    <x v="0"/>
    <s v="India"/>
    <s v="Online"/>
    <s v="Debit Card"/>
    <n v="125952"/>
    <n v="14744"/>
    <n v="117952"/>
    <n v="8000"/>
  </r>
  <r>
    <s v="TX0033"/>
    <x v="9"/>
    <n v="6"/>
    <n v="3080"/>
    <x v="32"/>
    <s v="Shlok Chopra"/>
    <x v="2"/>
    <s v="India"/>
    <s v="Online"/>
    <s v="Cash"/>
    <n v="18480"/>
    <n v="2080"/>
    <n v="12480"/>
    <n v="6000"/>
  </r>
  <r>
    <s v="TX0034"/>
    <x v="0"/>
    <n v="2"/>
    <n v="3896"/>
    <x v="33"/>
    <s v="Heer Borra"/>
    <x v="8"/>
    <s v="India"/>
    <s v="Online"/>
    <s v="Net Banking"/>
    <n v="7792"/>
    <n v="2896"/>
    <n v="5792"/>
    <n v="2000"/>
  </r>
  <r>
    <s v="TX0035"/>
    <x v="3"/>
    <n v="3"/>
    <n v="12383"/>
    <x v="34"/>
    <s v="Armaan Chand"/>
    <x v="15"/>
    <s v="India"/>
    <s v="Store"/>
    <s v="Credit Card"/>
    <n v="37149"/>
    <n v="11383"/>
    <n v="34149"/>
    <n v="3000"/>
  </r>
  <r>
    <s v="TX0036"/>
    <x v="5"/>
    <n v="3"/>
    <n v="10823"/>
    <x v="35"/>
    <s v="Saira Zachariah"/>
    <x v="17"/>
    <s v="India"/>
    <s v="Online"/>
    <s v="UPI"/>
    <n v="32469"/>
    <n v="9823"/>
    <n v="29469"/>
    <n v="3000"/>
  </r>
  <r>
    <s v="TX0037"/>
    <x v="5"/>
    <n v="9"/>
    <n v="5049"/>
    <x v="36"/>
    <s v="Damini Samra"/>
    <x v="20"/>
    <s v="India"/>
    <s v="Store"/>
    <s v="UPI"/>
    <n v="45441"/>
    <n v="4049"/>
    <n v="36441"/>
    <n v="9000"/>
  </r>
  <r>
    <s v="TX0038"/>
    <x v="4"/>
    <n v="2"/>
    <n v="12548"/>
    <x v="37"/>
    <s v="Eshani Tara"/>
    <x v="14"/>
    <s v="India"/>
    <s v="Online"/>
    <s v="Credit Card"/>
    <n v="25096"/>
    <n v="11548"/>
    <n v="23096"/>
    <n v="2000"/>
  </r>
  <r>
    <s v="TX0039"/>
    <x v="8"/>
    <n v="6"/>
    <n v="8432"/>
    <x v="38"/>
    <s v="Hiran Dyal"/>
    <x v="0"/>
    <s v="India"/>
    <s v="Direct"/>
    <s v="Credit Card"/>
    <n v="50592"/>
    <n v="7432"/>
    <n v="44592"/>
    <n v="6000"/>
  </r>
  <r>
    <s v="TX0040"/>
    <x v="2"/>
    <n v="9"/>
    <n v="13351"/>
    <x v="39"/>
    <s v="Advika Seshadri"/>
    <x v="17"/>
    <s v="India"/>
    <s v="Direct"/>
    <s v="Debit Card"/>
    <n v="120159"/>
    <n v="12351"/>
    <n v="111159"/>
    <n v="9000"/>
  </r>
  <r>
    <s v="TX0041"/>
    <x v="9"/>
    <n v="5"/>
    <n v="16286"/>
    <x v="40"/>
    <s v="Veer Soman"/>
    <x v="20"/>
    <s v="India"/>
    <s v="Direct"/>
    <s v="Net Banking"/>
    <n v="81430"/>
    <n v="15286"/>
    <n v="76430"/>
    <n v="5000"/>
  </r>
  <r>
    <s v="TX0042"/>
    <x v="3"/>
    <n v="1"/>
    <n v="4978"/>
    <x v="41"/>
    <s v="Amira Badal"/>
    <x v="21"/>
    <s v="India"/>
    <s v="Direct"/>
    <s v="Cash"/>
    <n v="4978"/>
    <n v="3978"/>
    <n v="3978"/>
    <n v="1000"/>
  </r>
  <r>
    <s v="TX0043"/>
    <x v="4"/>
    <n v="3"/>
    <n v="10629"/>
    <x v="42"/>
    <s v="Ryan Sidhu"/>
    <x v="16"/>
    <s v="India"/>
    <s v="Store"/>
    <s v="Cash"/>
    <n v="31887"/>
    <n v="9629"/>
    <n v="28887"/>
    <n v="3000"/>
  </r>
  <r>
    <s v="TX0044"/>
    <x v="9"/>
    <n v="6"/>
    <n v="7312"/>
    <x v="43"/>
    <s v="Nayantara Issac"/>
    <x v="1"/>
    <s v="India"/>
    <s v="Store"/>
    <s v="Net Banking"/>
    <n v="43872"/>
    <n v="6312"/>
    <n v="37872"/>
    <n v="6000"/>
  </r>
  <r>
    <s v="TX0045"/>
    <x v="0"/>
    <n v="6"/>
    <n v="5963"/>
    <x v="44"/>
    <s v="Neelofar Kohli"/>
    <x v="22"/>
    <s v="India"/>
    <s v="Online"/>
    <s v="Debit Card"/>
    <n v="35778"/>
    <n v="4963"/>
    <n v="29778"/>
    <n v="6000"/>
  </r>
  <r>
    <s v="TX0046"/>
    <x v="1"/>
    <n v="1"/>
    <n v="4437"/>
    <x v="45"/>
    <s v="Zaina Sani"/>
    <x v="16"/>
    <s v="India"/>
    <s v="Direct"/>
    <s v="UPI"/>
    <n v="4437"/>
    <n v="3437"/>
    <n v="3437"/>
    <n v="1000"/>
  </r>
  <r>
    <s v="TX0047"/>
    <x v="0"/>
    <n v="9"/>
    <n v="9000"/>
    <x v="46"/>
    <s v="Dhanuk Dasgupta"/>
    <x v="9"/>
    <s v="India"/>
    <s v="Store"/>
    <s v="UPI"/>
    <n v="81000"/>
    <n v="8000"/>
    <n v="72000"/>
    <n v="9000"/>
  </r>
  <r>
    <s v="TX0048"/>
    <x v="0"/>
    <n v="2"/>
    <n v="4321"/>
    <x v="47"/>
    <s v="Nakul Lalla"/>
    <x v="19"/>
    <s v="India"/>
    <s v="Direct"/>
    <s v="Credit Card"/>
    <n v="8642"/>
    <n v="3321"/>
    <n v="6642"/>
    <n v="2000"/>
  </r>
  <r>
    <s v="TX0049"/>
    <x v="8"/>
    <n v="2"/>
    <n v="12180"/>
    <x v="48"/>
    <s v="Indrajit Chandra"/>
    <x v="13"/>
    <s v="India"/>
    <s v="Store"/>
    <s v="Credit Card"/>
    <n v="24360"/>
    <n v="11180"/>
    <n v="22360"/>
    <n v="2000"/>
  </r>
  <r>
    <s v="TX0050"/>
    <x v="3"/>
    <n v="1"/>
    <n v="4360"/>
    <x v="49"/>
    <s v="Pihu Garg"/>
    <x v="2"/>
    <s v="India"/>
    <s v="Store"/>
    <s v="Debit Card"/>
    <n v="4360"/>
    <n v="3360"/>
    <n v="3360"/>
    <n v="1000"/>
  </r>
  <r>
    <s v="TX0051"/>
    <x v="8"/>
    <n v="4"/>
    <n v="12400"/>
    <x v="50"/>
    <s v="Shayak Dixit"/>
    <x v="10"/>
    <s v="India"/>
    <s v="Direct"/>
    <s v="Cash"/>
    <n v="49600"/>
    <n v="11400"/>
    <n v="45600"/>
    <n v="4000"/>
  </r>
  <r>
    <s v="TX0052"/>
    <x v="6"/>
    <n v="9"/>
    <n v="15553"/>
    <x v="51"/>
    <s v="Mishti Sahota"/>
    <x v="3"/>
    <s v="India"/>
    <s v="Online"/>
    <s v="Credit Card"/>
    <n v="139977"/>
    <n v="14553"/>
    <n v="130977"/>
    <n v="9000"/>
  </r>
  <r>
    <s v="TX0053"/>
    <x v="4"/>
    <n v="9"/>
    <n v="2337"/>
    <x v="52"/>
    <s v="Alia Rama"/>
    <x v="23"/>
    <s v="India"/>
    <s v="Direct"/>
    <s v="Credit Card"/>
    <n v="21033"/>
    <n v="1337"/>
    <n v="12033"/>
    <n v="9000"/>
  </r>
  <r>
    <s v="TX0054"/>
    <x v="1"/>
    <n v="5"/>
    <n v="18457"/>
    <x v="53"/>
    <s v="Adira Suresh"/>
    <x v="14"/>
    <s v="India"/>
    <s v="Direct"/>
    <s v="UPI"/>
    <n v="92285"/>
    <n v="17457"/>
    <n v="87285"/>
    <n v="5000"/>
  </r>
  <r>
    <s v="TX0055"/>
    <x v="3"/>
    <n v="5"/>
    <n v="19124"/>
    <x v="54"/>
    <s v="Aradhya Sarin"/>
    <x v="15"/>
    <s v="India"/>
    <s v="Direct"/>
    <s v="Credit Card"/>
    <n v="95620"/>
    <n v="18124"/>
    <n v="90620"/>
    <n v="5000"/>
  </r>
  <r>
    <s v="TX0056"/>
    <x v="5"/>
    <n v="1"/>
    <n v="5248"/>
    <x v="55"/>
    <s v="Tejas Kohli"/>
    <x v="24"/>
    <s v="India"/>
    <s v="Direct"/>
    <s v="Cash"/>
    <n v="5248"/>
    <n v="4248"/>
    <n v="4248"/>
    <n v="1000"/>
  </r>
  <r>
    <s v="TX0057"/>
    <x v="9"/>
    <n v="4"/>
    <n v="2739"/>
    <x v="56"/>
    <s v="Alisha Zachariah"/>
    <x v="13"/>
    <s v="India"/>
    <s v="Store"/>
    <s v="Credit Card"/>
    <n v="10956"/>
    <n v="1739"/>
    <n v="6956"/>
    <n v="4000"/>
  </r>
  <r>
    <s v="TX0058"/>
    <x v="2"/>
    <n v="8"/>
    <n v="15728"/>
    <x v="57"/>
    <s v="Divyansh Sami"/>
    <x v="12"/>
    <s v="India"/>
    <s v="Online"/>
    <s v="Debit Card"/>
    <n v="125824"/>
    <n v="14728"/>
    <n v="117824"/>
    <n v="8000"/>
  </r>
  <r>
    <s v="TX0059"/>
    <x v="6"/>
    <n v="4"/>
    <n v="7390"/>
    <x v="58"/>
    <s v="Aarav Yohannan"/>
    <x v="13"/>
    <s v="India"/>
    <s v="Online"/>
    <s v="UPI"/>
    <n v="29560"/>
    <n v="6390"/>
    <n v="25560"/>
    <n v="4000"/>
  </r>
  <r>
    <s v="TX0060"/>
    <x v="1"/>
    <n v="3"/>
    <n v="10604"/>
    <x v="59"/>
    <s v="Lakshay Ramachandran"/>
    <x v="25"/>
    <s v="India"/>
    <s v="Online"/>
    <s v="Net Banking"/>
    <n v="31812"/>
    <n v="9604"/>
    <n v="28812"/>
    <n v="3000"/>
  </r>
  <r>
    <s v="TX0061"/>
    <x v="4"/>
    <n v="2"/>
    <n v="6267"/>
    <x v="60"/>
    <s v="Trisha Sami"/>
    <x v="20"/>
    <s v="India"/>
    <s v="Direct"/>
    <s v="Credit Card"/>
    <n v="12534"/>
    <n v="5267"/>
    <n v="10534"/>
    <n v="2000"/>
  </r>
  <r>
    <s v="TX0062"/>
    <x v="5"/>
    <n v="2"/>
    <n v="15409"/>
    <x v="61"/>
    <s v="Mishti Rout"/>
    <x v="9"/>
    <s v="India"/>
    <s v="Store"/>
    <s v="UPI"/>
    <n v="30818"/>
    <n v="14409"/>
    <n v="28818"/>
    <n v="2000"/>
  </r>
  <r>
    <s v="TX0063"/>
    <x v="1"/>
    <n v="3"/>
    <n v="18562"/>
    <x v="62"/>
    <s v="Madhup Bhatti"/>
    <x v="8"/>
    <s v="India"/>
    <s v="Direct"/>
    <s v="Cash"/>
    <n v="55686"/>
    <n v="17562"/>
    <n v="52686"/>
    <n v="3000"/>
  </r>
  <r>
    <s v="TX0064"/>
    <x v="0"/>
    <n v="2"/>
    <n v="12242"/>
    <x v="63"/>
    <s v="Myra Gala"/>
    <x v="11"/>
    <s v="India"/>
    <s v="Online"/>
    <s v="Credit Card"/>
    <n v="24484"/>
    <n v="11242"/>
    <n v="22484"/>
    <n v="2000"/>
  </r>
  <r>
    <s v="TX0065"/>
    <x v="0"/>
    <n v="5"/>
    <n v="10977"/>
    <x v="64"/>
    <s v="Prisha Gade"/>
    <x v="23"/>
    <s v="India"/>
    <s v="Store"/>
    <s v="Debit Card"/>
    <n v="54885"/>
    <n v="9977"/>
    <n v="49885"/>
    <n v="5000"/>
  </r>
  <r>
    <s v="TX0066"/>
    <x v="2"/>
    <n v="3"/>
    <n v="19091"/>
    <x v="65"/>
    <s v="Kavya Chaudry"/>
    <x v="23"/>
    <s v="India"/>
    <s v="Online"/>
    <s v="Net Banking"/>
    <n v="57273"/>
    <n v="18091"/>
    <n v="54273"/>
    <n v="3000"/>
  </r>
  <r>
    <s v="TX0067"/>
    <x v="4"/>
    <n v="6"/>
    <n v="11557"/>
    <x v="66"/>
    <s v="Anika Virk"/>
    <x v="21"/>
    <s v="India"/>
    <s v="Online"/>
    <s v="Cash"/>
    <n v="69342"/>
    <n v="10557"/>
    <n v="63342"/>
    <n v="6000"/>
  </r>
  <r>
    <s v="TX0068"/>
    <x v="5"/>
    <n v="6"/>
    <n v="16181"/>
    <x v="67"/>
    <s v="Tara Shukla"/>
    <x v="16"/>
    <s v="India"/>
    <s v="Store"/>
    <s v="Debit Card"/>
    <n v="97086"/>
    <n v="15181"/>
    <n v="91086"/>
    <n v="6000"/>
  </r>
  <r>
    <s v="TX0069"/>
    <x v="0"/>
    <n v="6"/>
    <n v="17480"/>
    <x v="68"/>
    <s v="Arhaan Bhandari"/>
    <x v="26"/>
    <s v="India"/>
    <s v="Store"/>
    <s v="Net Banking"/>
    <n v="104880"/>
    <n v="16480"/>
    <n v="98880"/>
    <n v="6000"/>
  </r>
  <r>
    <s v="TX0070"/>
    <x v="6"/>
    <n v="3"/>
    <n v="16998"/>
    <x v="69"/>
    <s v="Inaaya  Varughese"/>
    <x v="16"/>
    <s v="India"/>
    <s v="Store"/>
    <s v="Cash"/>
    <n v="50994"/>
    <n v="15998"/>
    <n v="47994"/>
    <n v="3000"/>
  </r>
  <r>
    <s v="TX0071"/>
    <x v="7"/>
    <n v="6"/>
    <n v="7330"/>
    <x v="70"/>
    <s v="Divit Srivastava"/>
    <x v="27"/>
    <s v="India"/>
    <s v="Store"/>
    <s v="Cash"/>
    <n v="43980"/>
    <n v="6330"/>
    <n v="37980"/>
    <n v="6000"/>
  </r>
  <r>
    <s v="TX0072"/>
    <x v="7"/>
    <n v="8"/>
    <n v="11015"/>
    <x v="71"/>
    <s v="Shayak Handa"/>
    <x v="18"/>
    <s v="India"/>
    <s v="Online"/>
    <s v="Net Banking"/>
    <n v="88120"/>
    <n v="10015"/>
    <n v="80120"/>
    <n v="8000"/>
  </r>
  <r>
    <s v="TX0073"/>
    <x v="8"/>
    <n v="8"/>
    <n v="12417"/>
    <x v="72"/>
    <s v="Nirvi Gopal"/>
    <x v="8"/>
    <s v="India"/>
    <s v="Store"/>
    <s v="UPI"/>
    <n v="99336"/>
    <n v="11417"/>
    <n v="91336"/>
    <n v="8000"/>
  </r>
  <r>
    <s v="TX0074"/>
    <x v="2"/>
    <n v="7"/>
    <n v="17469"/>
    <x v="73"/>
    <s v="Arnav Bhavsar"/>
    <x v="11"/>
    <s v="India"/>
    <s v="Direct"/>
    <s v="Cash"/>
    <n v="122283"/>
    <n v="16469"/>
    <n v="115283"/>
    <n v="7000"/>
  </r>
  <r>
    <s v="TX0075"/>
    <x v="2"/>
    <n v="2"/>
    <n v="12483"/>
    <x v="74"/>
    <s v="Jhanvi Rattan"/>
    <x v="5"/>
    <s v="India"/>
    <s v="Store"/>
    <s v="Credit Card"/>
    <n v="24966"/>
    <n v="11483"/>
    <n v="22966"/>
    <n v="2000"/>
  </r>
  <r>
    <s v="TX0076"/>
    <x v="2"/>
    <n v="7"/>
    <n v="16926"/>
    <x v="75"/>
    <s v="Anika Badami"/>
    <x v="5"/>
    <s v="India"/>
    <s v="Online"/>
    <s v="UPI"/>
    <n v="118482"/>
    <n v="15926"/>
    <n v="111482"/>
    <n v="7000"/>
  </r>
  <r>
    <s v="TX0077"/>
    <x v="1"/>
    <n v="8"/>
    <n v="6754"/>
    <x v="76"/>
    <s v="Priyansh Balakrishnan"/>
    <x v="16"/>
    <s v="India"/>
    <s v="Store"/>
    <s v="Credit Card"/>
    <n v="54032"/>
    <n v="5754"/>
    <n v="46032"/>
    <n v="8000"/>
  </r>
  <r>
    <s v="TX0078"/>
    <x v="0"/>
    <n v="3"/>
    <n v="13385"/>
    <x v="77"/>
    <s v="Kashvi Batra"/>
    <x v="5"/>
    <s v="India"/>
    <s v="Direct"/>
    <s v="Cash"/>
    <n v="40155"/>
    <n v="12385"/>
    <n v="37155"/>
    <n v="3000"/>
  </r>
  <r>
    <s v="TX0079"/>
    <x v="1"/>
    <n v="4"/>
    <n v="12587"/>
    <x v="78"/>
    <s v="Fateh Bhattacharyya"/>
    <x v="16"/>
    <s v="India"/>
    <s v="Online"/>
    <s v="Net Banking"/>
    <n v="50348"/>
    <n v="11587"/>
    <n v="46348"/>
    <n v="4000"/>
  </r>
  <r>
    <s v="TX0080"/>
    <x v="1"/>
    <n v="2"/>
    <n v="7612"/>
    <x v="79"/>
    <s v="Divij Seth"/>
    <x v="17"/>
    <s v="India"/>
    <s v="Store"/>
    <s v="Cash"/>
    <n v="15224"/>
    <n v="6612"/>
    <n v="13224"/>
    <n v="2000"/>
  </r>
  <r>
    <s v="TX0081"/>
    <x v="8"/>
    <n v="6"/>
    <n v="10397"/>
    <x v="80"/>
    <s v="Suhana Kade"/>
    <x v="11"/>
    <s v="India"/>
    <s v="Store"/>
    <s v="Debit Card"/>
    <n v="62382"/>
    <n v="9397"/>
    <n v="56382"/>
    <n v="6000"/>
  </r>
  <r>
    <s v="TX0082"/>
    <x v="5"/>
    <n v="3"/>
    <n v="13106"/>
    <x v="81"/>
    <s v="Himmat Chacko"/>
    <x v="9"/>
    <s v="India"/>
    <s v="Store"/>
    <s v="UPI"/>
    <n v="39318"/>
    <n v="12106"/>
    <n v="36318"/>
    <n v="3000"/>
  </r>
  <r>
    <s v="TX0083"/>
    <x v="5"/>
    <n v="1"/>
    <n v="8957"/>
    <x v="82"/>
    <s v="Advik Anand"/>
    <x v="26"/>
    <s v="India"/>
    <s v="Direct"/>
    <s v="UPI"/>
    <n v="8957"/>
    <n v="7957"/>
    <n v="7957"/>
    <n v="1000"/>
  </r>
  <r>
    <s v="TX0084"/>
    <x v="3"/>
    <n v="2"/>
    <n v="5792"/>
    <x v="83"/>
    <s v="Piya Tara"/>
    <x v="18"/>
    <s v="India"/>
    <s v="Direct"/>
    <s v="Net Banking"/>
    <n v="11584"/>
    <n v="4792"/>
    <n v="9584"/>
    <n v="2000"/>
  </r>
  <r>
    <s v="TX0085"/>
    <x v="8"/>
    <n v="1"/>
    <n v="12305"/>
    <x v="84"/>
    <s v="Nirvi Bhalla"/>
    <x v="25"/>
    <s v="India"/>
    <s v="Store"/>
    <s v="Cash"/>
    <n v="12305"/>
    <n v="11305"/>
    <n v="11305"/>
    <n v="1000"/>
  </r>
  <r>
    <s v="TX0086"/>
    <x v="6"/>
    <n v="7"/>
    <n v="16608"/>
    <x v="85"/>
    <s v="Alisha Setty"/>
    <x v="2"/>
    <s v="India"/>
    <s v="Online"/>
    <s v="Credit Card"/>
    <n v="116256"/>
    <n v="15608"/>
    <n v="109256"/>
    <n v="7000"/>
  </r>
  <r>
    <s v="TX0087"/>
    <x v="7"/>
    <n v="1"/>
    <n v="8445"/>
    <x v="86"/>
    <s v="Raunak Sahni"/>
    <x v="18"/>
    <s v="India"/>
    <s v="Online"/>
    <s v="Credit Card"/>
    <n v="8445"/>
    <n v="7445"/>
    <n v="7445"/>
    <n v="1000"/>
  </r>
  <r>
    <s v="TX0088"/>
    <x v="2"/>
    <n v="5"/>
    <n v="8363"/>
    <x v="87"/>
    <s v="Adah Raju"/>
    <x v="20"/>
    <s v="India"/>
    <s v="Online"/>
    <s v="Credit Card"/>
    <n v="41815"/>
    <n v="7363"/>
    <n v="36815"/>
    <n v="5000"/>
  </r>
  <r>
    <s v="TX0089"/>
    <x v="1"/>
    <n v="9"/>
    <n v="2165"/>
    <x v="88"/>
    <s v="Lakshay Behl"/>
    <x v="14"/>
    <s v="India"/>
    <s v="Online"/>
    <s v="Net Banking"/>
    <n v="19485"/>
    <n v="1165"/>
    <n v="10485"/>
    <n v="9000"/>
  </r>
  <r>
    <s v="TX0090"/>
    <x v="0"/>
    <n v="5"/>
    <n v="18818"/>
    <x v="89"/>
    <s v="Vedika Mahajan"/>
    <x v="16"/>
    <s v="India"/>
    <s v="Online"/>
    <s v="Cash"/>
    <n v="94090"/>
    <n v="17618"/>
    <n v="88090"/>
    <n v="6000"/>
  </r>
  <r>
    <s v="TX0091"/>
    <x v="8"/>
    <n v="4"/>
    <n v="16744"/>
    <x v="90"/>
    <s v="Nirvaan Yohannan"/>
    <x v="20"/>
    <s v="India"/>
    <s v="Direct"/>
    <s v="UPI"/>
    <n v="66976"/>
    <n v="15544"/>
    <n v="62176"/>
    <n v="4800"/>
  </r>
  <r>
    <s v="TX0092"/>
    <x v="3"/>
    <n v="4"/>
    <n v="3968"/>
    <x v="91"/>
    <s v="Keya De"/>
    <x v="19"/>
    <s v="India"/>
    <s v="Direct"/>
    <s v="UPI"/>
    <n v="15872"/>
    <n v="2768"/>
    <n v="11072"/>
    <n v="4800"/>
  </r>
  <r>
    <s v="TX0093"/>
    <x v="5"/>
    <n v="9"/>
    <n v="3228"/>
    <x v="92"/>
    <s v="Advik Kulkarni"/>
    <x v="7"/>
    <s v="India"/>
    <s v="Store"/>
    <s v="UPI"/>
    <n v="29052"/>
    <n v="2028"/>
    <n v="18252"/>
    <n v="10800"/>
  </r>
  <r>
    <s v="TX0094"/>
    <x v="8"/>
    <n v="9"/>
    <n v="11220"/>
    <x v="93"/>
    <s v="Bhavin Manda"/>
    <x v="3"/>
    <s v="India"/>
    <s v="Online"/>
    <s v="Credit Card"/>
    <n v="100980"/>
    <n v="10020"/>
    <n v="90180"/>
    <n v="10800"/>
  </r>
  <r>
    <s v="TX0095"/>
    <x v="8"/>
    <n v="8"/>
    <n v="3198"/>
    <x v="94"/>
    <s v="Suhana Ganesan"/>
    <x v="6"/>
    <s v="India"/>
    <s v="Direct"/>
    <s v="Net Banking"/>
    <n v="25584"/>
    <n v="1998"/>
    <n v="15984"/>
    <n v="9600"/>
  </r>
  <r>
    <s v="TX0096"/>
    <x v="8"/>
    <n v="1"/>
    <n v="13505"/>
    <x v="95"/>
    <s v="Piya Bajwa"/>
    <x v="18"/>
    <s v="India"/>
    <s v="Online"/>
    <s v="UPI"/>
    <n v="13505"/>
    <n v="12305"/>
    <n v="12305"/>
    <n v="1200"/>
  </r>
  <r>
    <s v="TX0097"/>
    <x v="0"/>
    <n v="4"/>
    <n v="16730"/>
    <x v="96"/>
    <s v="Riaan Dhillon"/>
    <x v="24"/>
    <s v="India"/>
    <s v="Direct"/>
    <s v="Net Banking"/>
    <n v="66920"/>
    <n v="15530"/>
    <n v="62120"/>
    <n v="4800"/>
  </r>
  <r>
    <s v="TX0098"/>
    <x v="9"/>
    <n v="9"/>
    <n v="9579"/>
    <x v="97"/>
    <s v="Ayesha Chander"/>
    <x v="14"/>
    <s v="India"/>
    <s v="Store"/>
    <s v="Net Banking"/>
    <n v="86211"/>
    <n v="8379"/>
    <n v="75411"/>
    <n v="10800"/>
  </r>
  <r>
    <s v="TX0099"/>
    <x v="0"/>
    <n v="8"/>
    <n v="5406"/>
    <x v="98"/>
    <s v="Mamooty Dyal"/>
    <x v="10"/>
    <s v="India"/>
    <s v="Online"/>
    <s v="Net Banking"/>
    <n v="43248"/>
    <n v="4206"/>
    <n v="33648"/>
    <n v="9600"/>
  </r>
  <r>
    <s v="TX0100"/>
    <x v="9"/>
    <n v="8"/>
    <n v="6966"/>
    <x v="99"/>
    <s v="Shaan Balan"/>
    <x v="7"/>
    <s v="India"/>
    <s v="Store"/>
    <s v="UPI"/>
    <n v="55728"/>
    <n v="5766"/>
    <n v="46128"/>
    <n v="9600"/>
  </r>
  <r>
    <s v="TX0101"/>
    <x v="9"/>
    <n v="2"/>
    <n v="7517"/>
    <x v="100"/>
    <s v="Lagan Sarna"/>
    <x v="26"/>
    <s v="India"/>
    <s v="Store"/>
    <s v="Debit Card"/>
    <n v="15034"/>
    <n v="6317"/>
    <n v="12634"/>
    <n v="2400"/>
  </r>
  <r>
    <s v="TX0102"/>
    <x v="6"/>
    <n v="9"/>
    <n v="9197"/>
    <x v="101"/>
    <s v="Jayan Balasubramanian"/>
    <x v="7"/>
    <s v="India"/>
    <s v="Store"/>
    <s v="Cash"/>
    <n v="82773"/>
    <n v="7997"/>
    <n v="71973"/>
    <n v="10800"/>
  </r>
  <r>
    <s v="TX0103"/>
    <x v="6"/>
    <n v="5"/>
    <n v="11166"/>
    <x v="102"/>
    <s v="Mamooty Thaman"/>
    <x v="21"/>
    <s v="India"/>
    <s v="Online"/>
    <s v="Debit Card"/>
    <n v="55830"/>
    <n v="9966"/>
    <n v="49830"/>
    <n v="6000"/>
  </r>
  <r>
    <s v="TX0104"/>
    <x v="5"/>
    <n v="8"/>
    <n v="19611"/>
    <x v="103"/>
    <s v="Prerak Badal"/>
    <x v="16"/>
    <s v="India"/>
    <s v="Store"/>
    <s v="Net Banking"/>
    <n v="156888"/>
    <n v="18411"/>
    <n v="147288"/>
    <n v="9600"/>
  </r>
  <r>
    <s v="TX0105"/>
    <x v="2"/>
    <n v="1"/>
    <n v="14767"/>
    <x v="104"/>
    <s v="Yuvaan Bhasin"/>
    <x v="23"/>
    <s v="India"/>
    <s v="Online"/>
    <s v="Net Banking"/>
    <n v="14767"/>
    <n v="13567"/>
    <n v="13567"/>
    <n v="1200"/>
  </r>
  <r>
    <s v="TX0106"/>
    <x v="9"/>
    <n v="5"/>
    <n v="9278"/>
    <x v="105"/>
    <s v="Aniruddh Ghosh"/>
    <x v="22"/>
    <s v="India"/>
    <s v="Store"/>
    <s v="Debit Card"/>
    <n v="46390"/>
    <n v="8078"/>
    <n v="40390"/>
    <n v="6000"/>
  </r>
  <r>
    <s v="TX0107"/>
    <x v="0"/>
    <n v="1"/>
    <n v="3492"/>
    <x v="106"/>
    <s v="Keya Rau"/>
    <x v="3"/>
    <s v="India"/>
    <s v="Online"/>
    <s v="Debit Card"/>
    <n v="3492"/>
    <n v="2292"/>
    <n v="2292"/>
    <n v="1200"/>
  </r>
  <r>
    <s v="TX0108"/>
    <x v="1"/>
    <n v="7"/>
    <n v="5767"/>
    <x v="107"/>
    <s v="Jayesh Virk"/>
    <x v="20"/>
    <s v="India"/>
    <s v="Store"/>
    <s v="Net Banking"/>
    <n v="40369"/>
    <n v="4567"/>
    <n v="31969"/>
    <n v="8400"/>
  </r>
  <r>
    <s v="TX0109"/>
    <x v="9"/>
    <n v="5"/>
    <n v="17101"/>
    <x v="108"/>
    <s v="Anahita Gala"/>
    <x v="21"/>
    <s v="India"/>
    <s v="Direct"/>
    <s v="Credit Card"/>
    <n v="85505"/>
    <n v="15901"/>
    <n v="79505"/>
    <n v="6000"/>
  </r>
  <r>
    <s v="TX0110"/>
    <x v="5"/>
    <n v="3"/>
    <n v="19538"/>
    <x v="109"/>
    <s v="Rania Gala"/>
    <x v="14"/>
    <s v="India"/>
    <s v="Direct"/>
    <s v="UPI"/>
    <n v="58614"/>
    <n v="18338"/>
    <n v="55014"/>
    <n v="3600"/>
  </r>
  <r>
    <s v="TX0111"/>
    <x v="1"/>
    <n v="5"/>
    <n v="2184"/>
    <x v="110"/>
    <s v="Piya Doctor"/>
    <x v="20"/>
    <s v="India"/>
    <s v="Online"/>
    <s v="Cash"/>
    <n v="10920"/>
    <n v="984"/>
    <n v="4920"/>
    <n v="6000"/>
  </r>
  <r>
    <s v="TX0112"/>
    <x v="0"/>
    <n v="7"/>
    <n v="9278"/>
    <x v="111"/>
    <s v="Krish Lal"/>
    <x v="15"/>
    <s v="India"/>
    <s v="Direct"/>
    <s v="Cash"/>
    <n v="64946"/>
    <n v="8078"/>
    <n v="56546"/>
    <n v="8400"/>
  </r>
  <r>
    <s v="TX0113"/>
    <x v="1"/>
    <n v="4"/>
    <n v="13974"/>
    <x v="112"/>
    <s v="Neysa Dhawan"/>
    <x v="24"/>
    <s v="India"/>
    <s v="Store"/>
    <s v="Net Banking"/>
    <n v="55896"/>
    <n v="12774"/>
    <n v="51096"/>
    <n v="4800"/>
  </r>
  <r>
    <s v="TX0114"/>
    <x v="1"/>
    <n v="4"/>
    <n v="7074"/>
    <x v="113"/>
    <s v="Prisha Chanda"/>
    <x v="4"/>
    <s v="India"/>
    <s v="Store"/>
    <s v="Cash"/>
    <n v="28296"/>
    <n v="5874"/>
    <n v="23496"/>
    <n v="4800"/>
  </r>
  <r>
    <s v="TX0115"/>
    <x v="2"/>
    <n v="8"/>
    <n v="12430"/>
    <x v="114"/>
    <s v="Hrishita Dora"/>
    <x v="26"/>
    <s v="India"/>
    <s v="Online"/>
    <s v="Debit Card"/>
    <n v="99440"/>
    <n v="11230"/>
    <n v="89840"/>
    <n v="9600"/>
  </r>
  <r>
    <s v="TX0116"/>
    <x v="1"/>
    <n v="9"/>
    <n v="9726"/>
    <x v="115"/>
    <s v="Jayan Ramakrishnan"/>
    <x v="20"/>
    <s v="India"/>
    <s v="Direct"/>
    <s v="Debit Card"/>
    <n v="87534"/>
    <n v="8526"/>
    <n v="76734"/>
    <n v="10800"/>
  </r>
  <r>
    <s v="TX0117"/>
    <x v="4"/>
    <n v="6"/>
    <n v="15051"/>
    <x v="116"/>
    <s v="Lakshit Sane"/>
    <x v="12"/>
    <s v="India"/>
    <s v="Store"/>
    <s v="UPI"/>
    <n v="90306"/>
    <n v="13851"/>
    <n v="83106"/>
    <n v="7200"/>
  </r>
  <r>
    <s v="TX0118"/>
    <x v="2"/>
    <n v="1"/>
    <n v="7209"/>
    <x v="117"/>
    <s v="Jivika Dani"/>
    <x v="18"/>
    <s v="India"/>
    <s v="Store"/>
    <s v="Credit Card"/>
    <n v="7209"/>
    <n v="6009"/>
    <n v="6009"/>
    <n v="1200"/>
  </r>
  <r>
    <s v="TX0119"/>
    <x v="0"/>
    <n v="9"/>
    <n v="8462"/>
    <x v="118"/>
    <s v="Ahana  Hora"/>
    <x v="20"/>
    <s v="India"/>
    <s v="Store"/>
    <s v="UPI"/>
    <n v="76158"/>
    <n v="7262"/>
    <n v="65358"/>
    <n v="10800"/>
  </r>
  <r>
    <s v="TX0120"/>
    <x v="3"/>
    <n v="6"/>
    <n v="18677"/>
    <x v="119"/>
    <s v="Rasha Kota"/>
    <x v="16"/>
    <s v="India"/>
    <s v="Direct"/>
    <s v="Credit Card"/>
    <n v="112062"/>
    <n v="17477"/>
    <n v="104862"/>
    <n v="7200"/>
  </r>
  <r>
    <s v="TX0121"/>
    <x v="8"/>
    <n v="5"/>
    <n v="16495"/>
    <x v="120"/>
    <s v="Oorja Sachdeva"/>
    <x v="15"/>
    <s v="India"/>
    <s v="Store"/>
    <s v="Debit Card"/>
    <n v="82475"/>
    <n v="15295"/>
    <n v="76475"/>
    <n v="6000"/>
  </r>
  <r>
    <s v="TX0122"/>
    <x v="3"/>
    <n v="8"/>
    <n v="6983"/>
    <x v="121"/>
    <s v="Pari Bhagat"/>
    <x v="18"/>
    <s v="India"/>
    <s v="Direct"/>
    <s v="Net Banking"/>
    <n v="55864"/>
    <n v="5783"/>
    <n v="46264"/>
    <n v="9600"/>
  </r>
  <r>
    <s v="TX0123"/>
    <x v="4"/>
    <n v="5"/>
    <n v="10092"/>
    <x v="122"/>
    <s v="Saanvi Ramesh"/>
    <x v="14"/>
    <s v="India"/>
    <s v="Direct"/>
    <s v="Credit Card"/>
    <n v="50460"/>
    <n v="8892"/>
    <n v="44460"/>
    <n v="6000"/>
  </r>
  <r>
    <s v="TX0124"/>
    <x v="9"/>
    <n v="2"/>
    <n v="11576"/>
    <x v="123"/>
    <s v="Kismat Lanka"/>
    <x v="23"/>
    <s v="India"/>
    <s v="Store"/>
    <s v="Net Banking"/>
    <n v="23152"/>
    <n v="10376"/>
    <n v="20752"/>
    <n v="2400"/>
  </r>
  <r>
    <s v="TX0125"/>
    <x v="8"/>
    <n v="4"/>
    <n v="14271"/>
    <x v="124"/>
    <s v="Gokul Chaudhary"/>
    <x v="15"/>
    <s v="India"/>
    <s v="Store"/>
    <s v="Credit Card"/>
    <n v="57084"/>
    <n v="13071"/>
    <n v="52284"/>
    <n v="4800"/>
  </r>
  <r>
    <s v="TX0126"/>
    <x v="6"/>
    <n v="4"/>
    <n v="5869"/>
    <x v="125"/>
    <s v="Drishya Bahl"/>
    <x v="21"/>
    <s v="India"/>
    <s v="Store"/>
    <s v="Debit Card"/>
    <n v="23476"/>
    <n v="4669"/>
    <n v="18676"/>
    <n v="4800"/>
  </r>
  <r>
    <s v="TX0127"/>
    <x v="2"/>
    <n v="3"/>
    <n v="5796"/>
    <x v="126"/>
    <s v="Divit Sundaram"/>
    <x v="8"/>
    <s v="India"/>
    <s v="Online"/>
    <s v="UPI"/>
    <n v="17388"/>
    <n v="4596"/>
    <n v="13788"/>
    <n v="3600"/>
  </r>
  <r>
    <s v="TX0128"/>
    <x v="0"/>
    <n v="6"/>
    <n v="7393"/>
    <x v="127"/>
    <s v="Lakshit Sathe"/>
    <x v="25"/>
    <s v="India"/>
    <s v="Online"/>
    <s v="Cash"/>
    <n v="44358"/>
    <n v="6193"/>
    <n v="37158"/>
    <n v="7200"/>
  </r>
  <r>
    <s v="TX0129"/>
    <x v="0"/>
    <n v="3"/>
    <n v="13943"/>
    <x v="128"/>
    <s v="Kiaan Chana"/>
    <x v="15"/>
    <s v="India"/>
    <s v="Store"/>
    <s v="Net Banking"/>
    <n v="41829"/>
    <n v="12743"/>
    <n v="38229"/>
    <n v="3600"/>
  </r>
  <r>
    <s v="TX0130"/>
    <x v="3"/>
    <n v="4"/>
    <n v="3506"/>
    <x v="129"/>
    <s v="Aayush De"/>
    <x v="10"/>
    <s v="India"/>
    <s v="Online"/>
    <s v="Cash"/>
    <n v="14024"/>
    <n v="2306"/>
    <n v="9224"/>
    <n v="4800"/>
  </r>
  <r>
    <s v="TX0131"/>
    <x v="2"/>
    <n v="6"/>
    <n v="17920"/>
    <x v="130"/>
    <s v="Nitya Bains"/>
    <x v="11"/>
    <s v="India"/>
    <s v="Store"/>
    <s v="UPI"/>
    <n v="107520"/>
    <n v="16720"/>
    <n v="100320"/>
    <n v="7200"/>
  </r>
  <r>
    <s v="TX0132"/>
    <x v="4"/>
    <n v="8"/>
    <n v="16550"/>
    <x v="131"/>
    <s v="Shamik Barman"/>
    <x v="19"/>
    <s v="India"/>
    <s v="Online"/>
    <s v="Credit Card"/>
    <n v="132400"/>
    <n v="15350"/>
    <n v="122800"/>
    <n v="9600"/>
  </r>
  <r>
    <s v="TX0133"/>
    <x v="6"/>
    <n v="3"/>
    <n v="9213"/>
    <x v="132"/>
    <s v="Parinaaz Chaudhary"/>
    <x v="15"/>
    <s v="India"/>
    <s v="Online"/>
    <s v="Credit Card"/>
    <n v="27639"/>
    <n v="8013"/>
    <n v="24039"/>
    <n v="3600"/>
  </r>
  <r>
    <s v="TX0134"/>
    <x v="5"/>
    <n v="8"/>
    <n v="3146"/>
    <x v="133"/>
    <s v="Prerak Dewan"/>
    <x v="24"/>
    <s v="India"/>
    <s v="Direct"/>
    <s v="Cash"/>
    <n v="25168"/>
    <n v="1946"/>
    <n v="15568"/>
    <n v="9600"/>
  </r>
  <r>
    <s v="TX0135"/>
    <x v="9"/>
    <n v="2"/>
    <n v="4737"/>
    <x v="134"/>
    <s v="Pihu Bakshi"/>
    <x v="24"/>
    <s v="India"/>
    <s v="Store"/>
    <s v="Cash"/>
    <n v="9474"/>
    <n v="3537"/>
    <n v="7074"/>
    <n v="2400"/>
  </r>
  <r>
    <s v="TX0136"/>
    <x v="6"/>
    <n v="7"/>
    <n v="17708"/>
    <x v="135"/>
    <s v="Nishith Issac"/>
    <x v="9"/>
    <s v="India"/>
    <s v="Direct"/>
    <s v="UPI"/>
    <n v="123956"/>
    <n v="16508"/>
    <n v="115556"/>
    <n v="8400"/>
  </r>
  <r>
    <s v="TX0137"/>
    <x v="2"/>
    <n v="6"/>
    <n v="19729"/>
    <x v="136"/>
    <s v="Zaina Vala"/>
    <x v="27"/>
    <s v="India"/>
    <s v="Store"/>
    <s v="Debit Card"/>
    <n v="118374"/>
    <n v="18529"/>
    <n v="111174"/>
    <n v="7200"/>
  </r>
  <r>
    <s v="TX0138"/>
    <x v="9"/>
    <n v="1"/>
    <n v="3365"/>
    <x v="137"/>
    <s v="Shaan Grewal"/>
    <x v="16"/>
    <s v="India"/>
    <s v="Online"/>
    <s v="UPI"/>
    <n v="3365"/>
    <n v="2165"/>
    <n v="2165"/>
    <n v="1200"/>
  </r>
  <r>
    <s v="TX0139"/>
    <x v="4"/>
    <n v="1"/>
    <n v="15856"/>
    <x v="138"/>
    <s v="Stuvan Tara"/>
    <x v="26"/>
    <s v="India"/>
    <s v="Direct"/>
    <s v="Net Banking"/>
    <n v="15856"/>
    <n v="14656"/>
    <n v="14656"/>
    <n v="1200"/>
  </r>
  <r>
    <s v="TX0140"/>
    <x v="7"/>
    <n v="4"/>
    <n v="18371"/>
    <x v="139"/>
    <s v="Indranil Chawla"/>
    <x v="9"/>
    <s v="India"/>
    <s v="Store"/>
    <s v="Net Banking"/>
    <n v="73484"/>
    <n v="17171"/>
    <n v="68684"/>
    <n v="4800"/>
  </r>
  <r>
    <s v="TX0141"/>
    <x v="8"/>
    <n v="2"/>
    <n v="4170"/>
    <x v="140"/>
    <s v="Adira Sekhon"/>
    <x v="22"/>
    <s v="India"/>
    <s v="Online"/>
    <s v="Credit Card"/>
    <n v="8340"/>
    <n v="2970"/>
    <n v="5940"/>
    <n v="2400"/>
  </r>
  <r>
    <s v="TX0142"/>
    <x v="1"/>
    <n v="7"/>
    <n v="7222"/>
    <x v="141"/>
    <s v="Shlok Majumdar"/>
    <x v="0"/>
    <s v="India"/>
    <s v="Online"/>
    <s v="Cash"/>
    <n v="50554"/>
    <n v="6022"/>
    <n v="42154"/>
    <n v="8400"/>
  </r>
  <r>
    <s v="TX0143"/>
    <x v="5"/>
    <n v="7"/>
    <n v="18473"/>
    <x v="142"/>
    <s v="Badal Magar"/>
    <x v="10"/>
    <s v="India"/>
    <s v="Online"/>
    <s v="Cash"/>
    <n v="129311"/>
    <n v="17273"/>
    <n v="120911"/>
    <n v="8400"/>
  </r>
  <r>
    <s v="TX0144"/>
    <x v="5"/>
    <n v="8"/>
    <n v="5185"/>
    <x v="143"/>
    <s v="Ranbir Ray"/>
    <x v="26"/>
    <s v="India"/>
    <s v="Store"/>
    <s v="UPI"/>
    <n v="41480"/>
    <n v="3985"/>
    <n v="31880"/>
    <n v="9600"/>
  </r>
  <r>
    <s v="TX0145"/>
    <x v="1"/>
    <n v="9"/>
    <n v="10347"/>
    <x v="144"/>
    <s v="Jiya Chanda"/>
    <x v="16"/>
    <s v="India"/>
    <s v="Direct"/>
    <s v="Credit Card"/>
    <n v="93123"/>
    <n v="9147"/>
    <n v="82323"/>
    <n v="10800"/>
  </r>
  <r>
    <s v="TX0146"/>
    <x v="3"/>
    <n v="9"/>
    <n v="3537"/>
    <x v="145"/>
    <s v="Keya Chandran"/>
    <x v="24"/>
    <s v="India"/>
    <s v="Direct"/>
    <s v="Cash"/>
    <n v="31833"/>
    <n v="2337"/>
    <n v="21033"/>
    <n v="10800"/>
  </r>
  <r>
    <s v="TX0147"/>
    <x v="2"/>
    <n v="8"/>
    <n v="4313"/>
    <x v="146"/>
    <s v="Veer Bajaj"/>
    <x v="0"/>
    <s v="India"/>
    <s v="Store"/>
    <s v="UPI"/>
    <n v="34504"/>
    <n v="3113"/>
    <n v="24904"/>
    <n v="9600"/>
  </r>
  <r>
    <s v="TX0148"/>
    <x v="1"/>
    <n v="1"/>
    <n v="14403"/>
    <x v="147"/>
    <s v="Mahika Sharma"/>
    <x v="17"/>
    <s v="India"/>
    <s v="Online"/>
    <s v="UPI"/>
    <n v="14403"/>
    <n v="13203"/>
    <n v="13203"/>
    <n v="1200"/>
  </r>
  <r>
    <s v="TX0149"/>
    <x v="9"/>
    <n v="9"/>
    <n v="3873"/>
    <x v="148"/>
    <s v="Dhanuk Ratta"/>
    <x v="18"/>
    <s v="India"/>
    <s v="Online"/>
    <s v="Debit Card"/>
    <n v="34857"/>
    <n v="2673"/>
    <n v="24057"/>
    <n v="10800"/>
  </r>
  <r>
    <s v="TX0150"/>
    <x v="1"/>
    <n v="7"/>
    <n v="14683"/>
    <x v="149"/>
    <s v="Pari Dhawan"/>
    <x v="27"/>
    <s v="India"/>
    <s v="Online"/>
    <s v="Debit Card"/>
    <n v="102781"/>
    <n v="13483"/>
    <n v="94381"/>
    <n v="8400"/>
  </r>
  <r>
    <s v="TX0151"/>
    <x v="7"/>
    <n v="9"/>
    <n v="4295"/>
    <x v="150"/>
    <s v="Piya Krishnamurthy"/>
    <x v="9"/>
    <s v="India"/>
    <s v="Store"/>
    <s v="UPI"/>
    <n v="38655"/>
    <n v="3095"/>
    <n v="27855"/>
    <n v="10800"/>
  </r>
  <r>
    <s v="TX0152"/>
    <x v="8"/>
    <n v="9"/>
    <n v="7955"/>
    <x v="151"/>
    <s v="Kiaan Vig"/>
    <x v="16"/>
    <s v="India"/>
    <s v="Store"/>
    <s v="UPI"/>
    <n v="71595"/>
    <n v="6755"/>
    <n v="60795"/>
    <n v="10800"/>
  </r>
  <r>
    <s v="TX0153"/>
    <x v="6"/>
    <n v="4"/>
    <n v="19700"/>
    <x v="152"/>
    <s v="Siya Master"/>
    <x v="11"/>
    <s v="India"/>
    <s v="Direct"/>
    <s v="UPI"/>
    <n v="78800"/>
    <n v="18500"/>
    <n v="74000"/>
    <n v="4800"/>
  </r>
  <r>
    <s v="TX0154"/>
    <x v="2"/>
    <n v="7"/>
    <n v="10211"/>
    <x v="153"/>
    <s v="Anay Bhagat"/>
    <x v="7"/>
    <s v="India"/>
    <s v="Online"/>
    <s v="Cash"/>
    <n v="71477"/>
    <n v="9011"/>
    <n v="63077"/>
    <n v="8400"/>
  </r>
  <r>
    <s v="TX0155"/>
    <x v="7"/>
    <n v="2"/>
    <n v="3007"/>
    <x v="154"/>
    <s v="Prerak Devan"/>
    <x v="20"/>
    <s v="India"/>
    <s v="Store"/>
    <s v="Credit Card"/>
    <n v="6014"/>
    <n v="1807"/>
    <n v="3614"/>
    <n v="2400"/>
  </r>
  <r>
    <s v="TX0156"/>
    <x v="2"/>
    <n v="8"/>
    <n v="6820"/>
    <x v="155"/>
    <s v="Jayan Raja"/>
    <x v="1"/>
    <s v="India"/>
    <s v="Online"/>
    <s v="Net Banking"/>
    <n v="54560"/>
    <n v="5620"/>
    <n v="44960"/>
    <n v="9600"/>
  </r>
  <r>
    <s v="TX0157"/>
    <x v="6"/>
    <n v="5"/>
    <n v="18062"/>
    <x v="156"/>
    <s v="Kismat Thaker"/>
    <x v="1"/>
    <s v="India"/>
    <s v="Direct"/>
    <s v="Credit Card"/>
    <n v="90310"/>
    <n v="16862"/>
    <n v="84310"/>
    <n v="6000"/>
  </r>
  <r>
    <s v="TX0158"/>
    <x v="2"/>
    <n v="3"/>
    <n v="18592"/>
    <x v="157"/>
    <s v="Anahita Sundaram"/>
    <x v="21"/>
    <s v="India"/>
    <s v="Direct"/>
    <s v="Cash"/>
    <n v="55776"/>
    <n v="17392"/>
    <n v="52176"/>
    <n v="3600"/>
  </r>
  <r>
    <s v="TX0159"/>
    <x v="0"/>
    <n v="1"/>
    <n v="4233"/>
    <x v="158"/>
    <s v="Arhaan Rau"/>
    <x v="1"/>
    <s v="India"/>
    <s v="Store"/>
    <s v="Net Banking"/>
    <n v="4233"/>
    <n v="3033"/>
    <n v="3033"/>
    <n v="1200"/>
  </r>
  <r>
    <s v="TX0160"/>
    <x v="6"/>
    <n v="9"/>
    <n v="18005"/>
    <x v="159"/>
    <s v="Anahi Ratta"/>
    <x v="15"/>
    <s v="India"/>
    <s v="Online"/>
    <s v="UPI"/>
    <n v="162045"/>
    <n v="16805"/>
    <n v="151245"/>
    <n v="10800"/>
  </r>
  <r>
    <s v="TX0161"/>
    <x v="1"/>
    <n v="3"/>
    <n v="4326"/>
    <x v="160"/>
    <s v="Parinaaz Balay"/>
    <x v="1"/>
    <s v="India"/>
    <s v="Store"/>
    <s v="Credit Card"/>
    <n v="12978"/>
    <n v="3126"/>
    <n v="9378"/>
    <n v="3600"/>
  </r>
  <r>
    <s v="TX0162"/>
    <x v="9"/>
    <n v="8"/>
    <n v="19800"/>
    <x v="161"/>
    <s v="Vanya Chowdhury"/>
    <x v="6"/>
    <s v="India"/>
    <s v="Store"/>
    <s v="Cash"/>
    <n v="158400"/>
    <n v="18600"/>
    <n v="148800"/>
    <n v="9600"/>
  </r>
  <r>
    <s v="TX0163"/>
    <x v="1"/>
    <n v="9"/>
    <n v="3193"/>
    <x v="162"/>
    <s v="Jhanvi Zacharia"/>
    <x v="7"/>
    <s v="India"/>
    <s v="Online"/>
    <s v="UPI"/>
    <n v="28737"/>
    <n v="1993"/>
    <n v="17937"/>
    <n v="10800"/>
  </r>
  <r>
    <s v="TX0164"/>
    <x v="5"/>
    <n v="5"/>
    <n v="12058"/>
    <x v="163"/>
    <s v="Shayak Halder"/>
    <x v="6"/>
    <s v="India"/>
    <s v="Store"/>
    <s v="UPI"/>
    <n v="60290"/>
    <n v="10858"/>
    <n v="54290"/>
    <n v="6000"/>
  </r>
  <r>
    <s v="TX0165"/>
    <x v="3"/>
    <n v="5"/>
    <n v="11820"/>
    <x v="164"/>
    <s v="Parinaaz Uppal"/>
    <x v="0"/>
    <s v="India"/>
    <s v="Direct"/>
    <s v="Debit Card"/>
    <n v="59100"/>
    <n v="10620"/>
    <n v="53100"/>
    <n v="6000"/>
  </r>
  <r>
    <s v="TX0166"/>
    <x v="5"/>
    <n v="2"/>
    <n v="17455"/>
    <x v="165"/>
    <s v="Farhan Jhaveri"/>
    <x v="8"/>
    <s v="India"/>
    <s v="Store"/>
    <s v="Cash"/>
    <n v="34910"/>
    <n v="16255"/>
    <n v="32510"/>
    <n v="2400"/>
  </r>
  <r>
    <s v="TX0167"/>
    <x v="9"/>
    <n v="8"/>
    <n v="2907"/>
    <x v="166"/>
    <s v="Ayesha Kar"/>
    <x v="11"/>
    <s v="India"/>
    <s v="Online"/>
    <s v="Cash"/>
    <n v="23256"/>
    <n v="1707"/>
    <n v="13656"/>
    <n v="9600"/>
  </r>
  <r>
    <s v="TX0168"/>
    <x v="6"/>
    <n v="7"/>
    <n v="18475"/>
    <x v="167"/>
    <s v="Anay Balakrishnan"/>
    <x v="15"/>
    <s v="India"/>
    <s v="Online"/>
    <s v="Credit Card"/>
    <n v="129325"/>
    <n v="17275"/>
    <n v="120925"/>
    <n v="8400"/>
  </r>
  <r>
    <s v="TX0169"/>
    <x v="5"/>
    <n v="5"/>
    <n v="14871"/>
    <x v="168"/>
    <s v="Vritika Sura"/>
    <x v="11"/>
    <s v="India"/>
    <s v="Online"/>
    <s v="Net Banking"/>
    <n v="74355"/>
    <n v="13671"/>
    <n v="68355"/>
    <n v="6000"/>
  </r>
  <r>
    <s v="TX0170"/>
    <x v="8"/>
    <n v="2"/>
    <n v="17223"/>
    <x v="169"/>
    <s v="Sara Sule"/>
    <x v="7"/>
    <s v="India"/>
    <s v="Direct"/>
    <s v="Credit Card"/>
    <n v="34446"/>
    <n v="16023"/>
    <n v="32046"/>
    <n v="2400"/>
  </r>
  <r>
    <s v="TX0171"/>
    <x v="7"/>
    <n v="6"/>
    <n v="3097"/>
    <x v="170"/>
    <s v="Lakshit Raval"/>
    <x v="7"/>
    <s v="India"/>
    <s v="Online"/>
    <s v="Debit Card"/>
    <n v="18582"/>
    <n v="1897"/>
    <n v="11382"/>
    <n v="7200"/>
  </r>
  <r>
    <s v="TX0172"/>
    <x v="1"/>
    <n v="8"/>
    <n v="14428"/>
    <x v="171"/>
    <s v="Hansh Randhawa"/>
    <x v="17"/>
    <s v="India"/>
    <s v="Online"/>
    <s v="Net Banking"/>
    <n v="115424"/>
    <n v="13228"/>
    <n v="105824"/>
    <n v="9600"/>
  </r>
  <r>
    <s v="TX0173"/>
    <x v="4"/>
    <n v="2"/>
    <n v="4792"/>
    <x v="172"/>
    <s v="Advika Kashyap"/>
    <x v="10"/>
    <s v="India"/>
    <s v="Direct"/>
    <s v="Cash"/>
    <n v="9584"/>
    <n v="3592"/>
    <n v="7184"/>
    <n v="2400"/>
  </r>
  <r>
    <s v="TX0174"/>
    <x v="7"/>
    <n v="4"/>
    <n v="16317"/>
    <x v="173"/>
    <s v="Lakshay Sinha"/>
    <x v="15"/>
    <s v="India"/>
    <s v="Store"/>
    <s v="Credit Card"/>
    <n v="65268"/>
    <n v="15117"/>
    <n v="60468"/>
    <n v="4800"/>
  </r>
  <r>
    <s v="TX0175"/>
    <x v="5"/>
    <n v="6"/>
    <n v="13791"/>
    <x v="174"/>
    <s v="Vidur Manne"/>
    <x v="8"/>
    <s v="India"/>
    <s v="Store"/>
    <s v="Debit Card"/>
    <n v="82746"/>
    <n v="12591"/>
    <n v="75546"/>
    <n v="7200"/>
  </r>
  <r>
    <s v="TX0176"/>
    <x v="8"/>
    <n v="8"/>
    <n v="11220"/>
    <x v="175"/>
    <s v="Riya Ganguly"/>
    <x v="3"/>
    <s v="India"/>
    <s v="Store"/>
    <s v="Credit Card"/>
    <n v="89760"/>
    <n v="10020"/>
    <n v="80160"/>
    <n v="9600"/>
  </r>
  <r>
    <s v="TX0177"/>
    <x v="4"/>
    <n v="4"/>
    <n v="3716"/>
    <x v="176"/>
    <s v="Baiju Goswami"/>
    <x v="9"/>
    <s v="India"/>
    <s v="Online"/>
    <s v="Net Banking"/>
    <n v="14864"/>
    <n v="2516"/>
    <n v="10064"/>
    <n v="4800"/>
  </r>
  <r>
    <s v="TX0178"/>
    <x v="5"/>
    <n v="7"/>
    <n v="16402"/>
    <x v="177"/>
    <s v="Dhanuk Chawla"/>
    <x v="26"/>
    <s v="India"/>
    <s v="Store"/>
    <s v="Debit Card"/>
    <n v="114814"/>
    <n v="15202"/>
    <n v="106414"/>
    <n v="8400"/>
  </r>
  <r>
    <s v="TX0179"/>
    <x v="1"/>
    <n v="7"/>
    <n v="9533"/>
    <x v="178"/>
    <s v="Divyansh Devan"/>
    <x v="21"/>
    <s v="India"/>
    <s v="Store"/>
    <s v="Credit Card"/>
    <n v="66731"/>
    <n v="8333"/>
    <n v="58331"/>
    <n v="8400"/>
  </r>
  <r>
    <s v="TX0180"/>
    <x v="8"/>
    <n v="8"/>
    <n v="5333"/>
    <x v="179"/>
    <s v="Onkar Banik"/>
    <x v="24"/>
    <s v="India"/>
    <s v="Direct"/>
    <s v="Credit Card"/>
    <n v="42664"/>
    <n v="4133"/>
    <n v="33064"/>
    <n v="9600"/>
  </r>
  <r>
    <s v="TX0181"/>
    <x v="8"/>
    <n v="2"/>
    <n v="10527"/>
    <x v="180"/>
    <s v="Nitya Vyas"/>
    <x v="19"/>
    <s v="India"/>
    <s v="Direct"/>
    <s v="Cash"/>
    <n v="21054"/>
    <n v="9327"/>
    <n v="18654"/>
    <n v="2400"/>
  </r>
  <r>
    <s v="TX0182"/>
    <x v="6"/>
    <n v="7"/>
    <n v="14111"/>
    <x v="181"/>
    <s v="Arnav Dutta"/>
    <x v="2"/>
    <s v="India"/>
    <s v="Direct"/>
    <s v="Debit Card"/>
    <n v="98777"/>
    <n v="12911"/>
    <n v="90377"/>
    <n v="8400"/>
  </r>
  <r>
    <s v="TX0183"/>
    <x v="1"/>
    <n v="1"/>
    <n v="17321"/>
    <x v="182"/>
    <s v="Uthkarsh Kuruvilla"/>
    <x v="0"/>
    <s v="India"/>
    <s v="Online"/>
    <s v="UPI"/>
    <n v="17321"/>
    <n v="16121"/>
    <n v="16121"/>
    <n v="1200"/>
  </r>
  <r>
    <s v="TX0184"/>
    <x v="6"/>
    <n v="4"/>
    <n v="2662"/>
    <x v="183"/>
    <s v="Myra Mangal"/>
    <x v="27"/>
    <s v="India"/>
    <s v="Online"/>
    <s v="Net Banking"/>
    <n v="10648"/>
    <n v="1462"/>
    <n v="5848"/>
    <n v="4800"/>
  </r>
  <r>
    <s v="TX0185"/>
    <x v="3"/>
    <n v="9"/>
    <n v="16809"/>
    <x v="184"/>
    <s v="Bhavin Raja"/>
    <x v="20"/>
    <s v="India"/>
    <s v="Direct"/>
    <s v="Net Banking"/>
    <n v="151281"/>
    <n v="14809"/>
    <n v="133281"/>
    <n v="18000"/>
  </r>
  <r>
    <s v="TX0186"/>
    <x v="2"/>
    <n v="5"/>
    <n v="11433"/>
    <x v="185"/>
    <s v="Biju Chaudhuri"/>
    <x v="22"/>
    <s v="India"/>
    <s v="Store"/>
    <s v="Debit Card"/>
    <n v="57165"/>
    <n v="9433"/>
    <n v="47165"/>
    <n v="10000"/>
  </r>
  <r>
    <s v="TX0187"/>
    <x v="4"/>
    <n v="2"/>
    <n v="9998"/>
    <x v="186"/>
    <s v="Dharmajan Bahl"/>
    <x v="23"/>
    <s v="India"/>
    <s v="Online"/>
    <s v="Net Banking"/>
    <n v="19996"/>
    <n v="7998"/>
    <n v="15996"/>
    <n v="4000"/>
  </r>
  <r>
    <s v="TX0188"/>
    <x v="3"/>
    <n v="5"/>
    <n v="10989"/>
    <x v="187"/>
    <s v="Aaina Dhingra"/>
    <x v="5"/>
    <s v="India"/>
    <s v="Store"/>
    <s v="UPI"/>
    <n v="54945"/>
    <n v="8989"/>
    <n v="44945"/>
    <n v="10000"/>
  </r>
  <r>
    <s v="TX0189"/>
    <x v="4"/>
    <n v="6"/>
    <n v="11993"/>
    <x v="188"/>
    <s v="Parinaaz Lall"/>
    <x v="13"/>
    <s v="India"/>
    <s v="Store"/>
    <s v="Cash"/>
    <n v="71958"/>
    <n v="9993"/>
    <n v="59958"/>
    <n v="12000"/>
  </r>
  <r>
    <s v="TX0190"/>
    <x v="8"/>
    <n v="1"/>
    <n v="13133"/>
    <x v="189"/>
    <s v="Zain Lad"/>
    <x v="1"/>
    <s v="India"/>
    <s v="Store"/>
    <s v="Cash"/>
    <n v="13133"/>
    <n v="11133"/>
    <n v="11133"/>
    <n v="2000"/>
  </r>
  <r>
    <s v="TX0191"/>
    <x v="5"/>
    <n v="4"/>
    <n v="13111"/>
    <x v="190"/>
    <s v="Prerak Vasa"/>
    <x v="23"/>
    <s v="India"/>
    <s v="Store"/>
    <s v="UPI"/>
    <n v="52444"/>
    <n v="11111"/>
    <n v="44444"/>
    <n v="8000"/>
  </r>
  <r>
    <s v="TX0192"/>
    <x v="8"/>
    <n v="2"/>
    <n v="5794"/>
    <x v="191"/>
    <s v="Siya Sachdeva"/>
    <x v="22"/>
    <s v="India"/>
    <s v="Online"/>
    <s v="UPI"/>
    <n v="11588"/>
    <n v="3794"/>
    <n v="7588"/>
    <n v="4000"/>
  </r>
  <r>
    <s v="TX0193"/>
    <x v="8"/>
    <n v="5"/>
    <n v="9752"/>
    <x v="192"/>
    <s v="Uthkarsh Taneja"/>
    <x v="19"/>
    <s v="India"/>
    <s v="Direct"/>
    <s v="Credit Card"/>
    <n v="48760"/>
    <n v="7752"/>
    <n v="38760"/>
    <n v="10000"/>
  </r>
  <r>
    <s v="TX0194"/>
    <x v="1"/>
    <n v="5"/>
    <n v="18639"/>
    <x v="193"/>
    <s v="Seher De"/>
    <x v="8"/>
    <s v="India"/>
    <s v="Direct"/>
    <s v="UPI"/>
    <n v="93195"/>
    <n v="16639"/>
    <n v="83195"/>
    <n v="10000"/>
  </r>
  <r>
    <s v="TX0195"/>
    <x v="4"/>
    <n v="5"/>
    <n v="8770"/>
    <x v="194"/>
    <s v="Hridaan Chaudry"/>
    <x v="10"/>
    <s v="India"/>
    <s v="Direct"/>
    <s v="Credit Card"/>
    <n v="43850"/>
    <n v="6770"/>
    <n v="33850"/>
    <n v="10000"/>
  </r>
  <r>
    <s v="TX0196"/>
    <x v="9"/>
    <n v="1"/>
    <n v="8385"/>
    <x v="195"/>
    <s v="Dhruv Sathe"/>
    <x v="0"/>
    <s v="India"/>
    <s v="Store"/>
    <s v="Net Banking"/>
    <n v="8385"/>
    <n v="6385"/>
    <n v="6385"/>
    <n v="2000"/>
  </r>
  <r>
    <s v="TX0197"/>
    <x v="1"/>
    <n v="1"/>
    <n v="11527"/>
    <x v="196"/>
    <s v="Yuvaan Ravel"/>
    <x v="23"/>
    <s v="India"/>
    <s v="Direct"/>
    <s v="Net Banking"/>
    <n v="11527"/>
    <n v="9527"/>
    <n v="9527"/>
    <n v="2000"/>
  </r>
  <r>
    <s v="TX0198"/>
    <x v="4"/>
    <n v="9"/>
    <n v="18074"/>
    <x v="197"/>
    <s v="Anahi Wagle"/>
    <x v="12"/>
    <s v="India"/>
    <s v="Store"/>
    <s v="Cash"/>
    <n v="162666"/>
    <n v="16074"/>
    <n v="144666"/>
    <n v="18000"/>
  </r>
  <r>
    <s v="TX0199"/>
    <x v="4"/>
    <n v="5"/>
    <n v="7400"/>
    <x v="198"/>
    <s v="Kiara Rao"/>
    <x v="5"/>
    <s v="India"/>
    <s v="Direct"/>
    <s v="Net Banking"/>
    <n v="37000"/>
    <n v="5400"/>
    <n v="27000"/>
    <n v="10000"/>
  </r>
  <r>
    <s v="TX0200"/>
    <x v="3"/>
    <n v="7"/>
    <n v="3677"/>
    <x v="199"/>
    <s v="Taimur Tara"/>
    <x v="6"/>
    <s v="India"/>
    <s v="Online"/>
    <s v="Credit Card"/>
    <n v="25739"/>
    <n v="1677"/>
    <n v="11739"/>
    <n v="14000"/>
  </r>
  <r>
    <s v="TX0201"/>
    <x v="9"/>
    <n v="4"/>
    <n v="8149"/>
    <x v="200"/>
    <s v="Pranay Bhagat"/>
    <x v="26"/>
    <s v="India"/>
    <s v="Store"/>
    <s v="UPI"/>
    <n v="32596"/>
    <n v="6149"/>
    <n v="24596"/>
    <n v="8000"/>
  </r>
  <r>
    <s v="TX0202"/>
    <x v="0"/>
    <n v="4"/>
    <n v="7735"/>
    <x v="201"/>
    <s v="Vritika Raju"/>
    <x v="14"/>
    <s v="India"/>
    <s v="Store"/>
    <s v="Net Banking"/>
    <n v="30940"/>
    <n v="5735"/>
    <n v="22940"/>
    <n v="8000"/>
  </r>
  <r>
    <s v="TX0203"/>
    <x v="5"/>
    <n v="3"/>
    <n v="17409"/>
    <x v="202"/>
    <s v="Samar Joshi"/>
    <x v="10"/>
    <s v="India"/>
    <s v="Store"/>
    <s v="Net Banking"/>
    <n v="52227"/>
    <n v="15409"/>
    <n v="46227"/>
    <n v="6000"/>
  </r>
  <r>
    <s v="TX0204"/>
    <x v="1"/>
    <n v="2"/>
    <n v="19765"/>
    <x v="203"/>
    <s v="Amira Bhardwaj"/>
    <x v="24"/>
    <s v="India"/>
    <s v="Online"/>
    <s v="Net Banking"/>
    <n v="39530"/>
    <n v="17765"/>
    <n v="35530"/>
    <n v="4000"/>
  </r>
  <r>
    <s v="TX0205"/>
    <x v="8"/>
    <n v="3"/>
    <n v="6248"/>
    <x v="204"/>
    <s v="Bhamini Sangha"/>
    <x v="5"/>
    <s v="India"/>
    <s v="Online"/>
    <s v="Debit Card"/>
    <n v="18744"/>
    <n v="4248"/>
    <n v="12744"/>
    <n v="6000"/>
  </r>
  <r>
    <s v="TX0206"/>
    <x v="0"/>
    <n v="2"/>
    <n v="14351"/>
    <x v="205"/>
    <s v="Jiya Sama"/>
    <x v="25"/>
    <s v="India"/>
    <s v="Direct"/>
    <s v="UPI"/>
    <n v="28702"/>
    <n v="12351"/>
    <n v="24702"/>
    <n v="4000"/>
  </r>
  <r>
    <s v="TX0207"/>
    <x v="5"/>
    <n v="4"/>
    <n v="3565"/>
    <x v="206"/>
    <s v="Manjari Shenoy"/>
    <x v="3"/>
    <s v="India"/>
    <s v="Store"/>
    <s v="Cash"/>
    <n v="14260"/>
    <n v="1565"/>
    <n v="6260"/>
    <n v="8000"/>
  </r>
  <r>
    <s v="TX0208"/>
    <x v="6"/>
    <n v="5"/>
    <n v="6593"/>
    <x v="207"/>
    <s v="Neelofar Rau"/>
    <x v="3"/>
    <s v="India"/>
    <s v="Store"/>
    <s v="UPI"/>
    <n v="32965"/>
    <n v="4593"/>
    <n v="22965"/>
    <n v="10000"/>
  </r>
  <r>
    <s v="TX0209"/>
    <x v="2"/>
    <n v="2"/>
    <n v="12602"/>
    <x v="208"/>
    <s v="Yuvraj  Dugal"/>
    <x v="6"/>
    <s v="India"/>
    <s v="Online"/>
    <s v="Net Banking"/>
    <n v="25204"/>
    <n v="10602"/>
    <n v="21204"/>
    <n v="4000"/>
  </r>
  <r>
    <s v="TX0210"/>
    <x v="8"/>
    <n v="2"/>
    <n v="5339"/>
    <x v="209"/>
    <s v="Umang Dalal"/>
    <x v="8"/>
    <s v="India"/>
    <s v="Online"/>
    <s v="Credit Card"/>
    <n v="10678"/>
    <n v="3339"/>
    <n v="6678"/>
    <n v="4000"/>
  </r>
  <r>
    <s v="TX0211"/>
    <x v="1"/>
    <n v="1"/>
    <n v="9615"/>
    <x v="210"/>
    <s v="Emir Lal"/>
    <x v="19"/>
    <s v="India"/>
    <s v="Online"/>
    <s v="Cash"/>
    <n v="9615"/>
    <n v="7615"/>
    <n v="7615"/>
    <n v="2000"/>
  </r>
  <r>
    <s v="TX0212"/>
    <x v="5"/>
    <n v="8"/>
    <n v="11504"/>
    <x v="211"/>
    <s v="Dhanuk Dube"/>
    <x v="15"/>
    <s v="India"/>
    <s v="Direct"/>
    <s v="Net Banking"/>
    <n v="92032"/>
    <n v="9504"/>
    <n v="76032"/>
    <n v="16000"/>
  </r>
  <r>
    <s v="TX0213"/>
    <x v="5"/>
    <n v="9"/>
    <n v="8337"/>
    <x v="212"/>
    <s v="Manjari Dhar"/>
    <x v="20"/>
    <s v="India"/>
    <s v="Store"/>
    <s v="Credit Card"/>
    <n v="75033"/>
    <n v="6337"/>
    <n v="57033"/>
    <n v="18000"/>
  </r>
  <r>
    <s v="TX0214"/>
    <x v="2"/>
    <n v="5"/>
    <n v="7241"/>
    <x v="213"/>
    <s v="Uthkarsh Garde"/>
    <x v="24"/>
    <s v="India"/>
    <s v="Direct"/>
    <s v="Cash"/>
    <n v="36205"/>
    <n v="5241"/>
    <n v="26205"/>
    <n v="10000"/>
  </r>
  <r>
    <s v="TX0215"/>
    <x v="4"/>
    <n v="4"/>
    <n v="18757"/>
    <x v="214"/>
    <s v="Jayant Kala"/>
    <x v="27"/>
    <s v="India"/>
    <s v="Store"/>
    <s v="Net Banking"/>
    <n v="75028"/>
    <n v="16757"/>
    <n v="67028"/>
    <n v="8000"/>
  </r>
  <r>
    <s v="TX0216"/>
    <x v="4"/>
    <n v="6"/>
    <n v="2833"/>
    <x v="215"/>
    <s v="Eshani Kari"/>
    <x v="8"/>
    <s v="India"/>
    <s v="Store"/>
    <s v="Credit Card"/>
    <n v="16998"/>
    <n v="833"/>
    <n v="4998"/>
    <n v="12000"/>
  </r>
  <r>
    <s v="TX0217"/>
    <x v="9"/>
    <n v="7"/>
    <n v="16074"/>
    <x v="216"/>
    <s v="Kismat Rama"/>
    <x v="22"/>
    <s v="India"/>
    <s v="Online"/>
    <s v="Net Banking"/>
    <n v="112518"/>
    <n v="14074"/>
    <n v="98518"/>
    <n v="14000"/>
  </r>
  <r>
    <s v="TX0218"/>
    <x v="2"/>
    <n v="4"/>
    <n v="4073"/>
    <x v="217"/>
    <s v="Samiha Hayre"/>
    <x v="0"/>
    <s v="India"/>
    <s v="Direct"/>
    <s v="Credit Card"/>
    <n v="16292"/>
    <n v="2073"/>
    <n v="8292"/>
    <n v="8000"/>
  </r>
  <r>
    <s v="TX0219"/>
    <x v="2"/>
    <n v="3"/>
    <n v="14236"/>
    <x v="218"/>
    <s v="Samiha Sanghvi"/>
    <x v="13"/>
    <s v="India"/>
    <s v="Online"/>
    <s v="UPI"/>
    <n v="42708"/>
    <n v="12236"/>
    <n v="36708"/>
    <n v="6000"/>
  </r>
  <r>
    <s v="TX0220"/>
    <x v="8"/>
    <n v="9"/>
    <n v="8216"/>
    <x v="219"/>
    <s v="Aarav Kothari"/>
    <x v="25"/>
    <s v="India"/>
    <s v="Direct"/>
    <s v="Debit Card"/>
    <n v="73944"/>
    <n v="6916"/>
    <n v="62244"/>
    <n v="11700"/>
  </r>
  <r>
    <s v="TX0221"/>
    <x v="3"/>
    <n v="2"/>
    <n v="16860"/>
    <x v="220"/>
    <s v="Veer Sampath"/>
    <x v="21"/>
    <s v="India"/>
    <s v="Online"/>
    <s v="Credit Card"/>
    <n v="33720"/>
    <n v="15560"/>
    <n v="31120"/>
    <n v="2600"/>
  </r>
  <r>
    <s v="TX0222"/>
    <x v="9"/>
    <n v="5"/>
    <n v="4968"/>
    <x v="221"/>
    <s v="Raghav Edwin"/>
    <x v="19"/>
    <s v="India"/>
    <s v="Store"/>
    <s v="Net Banking"/>
    <n v="24840"/>
    <n v="3668"/>
    <n v="18340"/>
    <n v="6500"/>
  </r>
  <r>
    <s v="TX0223"/>
    <x v="2"/>
    <n v="1"/>
    <n v="14435"/>
    <x v="222"/>
    <s v="Nishith Som"/>
    <x v="8"/>
    <s v="India"/>
    <s v="Store"/>
    <s v="Net Banking"/>
    <n v="14435"/>
    <n v="13135"/>
    <n v="13135"/>
    <n v="1300"/>
  </r>
  <r>
    <s v="TX0224"/>
    <x v="8"/>
    <n v="9"/>
    <n v="19332"/>
    <x v="223"/>
    <s v="Pari Koshy"/>
    <x v="13"/>
    <s v="India"/>
    <s v="Online"/>
    <s v="Net Banking"/>
    <n v="173988"/>
    <n v="18032"/>
    <n v="162288"/>
    <n v="11700"/>
  </r>
  <r>
    <s v="TX0225"/>
    <x v="5"/>
    <n v="4"/>
    <n v="17452"/>
    <x v="224"/>
    <s v="Reyansh Kohli"/>
    <x v="1"/>
    <s v="India"/>
    <s v="Online"/>
    <s v="Cash"/>
    <n v="69808"/>
    <n v="16152"/>
    <n v="64608"/>
    <n v="5200"/>
  </r>
  <r>
    <s v="TX0226"/>
    <x v="2"/>
    <n v="6"/>
    <n v="7347"/>
    <x v="225"/>
    <s v="Manjari Handa"/>
    <x v="16"/>
    <s v="India"/>
    <s v="Direct"/>
    <s v="Credit Card"/>
    <n v="44082"/>
    <n v="6047"/>
    <n v="36282"/>
    <n v="7800"/>
  </r>
  <r>
    <s v="TX0227"/>
    <x v="4"/>
    <n v="6"/>
    <n v="14323"/>
    <x v="226"/>
    <s v="Indranil Agrawal"/>
    <x v="12"/>
    <s v="India"/>
    <s v="Store"/>
    <s v="UPI"/>
    <n v="85938"/>
    <n v="13023"/>
    <n v="78138"/>
    <n v="7800"/>
  </r>
  <r>
    <s v="TX0228"/>
    <x v="8"/>
    <n v="2"/>
    <n v="4257"/>
    <x v="227"/>
    <s v="Badal Choudhary"/>
    <x v="19"/>
    <s v="India"/>
    <s v="Store"/>
    <s v="Net Banking"/>
    <n v="8514"/>
    <n v="2957"/>
    <n v="5914"/>
    <n v="2600"/>
  </r>
  <r>
    <s v="TX0229"/>
    <x v="8"/>
    <n v="8"/>
    <n v="3175"/>
    <x v="228"/>
    <s v="Purab Raja"/>
    <x v="16"/>
    <s v="India"/>
    <s v="Store"/>
    <s v="Cash"/>
    <n v="25400"/>
    <n v="1875"/>
    <n v="15000"/>
    <n v="10400"/>
  </r>
  <r>
    <s v="TX0230"/>
    <x v="4"/>
    <n v="9"/>
    <n v="12301"/>
    <x v="229"/>
    <s v="Nitara Jha"/>
    <x v="1"/>
    <s v="India"/>
    <s v="Direct"/>
    <s v="Cash"/>
    <n v="110709"/>
    <n v="11001"/>
    <n v="99009"/>
    <n v="11700"/>
  </r>
  <r>
    <s v="TX0231"/>
    <x v="6"/>
    <n v="7"/>
    <n v="19589"/>
    <x v="230"/>
    <s v="Suhana Konda"/>
    <x v="9"/>
    <s v="India"/>
    <s v="Store"/>
    <s v="Cash"/>
    <n v="137123"/>
    <n v="18289"/>
    <n v="128023"/>
    <n v="9100"/>
  </r>
  <r>
    <s v="TX0232"/>
    <x v="1"/>
    <n v="5"/>
    <n v="7549"/>
    <x v="231"/>
    <s v="Hiran Tata"/>
    <x v="1"/>
    <s v="India"/>
    <s v="Direct"/>
    <s v="UPI"/>
    <n v="37745"/>
    <n v="6249"/>
    <n v="31245"/>
    <n v="6500"/>
  </r>
  <r>
    <s v="TX0233"/>
    <x v="5"/>
    <n v="8"/>
    <n v="12350"/>
    <x v="232"/>
    <s v="Ayesha Sarraf"/>
    <x v="21"/>
    <s v="India"/>
    <s v="Store"/>
    <s v="Cash"/>
    <n v="98800"/>
    <n v="11050"/>
    <n v="88400"/>
    <n v="10400"/>
  </r>
  <r>
    <s v="TX0234"/>
    <x v="0"/>
    <n v="4"/>
    <n v="7779"/>
    <x v="233"/>
    <s v="Indranil Sinha"/>
    <x v="15"/>
    <s v="India"/>
    <s v="Direct"/>
    <s v="Debit Card"/>
    <n v="31116"/>
    <n v="6479"/>
    <n v="25916"/>
    <n v="5200"/>
  </r>
  <r>
    <s v="TX0235"/>
    <x v="4"/>
    <n v="6"/>
    <n v="3258"/>
    <x v="234"/>
    <s v="Kaira Keer"/>
    <x v="26"/>
    <s v="India"/>
    <s v="Online"/>
    <s v="Cash"/>
    <n v="19548"/>
    <n v="1958"/>
    <n v="11748"/>
    <n v="7800"/>
  </r>
  <r>
    <s v="TX0236"/>
    <x v="9"/>
    <n v="4"/>
    <n v="3901"/>
    <x v="235"/>
    <s v="Vivaan Thaker"/>
    <x v="3"/>
    <s v="India"/>
    <s v="Online"/>
    <s v="Credit Card"/>
    <n v="15604"/>
    <n v="2601"/>
    <n v="10404"/>
    <n v="5200"/>
  </r>
  <r>
    <s v="TX0237"/>
    <x v="6"/>
    <n v="7"/>
    <n v="7042"/>
    <x v="236"/>
    <s v="Nehmat Mahajan"/>
    <x v="25"/>
    <s v="India"/>
    <s v="Direct"/>
    <s v="Debit Card"/>
    <n v="49294"/>
    <n v="5742"/>
    <n v="40194"/>
    <n v="9100"/>
  </r>
  <r>
    <s v="TX0238"/>
    <x v="9"/>
    <n v="5"/>
    <n v="17937"/>
    <x v="237"/>
    <s v="Urvi Shankar"/>
    <x v="26"/>
    <s v="India"/>
    <s v="Direct"/>
    <s v="Net Banking"/>
    <n v="89685"/>
    <n v="16637"/>
    <n v="83185"/>
    <n v="6500"/>
  </r>
  <r>
    <s v="TX0239"/>
    <x v="5"/>
    <n v="8"/>
    <n v="18978"/>
    <x v="238"/>
    <s v="Taimur Tank"/>
    <x v="4"/>
    <s v="India"/>
    <s v="Online"/>
    <s v="Net Banking"/>
    <n v="151824"/>
    <n v="17678"/>
    <n v="141424"/>
    <n v="10400"/>
  </r>
  <r>
    <s v="TX0240"/>
    <x v="8"/>
    <n v="4"/>
    <n v="19870"/>
    <x v="239"/>
    <s v="Tarini Din"/>
    <x v="7"/>
    <s v="India"/>
    <s v="Online"/>
    <s v="Debit Card"/>
    <n v="79480"/>
    <n v="18570"/>
    <n v="74280"/>
    <n v="5200"/>
  </r>
  <r>
    <s v="TX0241"/>
    <x v="0"/>
    <n v="1"/>
    <n v="2101"/>
    <x v="240"/>
    <s v="Rasha Sundaram"/>
    <x v="22"/>
    <s v="India"/>
    <s v="Direct"/>
    <s v="Cash"/>
    <n v="2101"/>
    <n v="801"/>
    <n v="801"/>
    <n v="1300"/>
  </r>
  <r>
    <s v="TX0242"/>
    <x v="5"/>
    <n v="6"/>
    <n v="16920"/>
    <x v="241"/>
    <s v="Saanvi Brar"/>
    <x v="0"/>
    <s v="India"/>
    <s v="Direct"/>
    <s v="Debit Card"/>
    <n v="101520"/>
    <n v="15620"/>
    <n v="93720"/>
    <n v="7800"/>
  </r>
  <r>
    <s v="TX0243"/>
    <x v="0"/>
    <n v="4"/>
    <n v="8834"/>
    <x v="242"/>
    <s v="Rohan Verma"/>
    <x v="8"/>
    <s v="India"/>
    <s v="Store"/>
    <s v="Debit Card"/>
    <n v="35336"/>
    <n v="7534"/>
    <n v="30136"/>
    <n v="5200"/>
  </r>
  <r>
    <s v="TX0244"/>
    <x v="6"/>
    <n v="8"/>
    <n v="12274"/>
    <x v="243"/>
    <s v="Shray Jain"/>
    <x v="20"/>
    <s v="India"/>
    <s v="Store"/>
    <s v="Cash"/>
    <n v="98192"/>
    <n v="10974"/>
    <n v="87792"/>
    <n v="10400"/>
  </r>
  <r>
    <s v="TX0245"/>
    <x v="3"/>
    <n v="6"/>
    <n v="19370"/>
    <x v="244"/>
    <s v="Manikya Sani"/>
    <x v="16"/>
    <s v="India"/>
    <s v="Online"/>
    <s v="Credit Card"/>
    <n v="116220"/>
    <n v="18070"/>
    <n v="108420"/>
    <n v="7800"/>
  </r>
  <r>
    <s v="TX0246"/>
    <x v="7"/>
    <n v="6"/>
    <n v="10715"/>
    <x v="245"/>
    <s v="Rania Bahri"/>
    <x v="2"/>
    <s v="India"/>
    <s v="Online"/>
    <s v="Credit Card"/>
    <n v="64290"/>
    <n v="9415"/>
    <n v="56490"/>
    <n v="7800"/>
  </r>
  <r>
    <s v="TX0247"/>
    <x v="8"/>
    <n v="9"/>
    <n v="5211"/>
    <x v="246"/>
    <s v="Nishith Kata"/>
    <x v="21"/>
    <s v="India"/>
    <s v="Direct"/>
    <s v="Debit Card"/>
    <n v="46899"/>
    <n v="3911"/>
    <n v="35199"/>
    <n v="11700"/>
  </r>
  <r>
    <s v="TX0248"/>
    <x v="2"/>
    <n v="1"/>
    <n v="12600"/>
    <x v="247"/>
    <s v="Hansh Basak"/>
    <x v="9"/>
    <s v="India"/>
    <s v="Online"/>
    <s v="UPI"/>
    <n v="12600"/>
    <n v="11300"/>
    <n v="11300"/>
    <n v="1300"/>
  </r>
  <r>
    <s v="TX0249"/>
    <x v="5"/>
    <n v="9"/>
    <n v="8564"/>
    <x v="248"/>
    <s v="Taimur Vala"/>
    <x v="24"/>
    <s v="India"/>
    <s v="Direct"/>
    <s v="Net Banking"/>
    <n v="77076"/>
    <n v="7264"/>
    <n v="65376"/>
    <n v="11700"/>
  </r>
  <r>
    <s v="TX0250"/>
    <x v="5"/>
    <n v="4"/>
    <n v="7936"/>
    <x v="249"/>
    <s v="Yuvraj  Gole"/>
    <x v="25"/>
    <s v="India"/>
    <s v="Store"/>
    <s v="Debit Card"/>
    <n v="31744"/>
    <n v="6636"/>
    <n v="26544"/>
    <n v="5200"/>
  </r>
  <r>
    <s v="TX0251"/>
    <x v="6"/>
    <n v="7"/>
    <n v="16941"/>
    <x v="250"/>
    <s v="Tiya Bhandari"/>
    <x v="3"/>
    <s v="India"/>
    <s v="Store"/>
    <s v="Credit Card"/>
    <n v="118587"/>
    <n v="15641"/>
    <n v="109487"/>
    <n v="9100"/>
  </r>
  <r>
    <s v="TX0252"/>
    <x v="4"/>
    <n v="4"/>
    <n v="7666"/>
    <x v="251"/>
    <s v="Fateh Aggarwal"/>
    <x v="7"/>
    <s v="India"/>
    <s v="Store"/>
    <s v="Cash"/>
    <n v="30664"/>
    <n v="6366"/>
    <n v="25464"/>
    <n v="5200"/>
  </r>
  <r>
    <s v="TX0253"/>
    <x v="5"/>
    <n v="3"/>
    <n v="15002"/>
    <x v="252"/>
    <s v="Ishita Mann"/>
    <x v="23"/>
    <s v="India"/>
    <s v="Direct"/>
    <s v="Cash"/>
    <n v="45006"/>
    <n v="13702"/>
    <n v="41106"/>
    <n v="3900"/>
  </r>
  <r>
    <s v="TX0254"/>
    <x v="8"/>
    <n v="8"/>
    <n v="5532"/>
    <x v="253"/>
    <s v="Saanvi Kamdar"/>
    <x v="1"/>
    <s v="India"/>
    <s v="Direct"/>
    <s v="UPI"/>
    <n v="44256"/>
    <n v="4232"/>
    <n v="33856"/>
    <n v="10400"/>
  </r>
  <r>
    <s v="TX0255"/>
    <x v="0"/>
    <n v="1"/>
    <n v="4801"/>
    <x v="254"/>
    <s v="Gokul Bawa"/>
    <x v="22"/>
    <s v="India"/>
    <s v="Online"/>
    <s v="Debit Card"/>
    <n v="4801"/>
    <n v="3501"/>
    <n v="3501"/>
    <n v="1300"/>
  </r>
  <r>
    <s v="TX0256"/>
    <x v="9"/>
    <n v="4"/>
    <n v="9463"/>
    <x v="255"/>
    <s v="Sumer Krishna"/>
    <x v="5"/>
    <s v="India"/>
    <s v="Online"/>
    <s v="Cash"/>
    <n v="37852"/>
    <n v="8163"/>
    <n v="32652"/>
    <n v="5200"/>
  </r>
  <r>
    <s v="TX0257"/>
    <x v="9"/>
    <n v="1"/>
    <n v="7103"/>
    <x v="256"/>
    <s v="Renee Kaul"/>
    <x v="25"/>
    <s v="India"/>
    <s v="Direct"/>
    <s v="Debit Card"/>
    <n v="7103"/>
    <n v="5803"/>
    <n v="5803"/>
    <n v="1300"/>
  </r>
  <r>
    <s v="TX0258"/>
    <x v="2"/>
    <n v="4"/>
    <n v="2075"/>
    <x v="257"/>
    <s v="Yashvi Acharya"/>
    <x v="2"/>
    <s v="India"/>
    <s v="Direct"/>
    <s v="Net Banking"/>
    <n v="8300"/>
    <n v="775"/>
    <n v="3100"/>
    <n v="5200"/>
  </r>
  <r>
    <s v="TX0259"/>
    <x v="8"/>
    <n v="7"/>
    <n v="3966"/>
    <x v="258"/>
    <s v="Jayant Madan"/>
    <x v="8"/>
    <s v="India"/>
    <s v="Online"/>
    <s v="Credit Card"/>
    <n v="27762"/>
    <n v="2666"/>
    <n v="18662"/>
    <n v="9100"/>
  </r>
  <r>
    <s v="TX0260"/>
    <x v="4"/>
    <n v="2"/>
    <n v="14201"/>
    <x v="259"/>
    <s v="Charvi Varghese"/>
    <x v="13"/>
    <s v="India"/>
    <s v="Store"/>
    <s v="Credit Card"/>
    <n v="28402"/>
    <n v="12901"/>
    <n v="25802"/>
    <n v="2600"/>
  </r>
  <r>
    <s v="TX0261"/>
    <x v="9"/>
    <n v="3"/>
    <n v="6090"/>
    <x v="260"/>
    <s v="Ryan Kanda"/>
    <x v="6"/>
    <s v="India"/>
    <s v="Store"/>
    <s v="Net Banking"/>
    <n v="18270"/>
    <n v="4790"/>
    <n v="14370"/>
    <n v="3900"/>
  </r>
  <r>
    <s v="TX0262"/>
    <x v="9"/>
    <n v="5"/>
    <n v="5715"/>
    <x v="261"/>
    <s v="Ahana  Jain"/>
    <x v="24"/>
    <s v="India"/>
    <s v="Store"/>
    <s v="Cash"/>
    <n v="28575"/>
    <n v="4415"/>
    <n v="22075"/>
    <n v="6500"/>
  </r>
  <r>
    <s v="TX0263"/>
    <x v="8"/>
    <n v="2"/>
    <n v="17679"/>
    <x v="262"/>
    <s v="Drishya Kara"/>
    <x v="1"/>
    <s v="India"/>
    <s v="Store"/>
    <s v="Debit Card"/>
    <n v="35358"/>
    <n v="16379"/>
    <n v="32758"/>
    <n v="2600"/>
  </r>
  <r>
    <s v="TX0264"/>
    <x v="0"/>
    <n v="4"/>
    <n v="17168"/>
    <x v="263"/>
    <s v="Aayush Choudhary"/>
    <x v="26"/>
    <s v="India"/>
    <s v="Direct"/>
    <s v="Net Banking"/>
    <n v="68672"/>
    <n v="15868"/>
    <n v="63472"/>
    <n v="5200"/>
  </r>
  <r>
    <s v="TX0265"/>
    <x v="3"/>
    <n v="3"/>
    <n v="9949"/>
    <x v="264"/>
    <s v="Faiyaz Ahuja"/>
    <x v="16"/>
    <s v="India"/>
    <s v="Online"/>
    <s v="Credit Card"/>
    <n v="29847"/>
    <n v="8649"/>
    <n v="25947"/>
    <n v="3900"/>
  </r>
  <r>
    <s v="TX0266"/>
    <x v="9"/>
    <n v="5"/>
    <n v="5878"/>
    <x v="265"/>
    <s v="Prerak Kohli"/>
    <x v="19"/>
    <s v="India"/>
    <s v="Direct"/>
    <s v="Net Banking"/>
    <n v="29390"/>
    <n v="4578"/>
    <n v="22890"/>
    <n v="6500"/>
  </r>
  <r>
    <s v="TX0267"/>
    <x v="3"/>
    <n v="8"/>
    <n v="6356"/>
    <x v="266"/>
    <s v="Shamik Kaul"/>
    <x v="5"/>
    <s v="India"/>
    <s v="Direct"/>
    <s v="Credit Card"/>
    <n v="50848"/>
    <n v="5056"/>
    <n v="40448"/>
    <n v="10400"/>
  </r>
  <r>
    <s v="TX0268"/>
    <x v="7"/>
    <n v="5"/>
    <n v="16851"/>
    <x v="267"/>
    <s v="Umang Handa"/>
    <x v="17"/>
    <s v="India"/>
    <s v="Online"/>
    <s v="Credit Card"/>
    <n v="84255"/>
    <n v="15551"/>
    <n v="77755"/>
    <n v="6500"/>
  </r>
  <r>
    <s v="TX0269"/>
    <x v="5"/>
    <n v="5"/>
    <n v="5216"/>
    <x v="268"/>
    <s v="Shaan Chhabra"/>
    <x v="21"/>
    <s v="India"/>
    <s v="Store"/>
    <s v="Credit Card"/>
    <n v="26080"/>
    <n v="3916"/>
    <n v="19580"/>
    <n v="6500"/>
  </r>
  <r>
    <s v="TX0270"/>
    <x v="6"/>
    <n v="2"/>
    <n v="4430"/>
    <x v="269"/>
    <s v="Zara Sen"/>
    <x v="18"/>
    <s v="India"/>
    <s v="Store"/>
    <s v="UPI"/>
    <n v="8860"/>
    <n v="3130"/>
    <n v="6260"/>
    <n v="2600"/>
  </r>
  <r>
    <s v="TX0271"/>
    <x v="6"/>
    <n v="3"/>
    <n v="10856"/>
    <x v="270"/>
    <s v="Miraan Gala"/>
    <x v="7"/>
    <s v="India"/>
    <s v="Online"/>
    <s v="Debit Card"/>
    <n v="32568"/>
    <n v="9556"/>
    <n v="28668"/>
    <n v="3900"/>
  </r>
  <r>
    <s v="TX0272"/>
    <x v="6"/>
    <n v="8"/>
    <n v="11483"/>
    <x v="271"/>
    <s v="Darshit Singhal"/>
    <x v="14"/>
    <s v="India"/>
    <s v="Direct"/>
    <s v="UPI"/>
    <n v="91864"/>
    <n v="10183"/>
    <n v="81464"/>
    <n v="10400"/>
  </r>
  <r>
    <s v="TX0273"/>
    <x v="1"/>
    <n v="3"/>
    <n v="11435"/>
    <x v="272"/>
    <s v="Advika Mandal"/>
    <x v="13"/>
    <s v="India"/>
    <s v="Store"/>
    <s v="Credit Card"/>
    <n v="34305"/>
    <n v="10135"/>
    <n v="30405"/>
    <n v="3900"/>
  </r>
  <r>
    <s v="TX0274"/>
    <x v="6"/>
    <n v="4"/>
    <n v="7000"/>
    <x v="273"/>
    <s v="Vihaan Ramachandran"/>
    <x v="26"/>
    <s v="India"/>
    <s v="Online"/>
    <s v="Net Banking"/>
    <n v="28000"/>
    <n v="5700"/>
    <n v="22800"/>
    <n v="5200"/>
  </r>
  <r>
    <s v="TX0275"/>
    <x v="4"/>
    <n v="8"/>
    <n v="8438"/>
    <x v="274"/>
    <s v="Nayantara Bail"/>
    <x v="10"/>
    <s v="India"/>
    <s v="Online"/>
    <s v="Debit Card"/>
    <n v="67504"/>
    <n v="7138"/>
    <n v="57104"/>
    <n v="10400"/>
  </r>
  <r>
    <s v="TX0276"/>
    <x v="1"/>
    <n v="7"/>
    <n v="3588"/>
    <x v="275"/>
    <s v="Alisha Arya"/>
    <x v="13"/>
    <s v="India"/>
    <s v="Store"/>
    <s v="Cash"/>
    <n v="25116"/>
    <n v="2288"/>
    <n v="16016"/>
    <n v="9100"/>
  </r>
  <r>
    <s v="TX0277"/>
    <x v="1"/>
    <n v="7"/>
    <n v="17679"/>
    <x v="276"/>
    <s v="Kiaan Krish"/>
    <x v="4"/>
    <s v="India"/>
    <s v="Online"/>
    <s v="Cash"/>
    <n v="123753"/>
    <n v="16379"/>
    <n v="114653"/>
    <n v="9100"/>
  </r>
  <r>
    <s v="TX0278"/>
    <x v="4"/>
    <n v="3"/>
    <n v="13157"/>
    <x v="277"/>
    <s v="Yashvi Ben"/>
    <x v="0"/>
    <s v="India"/>
    <s v="Direct"/>
    <s v="Net Banking"/>
    <n v="39471"/>
    <n v="11857"/>
    <n v="35571"/>
    <n v="3900"/>
  </r>
  <r>
    <s v="TX0279"/>
    <x v="9"/>
    <n v="4"/>
    <n v="10947"/>
    <x v="278"/>
    <s v="Prisha Sachdeva"/>
    <x v="3"/>
    <s v="India"/>
    <s v="Direct"/>
    <s v="Net Banking"/>
    <n v="43788"/>
    <n v="9647"/>
    <n v="38588"/>
    <n v="5200"/>
  </r>
  <r>
    <s v="TX0280"/>
    <x v="7"/>
    <n v="7"/>
    <n v="16539"/>
    <x v="279"/>
    <s v="Amira Comar"/>
    <x v="14"/>
    <s v="India"/>
    <s v="Online"/>
    <s v="UPI"/>
    <n v="115773"/>
    <n v="15239"/>
    <n v="106673"/>
    <n v="9100"/>
  </r>
  <r>
    <s v="TX0281"/>
    <x v="0"/>
    <n v="1"/>
    <n v="12975"/>
    <x v="280"/>
    <s v="Stuvan Behl"/>
    <x v="22"/>
    <s v="India"/>
    <s v="Store"/>
    <s v="Credit Card"/>
    <n v="12975"/>
    <n v="11675"/>
    <n v="11675"/>
    <n v="1300"/>
  </r>
  <r>
    <s v="TX0282"/>
    <x v="0"/>
    <n v="9"/>
    <n v="18694"/>
    <x v="281"/>
    <s v="Jhanvi Kata"/>
    <x v="14"/>
    <s v="India"/>
    <s v="Store"/>
    <s v="Net Banking"/>
    <n v="168246"/>
    <n v="17394"/>
    <n v="156546"/>
    <n v="11700"/>
  </r>
  <r>
    <s v="TX0283"/>
    <x v="3"/>
    <n v="1"/>
    <n v="18243"/>
    <x v="282"/>
    <s v="Farhan Grover"/>
    <x v="20"/>
    <s v="India"/>
    <s v="Store"/>
    <s v="Cash"/>
    <n v="18243"/>
    <n v="16943"/>
    <n v="16943"/>
    <n v="1300"/>
  </r>
  <r>
    <s v="TX0284"/>
    <x v="6"/>
    <n v="8"/>
    <n v="15747"/>
    <x v="283"/>
    <s v="Suhana Rau"/>
    <x v="11"/>
    <s v="India"/>
    <s v="Direct"/>
    <s v="Cash"/>
    <n v="125976"/>
    <n v="14447"/>
    <n v="115576"/>
    <n v="10400"/>
  </r>
  <r>
    <s v="TX0285"/>
    <x v="6"/>
    <n v="7"/>
    <n v="17443"/>
    <x v="284"/>
    <s v="Samarth Sampath"/>
    <x v="0"/>
    <s v="India"/>
    <s v="Store"/>
    <s v="Debit Card"/>
    <n v="122101"/>
    <n v="16143"/>
    <n v="113001"/>
    <n v="9100"/>
  </r>
  <r>
    <s v="TX0286"/>
    <x v="5"/>
    <n v="6"/>
    <n v="18685"/>
    <x v="285"/>
    <s v="Prerak Koshy"/>
    <x v="18"/>
    <s v="India"/>
    <s v="Store"/>
    <s v="Debit Card"/>
    <n v="112110"/>
    <n v="17385"/>
    <n v="104310"/>
    <n v="7800"/>
  </r>
  <r>
    <s v="TX0287"/>
    <x v="2"/>
    <n v="7"/>
    <n v="17727"/>
    <x v="286"/>
    <s v="Alia Chakrabarti"/>
    <x v="20"/>
    <s v="India"/>
    <s v="Store"/>
    <s v="Credit Card"/>
    <n v="124089"/>
    <n v="16427"/>
    <n v="114989"/>
    <n v="9100"/>
  </r>
  <r>
    <s v="TX0288"/>
    <x v="2"/>
    <n v="6"/>
    <n v="3339"/>
    <x v="287"/>
    <s v="Aradhya Gokhale"/>
    <x v="26"/>
    <s v="India"/>
    <s v="Store"/>
    <s v="Net Banking"/>
    <n v="20034"/>
    <n v="2039"/>
    <n v="12234"/>
    <n v="7800"/>
  </r>
  <r>
    <s v="TX0289"/>
    <x v="4"/>
    <n v="3"/>
    <n v="19562"/>
    <x v="288"/>
    <s v="Lakshit Ravi"/>
    <x v="24"/>
    <s v="India"/>
    <s v="Store"/>
    <s v="Net Banking"/>
    <n v="58686"/>
    <n v="18262"/>
    <n v="54786"/>
    <n v="3900"/>
  </r>
  <r>
    <s v="TX0290"/>
    <x v="3"/>
    <n v="8"/>
    <n v="5704"/>
    <x v="289"/>
    <s v="Rania Joshi"/>
    <x v="13"/>
    <s v="India"/>
    <s v="Store"/>
    <s v="Cash"/>
    <n v="45632"/>
    <n v="4404"/>
    <n v="35232"/>
    <n v="10400"/>
  </r>
  <r>
    <s v="TX0291"/>
    <x v="8"/>
    <n v="2"/>
    <n v="7774"/>
    <x v="290"/>
    <s v="Dishani Verma"/>
    <x v="16"/>
    <s v="India"/>
    <s v="Store"/>
    <s v="UPI"/>
    <n v="15548"/>
    <n v="6474"/>
    <n v="12948"/>
    <n v="2600"/>
  </r>
  <r>
    <s v="TX0292"/>
    <x v="6"/>
    <n v="3"/>
    <n v="2513"/>
    <x v="291"/>
    <s v="Shray Sarraf"/>
    <x v="0"/>
    <s v="India"/>
    <s v="Store"/>
    <s v="UPI"/>
    <n v="7539"/>
    <n v="1213"/>
    <n v="3639"/>
    <n v="3900"/>
  </r>
  <r>
    <s v="TX0293"/>
    <x v="9"/>
    <n v="3"/>
    <n v="5574"/>
    <x v="292"/>
    <s v="Samarth Das"/>
    <x v="3"/>
    <s v="India"/>
    <s v="Direct"/>
    <s v="Debit Card"/>
    <n v="16722"/>
    <n v="4274"/>
    <n v="12822"/>
    <n v="3900"/>
  </r>
  <r>
    <s v="TX0294"/>
    <x v="9"/>
    <n v="6"/>
    <n v="16767"/>
    <x v="293"/>
    <s v="Renee Arora"/>
    <x v="15"/>
    <s v="India"/>
    <s v="Direct"/>
    <s v="UPI"/>
    <n v="100602"/>
    <n v="15467"/>
    <n v="92802"/>
    <n v="7800"/>
  </r>
  <r>
    <s v="TX0295"/>
    <x v="5"/>
    <n v="7"/>
    <n v="9548"/>
    <x v="294"/>
    <s v="Farhan Anne"/>
    <x v="8"/>
    <s v="India"/>
    <s v="Store"/>
    <s v="Debit Card"/>
    <n v="66836"/>
    <n v="8248"/>
    <n v="57736"/>
    <n v="9100"/>
  </r>
  <r>
    <s v="TX0296"/>
    <x v="7"/>
    <n v="5"/>
    <n v="13382"/>
    <x v="295"/>
    <s v="Kaira Chakrabarti"/>
    <x v="20"/>
    <s v="India"/>
    <s v="Direct"/>
    <s v="UPI"/>
    <n v="66910"/>
    <n v="12082"/>
    <n v="60410"/>
    <n v="6500"/>
  </r>
  <r>
    <s v="TX0297"/>
    <x v="3"/>
    <n v="3"/>
    <n v="10004"/>
    <x v="296"/>
    <s v="Adah Chada"/>
    <x v="18"/>
    <s v="India"/>
    <s v="Direct"/>
    <s v="Credit Card"/>
    <n v="30012"/>
    <n v="8704"/>
    <n v="26112"/>
    <n v="3900"/>
  </r>
  <r>
    <s v="TX0298"/>
    <x v="8"/>
    <n v="3"/>
    <n v="19610"/>
    <x v="297"/>
    <s v="Bhamini Seth"/>
    <x v="22"/>
    <s v="India"/>
    <s v="Direct"/>
    <s v="Cash"/>
    <n v="58830"/>
    <n v="18310"/>
    <n v="54930"/>
    <n v="3900"/>
  </r>
  <r>
    <s v="TX0299"/>
    <x v="6"/>
    <n v="2"/>
    <n v="2106"/>
    <x v="298"/>
    <s v="Kaira Kar"/>
    <x v="13"/>
    <s v="India"/>
    <s v="Store"/>
    <s v="Net Banking"/>
    <n v="4212"/>
    <n v="806"/>
    <n v="1612"/>
    <n v="2600"/>
  </r>
  <r>
    <s v="TX0300"/>
    <x v="2"/>
    <n v="1"/>
    <n v="9659"/>
    <x v="299"/>
    <s v="Aayush Halder"/>
    <x v="25"/>
    <s v="India"/>
    <s v="Direct"/>
    <s v="Cash"/>
    <n v="9659"/>
    <n v="8359"/>
    <n v="8359"/>
    <n v="1300"/>
  </r>
  <r>
    <s v="TX0301"/>
    <x v="3"/>
    <n v="1"/>
    <n v="15918"/>
    <x v="300"/>
    <s v="Misha Vora"/>
    <x v="1"/>
    <s v="India"/>
    <s v="Direct"/>
    <s v="Net Banking"/>
    <n v="15918"/>
    <n v="14618"/>
    <n v="14618"/>
    <n v="1300"/>
  </r>
  <r>
    <s v="TX0302"/>
    <x v="0"/>
    <n v="3"/>
    <n v="6352"/>
    <x v="301"/>
    <s v="Kismat Choudhary"/>
    <x v="14"/>
    <s v="India"/>
    <s v="Direct"/>
    <s v="Credit Card"/>
    <n v="19056"/>
    <n v="5052"/>
    <n v="15156"/>
    <n v="3900"/>
  </r>
  <r>
    <s v="TX0303"/>
    <x v="3"/>
    <n v="9"/>
    <n v="11809"/>
    <x v="302"/>
    <s v="Sumer Bala"/>
    <x v="15"/>
    <s v="India"/>
    <s v="Direct"/>
    <s v="UPI"/>
    <n v="106281"/>
    <n v="10509"/>
    <n v="94581"/>
    <n v="11700"/>
  </r>
  <r>
    <s v="TX0304"/>
    <x v="0"/>
    <n v="4"/>
    <n v="17147"/>
    <x v="303"/>
    <s v="Prerak Bala"/>
    <x v="22"/>
    <s v="India"/>
    <s v="Store"/>
    <s v="Credit Card"/>
    <n v="68588"/>
    <n v="15847"/>
    <n v="63388"/>
    <n v="5200"/>
  </r>
  <r>
    <s v="TX0305"/>
    <x v="4"/>
    <n v="1"/>
    <n v="7046"/>
    <x v="304"/>
    <s v="Zaina Char"/>
    <x v="21"/>
    <s v="India"/>
    <s v="Direct"/>
    <s v="Credit Card"/>
    <n v="7046"/>
    <n v="5746"/>
    <n v="5746"/>
    <n v="1300"/>
  </r>
  <r>
    <s v="TX0306"/>
    <x v="7"/>
    <n v="9"/>
    <n v="10982"/>
    <x v="305"/>
    <s v="Aaryahi Rege"/>
    <x v="25"/>
    <s v="India"/>
    <s v="Online"/>
    <s v="Cash"/>
    <n v="98838"/>
    <n v="9682"/>
    <n v="87138"/>
    <n v="11700"/>
  </r>
  <r>
    <s v="TX0307"/>
    <x v="9"/>
    <n v="9"/>
    <n v="17135"/>
    <x v="306"/>
    <s v="Ivan Kala"/>
    <x v="18"/>
    <s v="India"/>
    <s v="Online"/>
    <s v="Credit Card"/>
    <n v="154215"/>
    <n v="15835"/>
    <n v="142515"/>
    <n v="11700"/>
  </r>
  <r>
    <s v="TX0308"/>
    <x v="4"/>
    <n v="2"/>
    <n v="14660"/>
    <x v="307"/>
    <s v="Zeeshan Sane"/>
    <x v="5"/>
    <s v="India"/>
    <s v="Online"/>
    <s v="Cash"/>
    <n v="29320"/>
    <n v="13360"/>
    <n v="26720"/>
    <n v="2600"/>
  </r>
  <r>
    <s v="TX0309"/>
    <x v="7"/>
    <n v="1"/>
    <n v="17394"/>
    <x v="308"/>
    <s v="Heer Shenoy"/>
    <x v="7"/>
    <s v="India"/>
    <s v="Online"/>
    <s v="Debit Card"/>
    <n v="17394"/>
    <n v="16094"/>
    <n v="16094"/>
    <n v="1300"/>
  </r>
  <r>
    <s v="TX0310"/>
    <x v="9"/>
    <n v="6"/>
    <n v="5396"/>
    <x v="309"/>
    <s v="Shalv Raval"/>
    <x v="14"/>
    <s v="India"/>
    <s v="Direct"/>
    <s v="Cash"/>
    <n v="32376"/>
    <n v="4096"/>
    <n v="24576"/>
    <n v="7800"/>
  </r>
  <r>
    <s v="TX0311"/>
    <x v="4"/>
    <n v="9"/>
    <n v="5962"/>
    <x v="310"/>
    <s v="Azad Rajan"/>
    <x v="5"/>
    <s v="India"/>
    <s v="Store"/>
    <s v="Cash"/>
    <n v="53658"/>
    <n v="4662"/>
    <n v="41958"/>
    <n v="11700"/>
  </r>
  <r>
    <s v="TX0312"/>
    <x v="5"/>
    <n v="3"/>
    <n v="19214"/>
    <x v="311"/>
    <s v="Kiaan Tak"/>
    <x v="14"/>
    <s v="India"/>
    <s v="Online"/>
    <s v="Net Banking"/>
    <n v="57642"/>
    <n v="17914"/>
    <n v="53742"/>
    <n v="3900"/>
  </r>
  <r>
    <s v="TX0313"/>
    <x v="5"/>
    <n v="4"/>
    <n v="5876"/>
    <x v="312"/>
    <s v="Krish Sachdeva"/>
    <x v="6"/>
    <s v="India"/>
    <s v="Online"/>
    <s v="Net Banking"/>
    <n v="23504"/>
    <n v="4576"/>
    <n v="18304"/>
    <n v="5200"/>
  </r>
  <r>
    <s v="TX0314"/>
    <x v="5"/>
    <n v="6"/>
    <n v="10913"/>
    <x v="313"/>
    <s v="Jayesh Shenoy"/>
    <x v="2"/>
    <s v="India"/>
    <s v="Online"/>
    <s v="UPI"/>
    <n v="65478"/>
    <n v="9613"/>
    <n v="57678"/>
    <n v="7800"/>
  </r>
  <r>
    <s v="TX0315"/>
    <x v="4"/>
    <n v="4"/>
    <n v="12480"/>
    <x v="314"/>
    <s v="Kavya Deo"/>
    <x v="3"/>
    <s v="India"/>
    <s v="Direct"/>
    <s v="Net Banking"/>
    <n v="49920"/>
    <n v="11180"/>
    <n v="44720"/>
    <n v="5200"/>
  </r>
  <r>
    <s v="TX0316"/>
    <x v="3"/>
    <n v="9"/>
    <n v="17727"/>
    <x v="315"/>
    <s v="Nehmat Singh"/>
    <x v="10"/>
    <s v="India"/>
    <s v="Store"/>
    <s v="Cash"/>
    <n v="159543"/>
    <n v="16427"/>
    <n v="147843"/>
    <n v="11700"/>
  </r>
  <r>
    <s v="TX0317"/>
    <x v="3"/>
    <n v="7"/>
    <n v="10390"/>
    <x v="316"/>
    <s v="Arhaan Barad"/>
    <x v="0"/>
    <s v="India"/>
    <s v="Store"/>
    <s v="Cash"/>
    <n v="72730"/>
    <n v="9090"/>
    <n v="63630"/>
    <n v="9100"/>
  </r>
  <r>
    <s v="TX0318"/>
    <x v="9"/>
    <n v="5"/>
    <n v="5504"/>
    <x v="317"/>
    <s v="Miraan Bahl"/>
    <x v="18"/>
    <s v="India"/>
    <s v="Direct"/>
    <s v="UPI"/>
    <n v="27520"/>
    <n v="4204"/>
    <n v="21020"/>
    <n v="6500"/>
  </r>
  <r>
    <s v="TX0319"/>
    <x v="3"/>
    <n v="7"/>
    <n v="4441"/>
    <x v="318"/>
    <s v="Damini Sani"/>
    <x v="25"/>
    <s v="India"/>
    <s v="Online"/>
    <s v="Net Banking"/>
    <n v="31087"/>
    <n v="3141"/>
    <n v="21987"/>
    <n v="9100"/>
  </r>
  <r>
    <s v="TX0320"/>
    <x v="6"/>
    <n v="4"/>
    <n v="2469"/>
    <x v="319"/>
    <s v="Tarini Saha"/>
    <x v="18"/>
    <s v="India"/>
    <s v="Online"/>
    <s v="Debit Card"/>
    <n v="9876"/>
    <n v="1169"/>
    <n v="4676"/>
    <n v="5200"/>
  </r>
  <r>
    <s v="TX0321"/>
    <x v="0"/>
    <n v="7"/>
    <n v="16857"/>
    <x v="320"/>
    <s v="Taran Das"/>
    <x v="16"/>
    <s v="India"/>
    <s v="Store"/>
    <s v="Cash"/>
    <n v="117999"/>
    <n v="15557"/>
    <n v="108899"/>
    <n v="9100"/>
  </r>
  <r>
    <s v="TX0322"/>
    <x v="8"/>
    <n v="3"/>
    <n v="9160"/>
    <x v="321"/>
    <s v="Divyansh Rana"/>
    <x v="8"/>
    <s v="India"/>
    <s v="Online"/>
    <s v="Net Banking"/>
    <n v="27480"/>
    <n v="7860"/>
    <n v="23580"/>
    <n v="3900"/>
  </r>
  <r>
    <s v="TX0323"/>
    <x v="3"/>
    <n v="7"/>
    <n v="3188"/>
    <x v="322"/>
    <s v="Piya Divan"/>
    <x v="26"/>
    <s v="India"/>
    <s v="Online"/>
    <s v="Net Banking"/>
    <n v="22316"/>
    <n v="1888"/>
    <n v="13216"/>
    <n v="9100"/>
  </r>
  <r>
    <s v="TX0324"/>
    <x v="0"/>
    <n v="6"/>
    <n v="10476"/>
    <x v="323"/>
    <s v="Amani Kale"/>
    <x v="8"/>
    <s v="India"/>
    <s v="Direct"/>
    <s v="Net Banking"/>
    <n v="62856"/>
    <n v="9176"/>
    <n v="55056"/>
    <n v="7800"/>
  </r>
  <r>
    <s v="TX0325"/>
    <x v="0"/>
    <n v="6"/>
    <n v="17424"/>
    <x v="324"/>
    <s v="Rania Sahota"/>
    <x v="15"/>
    <s v="India"/>
    <s v="Store"/>
    <s v="UPI"/>
    <n v="104544"/>
    <n v="16124"/>
    <n v="96744"/>
    <n v="7800"/>
  </r>
  <r>
    <s v="TX0326"/>
    <x v="7"/>
    <n v="5"/>
    <n v="19354"/>
    <x v="325"/>
    <s v="Farhan Ghosh"/>
    <x v="7"/>
    <s v="India"/>
    <s v="Store"/>
    <s v="Cash"/>
    <n v="96770"/>
    <n v="18054"/>
    <n v="90270"/>
    <n v="6500"/>
  </r>
  <r>
    <s v="TX0327"/>
    <x v="8"/>
    <n v="7"/>
    <n v="15180"/>
    <x v="326"/>
    <s v="Yuvaan Bava"/>
    <x v="27"/>
    <s v="India"/>
    <s v="Online"/>
    <s v="Net Banking"/>
    <n v="106260"/>
    <n v="13880"/>
    <n v="97160"/>
    <n v="9100"/>
  </r>
  <r>
    <s v="TX0328"/>
    <x v="5"/>
    <n v="6"/>
    <n v="4469"/>
    <x v="327"/>
    <s v="Khushi Chanda"/>
    <x v="10"/>
    <s v="India"/>
    <s v="Direct"/>
    <s v="Debit Card"/>
    <n v="26814"/>
    <n v="3169"/>
    <n v="19014"/>
    <n v="7800"/>
  </r>
  <r>
    <s v="TX0329"/>
    <x v="2"/>
    <n v="2"/>
    <n v="9255"/>
    <x v="328"/>
    <s v="Shlok Ben"/>
    <x v="1"/>
    <s v="India"/>
    <s v="Store"/>
    <s v="UPI"/>
    <n v="18510"/>
    <n v="7955"/>
    <n v="15910"/>
    <n v="2600"/>
  </r>
  <r>
    <s v="TX0330"/>
    <x v="3"/>
    <n v="4"/>
    <n v="3758"/>
    <x v="329"/>
    <s v="Sahil Goswami"/>
    <x v="17"/>
    <s v="India"/>
    <s v="Store"/>
    <s v="Cash"/>
    <n v="15032"/>
    <n v="2458"/>
    <n v="9832"/>
    <n v="5200"/>
  </r>
  <r>
    <s v="TX0331"/>
    <x v="5"/>
    <n v="4"/>
    <n v="6049"/>
    <x v="330"/>
    <s v="Kaira Chopra"/>
    <x v="6"/>
    <s v="India"/>
    <s v="Direct"/>
    <s v="UPI"/>
    <n v="24196"/>
    <n v="4749"/>
    <n v="18996"/>
    <n v="5200"/>
  </r>
  <r>
    <s v="TX0332"/>
    <x v="2"/>
    <n v="9"/>
    <n v="18495"/>
    <x v="331"/>
    <s v="Mishti Sarraf"/>
    <x v="14"/>
    <s v="India"/>
    <s v="Online"/>
    <s v="UPI"/>
    <n v="166455"/>
    <n v="17195"/>
    <n v="154755"/>
    <n v="11700"/>
  </r>
  <r>
    <s v="TX0333"/>
    <x v="4"/>
    <n v="6"/>
    <n v="16306"/>
    <x v="332"/>
    <s v="Azad Master"/>
    <x v="21"/>
    <s v="India"/>
    <s v="Store"/>
    <s v="UPI"/>
    <n v="97836"/>
    <n v="15006"/>
    <n v="90036"/>
    <n v="7800"/>
  </r>
  <r>
    <s v="TX0334"/>
    <x v="0"/>
    <n v="6"/>
    <n v="8992"/>
    <x v="333"/>
    <s v="Kimaya Chawla"/>
    <x v="19"/>
    <s v="India"/>
    <s v="Online"/>
    <s v="Net Banking"/>
    <n v="53952"/>
    <n v="7692"/>
    <n v="46152"/>
    <n v="7800"/>
  </r>
  <r>
    <s v="TX0335"/>
    <x v="8"/>
    <n v="7"/>
    <n v="3779"/>
    <x v="334"/>
    <s v="Darshit Roy"/>
    <x v="6"/>
    <s v="India"/>
    <s v="Online"/>
    <s v="Net Banking"/>
    <n v="26453"/>
    <n v="2479"/>
    <n v="17353"/>
    <n v="9100"/>
  </r>
  <r>
    <s v="TX0336"/>
    <x v="5"/>
    <n v="1"/>
    <n v="6690"/>
    <x v="335"/>
    <s v="Alia Sule"/>
    <x v="9"/>
    <s v="India"/>
    <s v="Online"/>
    <s v="Net Banking"/>
    <n v="6690"/>
    <n v="5390"/>
    <n v="5390"/>
    <n v="1300"/>
  </r>
  <r>
    <s v="TX0337"/>
    <x v="4"/>
    <n v="8"/>
    <n v="4538"/>
    <x v="336"/>
    <s v="Mannat Karnik"/>
    <x v="9"/>
    <s v="India"/>
    <s v="Online"/>
    <s v="UPI"/>
    <n v="36304"/>
    <n v="3238"/>
    <n v="25904"/>
    <n v="10400"/>
  </r>
  <r>
    <s v="TX0338"/>
    <x v="4"/>
    <n v="6"/>
    <n v="14316"/>
    <x v="337"/>
    <s v="Faiyaz Ahuja"/>
    <x v="17"/>
    <s v="India"/>
    <s v="Store"/>
    <s v="Credit Card"/>
    <n v="85896"/>
    <n v="13016"/>
    <n v="78096"/>
    <n v="7800"/>
  </r>
  <r>
    <s v="TX0339"/>
    <x v="5"/>
    <n v="2"/>
    <n v="3827"/>
    <x v="338"/>
    <s v="Pari Bhatt"/>
    <x v="10"/>
    <s v="India"/>
    <s v="Online"/>
    <s v="Debit Card"/>
    <n v="7654"/>
    <n v="2527"/>
    <n v="5054"/>
    <n v="2600"/>
  </r>
  <r>
    <s v="TX0340"/>
    <x v="0"/>
    <n v="6"/>
    <n v="14058"/>
    <x v="339"/>
    <s v="Anay Chandran"/>
    <x v="15"/>
    <s v="India"/>
    <s v="Direct"/>
    <s v="UPI"/>
    <n v="84348"/>
    <n v="12758"/>
    <n v="76548"/>
    <n v="7800"/>
  </r>
  <r>
    <s v="TX0341"/>
    <x v="8"/>
    <n v="7"/>
    <n v="5441"/>
    <x v="340"/>
    <s v="Kavya Karpe"/>
    <x v="21"/>
    <s v="India"/>
    <s v="Store"/>
    <s v="Cash"/>
    <n v="38087"/>
    <n v="4141"/>
    <n v="28987"/>
    <n v="9100"/>
  </r>
  <r>
    <s v="TX0342"/>
    <x v="1"/>
    <n v="7"/>
    <n v="7479"/>
    <x v="341"/>
    <s v="Farhan Gokhale"/>
    <x v="27"/>
    <s v="India"/>
    <s v="Store"/>
    <s v="Cash"/>
    <n v="52353"/>
    <n v="6179"/>
    <n v="43253"/>
    <n v="9100"/>
  </r>
  <r>
    <s v="TX0343"/>
    <x v="7"/>
    <n v="9"/>
    <n v="7674"/>
    <x v="342"/>
    <s v="Dhanuk Shenoy"/>
    <x v="24"/>
    <s v="India"/>
    <s v="Online"/>
    <s v="Cash"/>
    <n v="69066"/>
    <n v="6374"/>
    <n v="57366"/>
    <n v="11700"/>
  </r>
  <r>
    <s v="TX0344"/>
    <x v="7"/>
    <n v="8"/>
    <n v="11299"/>
    <x v="343"/>
    <s v="Aarush Lalla"/>
    <x v="1"/>
    <s v="India"/>
    <s v="Store"/>
    <s v="Credit Card"/>
    <n v="90392"/>
    <n v="9999"/>
    <n v="79992"/>
    <n v="10400"/>
  </r>
  <r>
    <s v="TX0345"/>
    <x v="8"/>
    <n v="6"/>
    <n v="13466"/>
    <x v="344"/>
    <s v="Hridaan Swamy"/>
    <x v="24"/>
    <s v="India"/>
    <s v="Store"/>
    <s v="UPI"/>
    <n v="80796"/>
    <n v="12166"/>
    <n v="72996"/>
    <n v="7800"/>
  </r>
  <r>
    <s v="TX0346"/>
    <x v="1"/>
    <n v="4"/>
    <n v="19627"/>
    <x v="345"/>
    <s v="Navya Balasubramanian"/>
    <x v="8"/>
    <s v="India"/>
    <s v="Direct"/>
    <s v="Cash"/>
    <n v="78508"/>
    <n v="18327"/>
    <n v="73308"/>
    <n v="5200"/>
  </r>
  <r>
    <s v="TX0347"/>
    <x v="6"/>
    <n v="3"/>
    <n v="6835"/>
    <x v="346"/>
    <s v="Arhaan Korpal"/>
    <x v="18"/>
    <s v="India"/>
    <s v="Store"/>
    <s v="Debit Card"/>
    <n v="20505"/>
    <n v="5535"/>
    <n v="16605"/>
    <n v="3900"/>
  </r>
  <r>
    <s v="TX0348"/>
    <x v="5"/>
    <n v="4"/>
    <n v="17179"/>
    <x v="347"/>
    <s v="Samiha Kunda"/>
    <x v="0"/>
    <s v="India"/>
    <s v="Online"/>
    <s v="Cash"/>
    <n v="68716"/>
    <n v="15879"/>
    <n v="63516"/>
    <n v="5200"/>
  </r>
  <r>
    <s v="TX0349"/>
    <x v="8"/>
    <n v="3"/>
    <n v="14019"/>
    <x v="348"/>
    <s v="Shayak Sawhney"/>
    <x v="15"/>
    <s v="India"/>
    <s v="Online"/>
    <s v="Cash"/>
    <n v="42057"/>
    <n v="12719"/>
    <n v="38157"/>
    <n v="3900"/>
  </r>
  <r>
    <s v="TX0350"/>
    <x v="0"/>
    <n v="6"/>
    <n v="5454"/>
    <x v="349"/>
    <s v="Aarna Chaudry"/>
    <x v="20"/>
    <s v="India"/>
    <s v="Online"/>
    <s v="Debit Card"/>
    <n v="32724"/>
    <n v="4154"/>
    <n v="24924"/>
    <n v="7800"/>
  </r>
  <r>
    <s v="TX0351"/>
    <x v="8"/>
    <n v="5"/>
    <n v="7945"/>
    <x v="350"/>
    <s v="Yasmin Guha"/>
    <x v="0"/>
    <s v="India"/>
    <s v="Direct"/>
    <s v="UPI"/>
    <n v="39725"/>
    <n v="6645"/>
    <n v="33225"/>
    <n v="6500"/>
  </r>
  <r>
    <s v="TX0352"/>
    <x v="7"/>
    <n v="2"/>
    <n v="5901"/>
    <x v="351"/>
    <s v="Veer Chhabra"/>
    <x v="21"/>
    <s v="India"/>
    <s v="Online"/>
    <s v="UPI"/>
    <n v="11802"/>
    <n v="4601"/>
    <n v="9202"/>
    <n v="2600"/>
  </r>
  <r>
    <s v="TX0353"/>
    <x v="6"/>
    <n v="6"/>
    <n v="5881"/>
    <x v="352"/>
    <s v="Azad Dey"/>
    <x v="8"/>
    <s v="India"/>
    <s v="Direct"/>
    <s v="Net Banking"/>
    <n v="35286"/>
    <n v="4581"/>
    <n v="27486"/>
    <n v="7800"/>
  </r>
  <r>
    <s v="TX0354"/>
    <x v="0"/>
    <n v="9"/>
    <n v="9831"/>
    <x v="353"/>
    <s v="Jiya Dara"/>
    <x v="8"/>
    <s v="India"/>
    <s v="Store"/>
    <s v="Cash"/>
    <n v="88479"/>
    <n v="8531"/>
    <n v="76779"/>
    <n v="11700"/>
  </r>
  <r>
    <s v="TX0355"/>
    <x v="3"/>
    <n v="4"/>
    <n v="4792"/>
    <x v="354"/>
    <s v="Nakul Bora"/>
    <x v="9"/>
    <s v="India"/>
    <s v="Store"/>
    <s v="UPI"/>
    <n v="19168"/>
    <n v="3492"/>
    <n v="13968"/>
    <n v="5200"/>
  </r>
  <r>
    <s v="TX0356"/>
    <x v="7"/>
    <n v="6"/>
    <n v="7940"/>
    <x v="355"/>
    <s v="Sara Din"/>
    <x v="7"/>
    <s v="India"/>
    <s v="Direct"/>
    <s v="Net Banking"/>
    <n v="47640"/>
    <n v="6640"/>
    <n v="39840"/>
    <n v="7800"/>
  </r>
  <r>
    <s v="TX0357"/>
    <x v="9"/>
    <n v="9"/>
    <n v="2279"/>
    <x v="356"/>
    <s v="Baiju Gala"/>
    <x v="8"/>
    <s v="India"/>
    <s v="Direct"/>
    <s v="Cash"/>
    <n v="20511"/>
    <n v="979"/>
    <n v="8811"/>
    <n v="11700"/>
  </r>
  <r>
    <s v="TX0358"/>
    <x v="8"/>
    <n v="5"/>
    <n v="11338"/>
    <x v="357"/>
    <s v="Uthkarsh Som"/>
    <x v="3"/>
    <s v="India"/>
    <s v="Direct"/>
    <s v="Debit Card"/>
    <n v="56690"/>
    <n v="10038"/>
    <n v="50190"/>
    <n v="6500"/>
  </r>
  <r>
    <s v="TX0359"/>
    <x v="1"/>
    <n v="2"/>
    <n v="13817"/>
    <x v="358"/>
    <s v="Drishya Iyengar"/>
    <x v="18"/>
    <s v="India"/>
    <s v="Direct"/>
    <s v="UPI"/>
    <n v="27634"/>
    <n v="12517"/>
    <n v="25034"/>
    <n v="2600"/>
  </r>
  <r>
    <s v="TX0360"/>
    <x v="7"/>
    <n v="8"/>
    <n v="15116"/>
    <x v="359"/>
    <s v="Tara Maharaj"/>
    <x v="0"/>
    <s v="India"/>
    <s v="Direct"/>
    <s v="Cash"/>
    <n v="120928"/>
    <n v="13816"/>
    <n v="110528"/>
    <n v="10400"/>
  </r>
  <r>
    <s v="TX0361"/>
    <x v="3"/>
    <n v="9"/>
    <n v="2815"/>
    <x v="360"/>
    <s v="Vardaniya Thaman"/>
    <x v="15"/>
    <s v="India"/>
    <s v="Online"/>
    <s v="Cash"/>
    <n v="25335"/>
    <n v="1515"/>
    <n v="13635"/>
    <n v="11700"/>
  </r>
  <r>
    <s v="TX0362"/>
    <x v="4"/>
    <n v="2"/>
    <n v="11871"/>
    <x v="361"/>
    <s v="Nishith Shah"/>
    <x v="26"/>
    <s v="India"/>
    <s v="Direct"/>
    <s v="Debit Card"/>
    <n v="23742"/>
    <n v="10571"/>
    <n v="21142"/>
    <n v="2600"/>
  </r>
  <r>
    <s v="TX0363"/>
    <x v="7"/>
    <n v="3"/>
    <n v="8081"/>
    <x v="362"/>
    <s v="Dishani Shan"/>
    <x v="3"/>
    <s v="India"/>
    <s v="Direct"/>
    <s v="Cash"/>
    <n v="24243"/>
    <n v="6781"/>
    <n v="20343"/>
    <n v="3900"/>
  </r>
  <r>
    <s v="TX0364"/>
    <x v="8"/>
    <n v="2"/>
    <n v="4654"/>
    <x v="363"/>
    <s v="Jiya Shukla"/>
    <x v="22"/>
    <s v="India"/>
    <s v="Direct"/>
    <s v="Net Banking"/>
    <n v="9308"/>
    <n v="3354"/>
    <n v="6708"/>
    <n v="2600"/>
  </r>
  <r>
    <s v="TX0365"/>
    <x v="9"/>
    <n v="2"/>
    <n v="12213"/>
    <x v="364"/>
    <s v="Nehmat Sahota"/>
    <x v="9"/>
    <s v="India"/>
    <s v="Online"/>
    <s v="Debit Card"/>
    <n v="24426"/>
    <n v="10913"/>
    <n v="21826"/>
    <n v="2600"/>
  </r>
  <r>
    <s v="TX0366"/>
    <x v="5"/>
    <n v="8"/>
    <n v="19194"/>
    <x v="365"/>
    <s v="Azad Luthra"/>
    <x v="11"/>
    <s v="India"/>
    <s v="Direct"/>
    <s v="Credit Card"/>
    <n v="153552"/>
    <n v="17894"/>
    <n v="143152"/>
    <n v="10400"/>
  </r>
  <r>
    <s v="TX0367"/>
    <x v="3"/>
    <n v="6"/>
    <n v="2512"/>
    <x v="366"/>
    <s v="Eshani Toor"/>
    <x v="10"/>
    <s v="India"/>
    <s v="Direct"/>
    <s v="Net Banking"/>
    <n v="15072"/>
    <n v="1212"/>
    <n v="7272"/>
    <n v="7800"/>
  </r>
  <r>
    <s v="TX0368"/>
    <x v="0"/>
    <n v="1"/>
    <n v="6829"/>
    <x v="367"/>
    <s v="Piya Jani"/>
    <x v="12"/>
    <s v="India"/>
    <s v="Store"/>
    <s v="Debit Card"/>
    <n v="6829"/>
    <n v="5529"/>
    <n v="5529"/>
    <n v="1300"/>
  </r>
  <r>
    <s v="TX0369"/>
    <x v="0"/>
    <n v="5"/>
    <n v="5139"/>
    <x v="368"/>
    <s v="Divit Sankaran"/>
    <x v="23"/>
    <s v="India"/>
    <s v="Online"/>
    <s v="Debit Card"/>
    <n v="25695"/>
    <n v="3839"/>
    <n v="19195"/>
    <n v="6500"/>
  </r>
  <r>
    <s v="TX0370"/>
    <x v="5"/>
    <n v="2"/>
    <n v="6383"/>
    <x v="369"/>
    <s v="Jiya Sheth"/>
    <x v="11"/>
    <s v="India"/>
    <s v="Online"/>
    <s v="Credit Card"/>
    <n v="12766"/>
    <n v="5083"/>
    <n v="10166"/>
    <n v="2600"/>
  </r>
  <r>
    <s v="TX0371"/>
    <x v="3"/>
    <n v="2"/>
    <n v="4845"/>
    <x v="370"/>
    <s v="Rasha Rana"/>
    <x v="22"/>
    <s v="India"/>
    <s v="Online"/>
    <s v="Cash"/>
    <n v="9690"/>
    <n v="3545"/>
    <n v="7090"/>
    <n v="2600"/>
  </r>
  <r>
    <s v="TX0372"/>
    <x v="7"/>
    <n v="7"/>
    <n v="8160"/>
    <x v="371"/>
    <s v="Eshani Sawhney"/>
    <x v="20"/>
    <s v="India"/>
    <s v="Online"/>
    <s v="Cash"/>
    <n v="57120"/>
    <n v="6860"/>
    <n v="48020"/>
    <n v="9100"/>
  </r>
  <r>
    <s v="TX0373"/>
    <x v="9"/>
    <n v="7"/>
    <n v="13749"/>
    <x v="372"/>
    <s v="Anahi Thaman"/>
    <x v="25"/>
    <s v="India"/>
    <s v="Direct"/>
    <s v="Cash"/>
    <n v="96243"/>
    <n v="12449"/>
    <n v="87143"/>
    <n v="9100"/>
  </r>
  <r>
    <s v="TX0374"/>
    <x v="7"/>
    <n v="1"/>
    <n v="5409"/>
    <x v="373"/>
    <s v="Faiyaz Gulati"/>
    <x v="3"/>
    <s v="India"/>
    <s v="Store"/>
    <s v="Debit Card"/>
    <n v="5409"/>
    <n v="4109"/>
    <n v="4109"/>
    <n v="1300"/>
  </r>
  <r>
    <s v="TX0375"/>
    <x v="1"/>
    <n v="3"/>
    <n v="13063"/>
    <x v="374"/>
    <s v="Ryan Hari"/>
    <x v="1"/>
    <s v="India"/>
    <s v="Online"/>
    <s v="Credit Card"/>
    <n v="39189"/>
    <n v="11763"/>
    <n v="35289"/>
    <n v="3900"/>
  </r>
  <r>
    <s v="TX0376"/>
    <x v="3"/>
    <n v="4"/>
    <n v="6989"/>
    <x v="375"/>
    <s v="Ishaan Sama"/>
    <x v="15"/>
    <s v="India"/>
    <s v="Direct"/>
    <s v="Cash"/>
    <n v="27956"/>
    <n v="5689"/>
    <n v="22756"/>
    <n v="5200"/>
  </r>
  <r>
    <s v="TX0377"/>
    <x v="5"/>
    <n v="8"/>
    <n v="11515"/>
    <x v="376"/>
    <s v="Samaira Borra"/>
    <x v="5"/>
    <s v="India"/>
    <s v="Store"/>
    <s v="Credit Card"/>
    <n v="92120"/>
    <n v="10215"/>
    <n v="81720"/>
    <n v="10400"/>
  </r>
  <r>
    <s v="TX0378"/>
    <x v="9"/>
    <n v="3"/>
    <n v="8467"/>
    <x v="377"/>
    <s v="Abram Dass"/>
    <x v="18"/>
    <s v="India"/>
    <s v="Online"/>
    <s v="Net Banking"/>
    <n v="25401"/>
    <n v="7167"/>
    <n v="21501"/>
    <n v="3900"/>
  </r>
  <r>
    <s v="TX0379"/>
    <x v="8"/>
    <n v="5"/>
    <n v="14820"/>
    <x v="378"/>
    <s v="Vihaan Johal"/>
    <x v="18"/>
    <s v="India"/>
    <s v="Online"/>
    <s v="Debit Card"/>
    <n v="74100"/>
    <n v="13520"/>
    <n v="67600"/>
    <n v="6500"/>
  </r>
  <r>
    <s v="TX0380"/>
    <x v="7"/>
    <n v="1"/>
    <n v="14763"/>
    <x v="379"/>
    <s v="Jhanvi Dhar"/>
    <x v="15"/>
    <s v="India"/>
    <s v="Online"/>
    <s v="Net Banking"/>
    <n v="14763"/>
    <n v="13463"/>
    <n v="13463"/>
    <n v="1300"/>
  </r>
  <r>
    <s v="TX0381"/>
    <x v="6"/>
    <n v="7"/>
    <n v="2511"/>
    <x v="380"/>
    <s v="Saanvi Lalla"/>
    <x v="9"/>
    <s v="India"/>
    <s v="Direct"/>
    <s v="Net Banking"/>
    <n v="17577"/>
    <n v="1211"/>
    <n v="8477"/>
    <n v="9100"/>
  </r>
  <r>
    <s v="TX0382"/>
    <x v="4"/>
    <n v="3"/>
    <n v="15788"/>
    <x v="381"/>
    <s v="Eva Walia"/>
    <x v="18"/>
    <s v="India"/>
    <s v="Store"/>
    <s v="Credit Card"/>
    <n v="47364"/>
    <n v="14488"/>
    <n v="43464"/>
    <n v="3900"/>
  </r>
  <r>
    <s v="TX0383"/>
    <x v="1"/>
    <n v="5"/>
    <n v="6366"/>
    <x v="382"/>
    <s v="Shlok Ramanathan"/>
    <x v="17"/>
    <s v="India"/>
    <s v="Store"/>
    <s v="Net Banking"/>
    <n v="31830"/>
    <n v="5066"/>
    <n v="25330"/>
    <n v="6500"/>
  </r>
  <r>
    <s v="TX0384"/>
    <x v="3"/>
    <n v="8"/>
    <n v="18654"/>
    <x v="383"/>
    <s v="Prerak Chander"/>
    <x v="7"/>
    <s v="India"/>
    <s v="Online"/>
    <s v="UPI"/>
    <n v="149232"/>
    <n v="17354"/>
    <n v="138832"/>
    <n v="10400"/>
  </r>
  <r>
    <s v="TX0385"/>
    <x v="1"/>
    <n v="4"/>
    <n v="17843"/>
    <x v="384"/>
    <s v="Emir Doshi"/>
    <x v="15"/>
    <s v="India"/>
    <s v="Direct"/>
    <s v="Debit Card"/>
    <n v="71372"/>
    <n v="16543"/>
    <n v="66172"/>
    <n v="5200"/>
  </r>
  <r>
    <s v="TX0386"/>
    <x v="0"/>
    <n v="1"/>
    <n v="2447"/>
    <x v="385"/>
    <s v="Yakshit Krishnamurthy"/>
    <x v="24"/>
    <s v="India"/>
    <s v="Store"/>
    <s v="UPI"/>
    <n v="2447"/>
    <n v="1147"/>
    <n v="1147"/>
    <n v="1300"/>
  </r>
  <r>
    <s v="TX0387"/>
    <x v="8"/>
    <n v="6"/>
    <n v="6469"/>
    <x v="386"/>
    <s v="Parinaaz Golla"/>
    <x v="16"/>
    <s v="India"/>
    <s v="Store"/>
    <s v="UPI"/>
    <n v="38814"/>
    <n v="5169"/>
    <n v="31014"/>
    <n v="7800"/>
  </r>
  <r>
    <s v="TX0388"/>
    <x v="9"/>
    <n v="5"/>
    <n v="18102"/>
    <x v="387"/>
    <s v="Anaya Gola"/>
    <x v="22"/>
    <s v="India"/>
    <s v="Online"/>
    <s v="Debit Card"/>
    <n v="90510"/>
    <n v="16802"/>
    <n v="84010"/>
    <n v="6500"/>
  </r>
  <r>
    <s v="TX0389"/>
    <x v="1"/>
    <n v="1"/>
    <n v="2043"/>
    <x v="388"/>
    <s v="Mahika Reddy"/>
    <x v="23"/>
    <s v="India"/>
    <s v="Online"/>
    <s v="Cash"/>
    <n v="2043"/>
    <n v="743"/>
    <n v="743"/>
    <n v="1300"/>
  </r>
  <r>
    <s v="TX0390"/>
    <x v="9"/>
    <n v="3"/>
    <n v="9526"/>
    <x v="389"/>
    <s v="Krish Kashyap"/>
    <x v="11"/>
    <s v="India"/>
    <s v="Direct"/>
    <s v="Credit Card"/>
    <n v="28578"/>
    <n v="8226"/>
    <n v="24678"/>
    <n v="3900"/>
  </r>
  <r>
    <s v="TX0391"/>
    <x v="2"/>
    <n v="4"/>
    <n v="13991"/>
    <x v="390"/>
    <s v="Ishaan Wable"/>
    <x v="9"/>
    <s v="India"/>
    <s v="Store"/>
    <s v="Cash"/>
    <n v="55964"/>
    <n v="12691"/>
    <n v="50764"/>
    <n v="5200"/>
  </r>
  <r>
    <s v="TX0392"/>
    <x v="1"/>
    <n v="2"/>
    <n v="7012"/>
    <x v="391"/>
    <s v="Eshani Zachariah"/>
    <x v="23"/>
    <s v="India"/>
    <s v="Direct"/>
    <s v="Net Banking"/>
    <n v="14024"/>
    <n v="5712"/>
    <n v="11424"/>
    <n v="2600"/>
  </r>
  <r>
    <s v="TX0393"/>
    <x v="4"/>
    <n v="8"/>
    <n v="4583"/>
    <x v="392"/>
    <s v="Uthkarsh Shanker"/>
    <x v="8"/>
    <s v="India"/>
    <s v="Online"/>
    <s v="Cash"/>
    <n v="36664"/>
    <n v="3283"/>
    <n v="26264"/>
    <n v="10400"/>
  </r>
  <r>
    <s v="TX0394"/>
    <x v="1"/>
    <n v="2"/>
    <n v="7410"/>
    <x v="393"/>
    <s v="Raghav Chandra"/>
    <x v="20"/>
    <s v="India"/>
    <s v="Online"/>
    <s v="UPI"/>
    <n v="14820"/>
    <n v="6110"/>
    <n v="12220"/>
    <n v="2600"/>
  </r>
  <r>
    <s v="TX0395"/>
    <x v="7"/>
    <n v="4"/>
    <n v="5360"/>
    <x v="394"/>
    <s v="Prisha Raju"/>
    <x v="24"/>
    <s v="India"/>
    <s v="Online"/>
    <s v="Cash"/>
    <n v="21440"/>
    <n v="4060"/>
    <n v="16240"/>
    <n v="5200"/>
  </r>
  <r>
    <s v="TX0396"/>
    <x v="7"/>
    <n v="5"/>
    <n v="4881"/>
    <x v="395"/>
    <s v="Nayantara Jani"/>
    <x v="10"/>
    <s v="India"/>
    <s v="Online"/>
    <s v="Debit Card"/>
    <n v="24405"/>
    <n v="3581"/>
    <n v="17905"/>
    <n v="6500"/>
  </r>
  <r>
    <s v="TX0397"/>
    <x v="5"/>
    <n v="2"/>
    <n v="4837"/>
    <x v="396"/>
    <s v="Ela Dash"/>
    <x v="11"/>
    <s v="India"/>
    <s v="Direct"/>
    <s v="Credit Card"/>
    <n v="9674"/>
    <n v="3537"/>
    <n v="7074"/>
    <n v="2600"/>
  </r>
  <r>
    <s v="TX0398"/>
    <x v="6"/>
    <n v="8"/>
    <n v="3000"/>
    <x v="397"/>
    <s v="Alia Chauhan"/>
    <x v="3"/>
    <s v="India"/>
    <s v="Online"/>
    <s v="Debit Card"/>
    <n v="24000"/>
    <n v="1700"/>
    <n v="13600"/>
    <n v="10400"/>
  </r>
  <r>
    <s v="TX0399"/>
    <x v="2"/>
    <n v="5"/>
    <n v="12582"/>
    <x v="398"/>
    <s v="Devansh Hora"/>
    <x v="20"/>
    <s v="India"/>
    <s v="Online"/>
    <s v="UPI"/>
    <n v="62910"/>
    <n v="11282"/>
    <n v="56410"/>
    <n v="6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AF1F6A-B072-4403-840E-E74C15534486}" name="product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K28" firstHeaderRow="0" firstDataRow="1" firstDataCol="1"/>
  <pivotFields count="17">
    <pivotField showAll="0"/>
    <pivotField axis="axisRow" showAll="0">
      <items count="11">
        <item h="1" x="9"/>
        <item x="1"/>
        <item x="2"/>
        <item x="5"/>
        <item x="7"/>
        <item h="1" x="3"/>
        <item h="1" x="8"/>
        <item h="1" x="6"/>
        <item h="1" x="0"/>
        <item h="1" x="4"/>
        <item t="default"/>
      </items>
    </pivotField>
    <pivotField showAll="0"/>
    <pivotField showAll="0"/>
    <pivotField numFmtId="14"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showAll="0"/>
    <pivotField showAll="0"/>
    <pivotField showAll="0"/>
    <pivotField showAll="0"/>
    <pivotField showAll="0"/>
    <pivotField dataField="1"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5">
    <i>
      <x v="1"/>
    </i>
    <i>
      <x v="2"/>
    </i>
    <i>
      <x v="3"/>
    </i>
    <i>
      <x v="4"/>
    </i>
    <i t="grand">
      <x/>
    </i>
  </rowItems>
  <colFields count="1">
    <field x="-2"/>
  </colFields>
  <colItems count="2">
    <i>
      <x/>
    </i>
    <i i="1">
      <x v="1"/>
    </i>
  </colItems>
  <dataFields count="2">
    <dataField name="Sum of Sales" fld="10" baseField="0" baseItem="0"/>
    <dataField name="Sum of Profit" fld="1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30A89B-B2B6-4F66-8AB3-11D844160BAE}" name="month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3:C36" firstHeaderRow="0" firstDataRow="1" firstDataCol="1"/>
  <pivotFields count="17">
    <pivotField showAll="0"/>
    <pivotField showAll="0">
      <items count="11">
        <item h="1" x="9"/>
        <item x="1"/>
        <item x="2"/>
        <item x="5"/>
        <item x="7"/>
        <item h="1" x="3"/>
        <item h="1" x="8"/>
        <item h="1" x="6"/>
        <item h="1" x="0"/>
        <item h="1" x="4"/>
        <item t="default"/>
      </items>
    </pivotField>
    <pivotField showAll="0"/>
    <pivotField showAll="0"/>
    <pivotField axis="axisRow" numFmtId="14"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0" baseField="0" baseItem="0"/>
    <dataField name="Sum of Profit" fld="13" showDataAs="percentOfTotal" baseField="0" baseItem="0" numFmtId="1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51AF6-77FC-43A4-8FA7-1C17BC6453A5}" name="sumofprofi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5:J10" firstHeaderRow="1" firstDataRow="1" firstDataCol="1"/>
  <pivotFields count="17">
    <pivotField showAll="0"/>
    <pivotField axis="axisRow" showAll="0">
      <items count="11">
        <item h="1" x="9"/>
        <item x="1"/>
        <item x="2"/>
        <item x="5"/>
        <item x="7"/>
        <item h="1" x="3"/>
        <item h="1" x="8"/>
        <item h="1" x="6"/>
        <item h="1" x="0"/>
        <item h="1" x="4"/>
        <item t="default"/>
      </items>
    </pivotField>
    <pivotField showAll="0"/>
    <pivotField showAll="0"/>
    <pivotField numFmtId="14"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5">
    <i>
      <x v="1"/>
    </i>
    <i>
      <x v="2"/>
    </i>
    <i>
      <x v="3"/>
    </i>
    <i>
      <x v="4"/>
    </i>
    <i t="grand">
      <x/>
    </i>
  </rowItems>
  <colItems count="1">
    <i/>
  </colItems>
  <dataFields count="1">
    <dataField name="Sum of Profit" fld="13" baseField="0" baseItem="0"/>
  </dataFields>
  <chartFormats count="2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4" format="4">
      <pivotArea type="data" outline="0" fieldPosition="0">
        <references count="2">
          <reference field="4294967294" count="1" selected="0">
            <x v="0"/>
          </reference>
          <reference field="1" count="1" selected="0">
            <x v="2"/>
          </reference>
        </references>
      </pivotArea>
    </chartFormat>
    <chartFormat chart="4" format="5">
      <pivotArea type="data" outline="0" fieldPosition="0">
        <references count="2">
          <reference field="4294967294" count="1" selected="0">
            <x v="0"/>
          </reference>
          <reference field="1" count="1" selected="0">
            <x v="3"/>
          </reference>
        </references>
      </pivotArea>
    </chartFormat>
    <chartFormat chart="4" format="6">
      <pivotArea type="data" outline="0" fieldPosition="0">
        <references count="2">
          <reference field="4294967294" count="1" selected="0">
            <x v="0"/>
          </reference>
          <reference field="1" count="1" selected="0">
            <x v="4"/>
          </reference>
        </references>
      </pivotArea>
    </chartFormat>
    <chartFormat chart="4" format="7">
      <pivotArea type="data" outline="0" fieldPosition="0">
        <references count="2">
          <reference field="4294967294" count="1" selected="0">
            <x v="0"/>
          </reference>
          <reference field="1" count="1" selected="0">
            <x v="5"/>
          </reference>
        </references>
      </pivotArea>
    </chartFormat>
    <chartFormat chart="4" format="8">
      <pivotArea type="data" outline="0" fieldPosition="0">
        <references count="2">
          <reference field="4294967294" count="1" selected="0">
            <x v="0"/>
          </reference>
          <reference field="1" count="1" selected="0">
            <x v="6"/>
          </reference>
        </references>
      </pivotArea>
    </chartFormat>
    <chartFormat chart="4" format="9">
      <pivotArea type="data" outline="0" fieldPosition="0">
        <references count="2">
          <reference field="4294967294" count="1" selected="0">
            <x v="0"/>
          </reference>
          <reference field="1" count="1" selected="0">
            <x v="7"/>
          </reference>
        </references>
      </pivotArea>
    </chartFormat>
    <chartFormat chart="4" format="10">
      <pivotArea type="data" outline="0" fieldPosition="0">
        <references count="2">
          <reference field="4294967294" count="1" selected="0">
            <x v="0"/>
          </reference>
          <reference field="1" count="1" selected="0">
            <x v="8"/>
          </reference>
        </references>
      </pivotArea>
    </chartFormat>
    <chartFormat chart="4" format="11">
      <pivotArea type="data" outline="0" fieldPosition="0">
        <references count="2">
          <reference field="4294967294" count="1" selected="0">
            <x v="0"/>
          </reference>
          <reference field="1" count="1" selected="0">
            <x v="9"/>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 chart="5" format="18">
      <pivotArea type="data" outline="0" fieldPosition="0">
        <references count="2">
          <reference field="4294967294" count="1" selected="0">
            <x v="0"/>
          </reference>
          <reference field="1" count="1" selected="0">
            <x v="5"/>
          </reference>
        </references>
      </pivotArea>
    </chartFormat>
    <chartFormat chart="5" format="19">
      <pivotArea type="data" outline="0" fieldPosition="0">
        <references count="2">
          <reference field="4294967294" count="1" selected="0">
            <x v="0"/>
          </reference>
          <reference field="1" count="1" selected="0">
            <x v="6"/>
          </reference>
        </references>
      </pivotArea>
    </chartFormat>
    <chartFormat chart="5" format="20">
      <pivotArea type="data" outline="0" fieldPosition="0">
        <references count="2">
          <reference field="4294967294" count="1" selected="0">
            <x v="0"/>
          </reference>
          <reference field="1" count="1" selected="0">
            <x v="7"/>
          </reference>
        </references>
      </pivotArea>
    </chartFormat>
    <chartFormat chart="5" format="21">
      <pivotArea type="data" outline="0" fieldPosition="0">
        <references count="2">
          <reference field="4294967294" count="1" selected="0">
            <x v="0"/>
          </reference>
          <reference field="1" count="1" selected="0">
            <x v="8"/>
          </reference>
        </references>
      </pivotArea>
    </chartFormat>
    <chartFormat chart="5"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353E1-07F8-4BF2-8FD9-09D6CEDBA137}" name="totalpurcha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5:F10" firstHeaderRow="1" firstDataRow="1" firstDataCol="1"/>
  <pivotFields count="17">
    <pivotField showAll="0"/>
    <pivotField axis="axisRow" showAll="0">
      <items count="11">
        <item h="1" x="9"/>
        <item x="1"/>
        <item x="2"/>
        <item x="5"/>
        <item x="7"/>
        <item h="1" x="3"/>
        <item h="1" x="8"/>
        <item h="1" x="6"/>
        <item h="1" x="0"/>
        <item h="1" x="4"/>
        <item t="default"/>
      </items>
    </pivotField>
    <pivotField showAll="0"/>
    <pivotField showAll="0"/>
    <pivotField numFmtId="14"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5">
    <i>
      <x v="1"/>
    </i>
    <i>
      <x v="2"/>
    </i>
    <i>
      <x v="3"/>
    </i>
    <i>
      <x v="4"/>
    </i>
    <i t="grand">
      <x/>
    </i>
  </rowItems>
  <colItems count="1">
    <i/>
  </colItems>
  <dataFields count="1">
    <dataField name="Sum of Total purchase cost" fld="12" baseField="0" baseItem="0"/>
  </dataFields>
  <chartFormats count="23">
    <chartFormat chart="11"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1" count="1" selected="0">
            <x v="0"/>
          </reference>
        </references>
      </pivotArea>
    </chartFormat>
    <chartFormat chart="18" format="3">
      <pivotArea type="data" outline="0" fieldPosition="0">
        <references count="2">
          <reference field="4294967294" count="1" selected="0">
            <x v="0"/>
          </reference>
          <reference field="1" count="1" selected="0">
            <x v="1"/>
          </reference>
        </references>
      </pivotArea>
    </chartFormat>
    <chartFormat chart="18" format="4">
      <pivotArea type="data" outline="0" fieldPosition="0">
        <references count="2">
          <reference field="4294967294" count="1" selected="0">
            <x v="0"/>
          </reference>
          <reference field="1" count="1" selected="0">
            <x v="2"/>
          </reference>
        </references>
      </pivotArea>
    </chartFormat>
    <chartFormat chart="18" format="5">
      <pivotArea type="data" outline="0" fieldPosition="0">
        <references count="2">
          <reference field="4294967294" count="1" selected="0">
            <x v="0"/>
          </reference>
          <reference field="1" count="1" selected="0">
            <x v="3"/>
          </reference>
        </references>
      </pivotArea>
    </chartFormat>
    <chartFormat chart="18" format="6">
      <pivotArea type="data" outline="0" fieldPosition="0">
        <references count="2">
          <reference field="4294967294" count="1" selected="0">
            <x v="0"/>
          </reference>
          <reference field="1" count="1" selected="0">
            <x v="4"/>
          </reference>
        </references>
      </pivotArea>
    </chartFormat>
    <chartFormat chart="18" format="7">
      <pivotArea type="data" outline="0" fieldPosition="0">
        <references count="2">
          <reference field="4294967294" count="1" selected="0">
            <x v="0"/>
          </reference>
          <reference field="1" count="1" selected="0">
            <x v="5"/>
          </reference>
        </references>
      </pivotArea>
    </chartFormat>
    <chartFormat chart="18" format="8">
      <pivotArea type="data" outline="0" fieldPosition="0">
        <references count="2">
          <reference field="4294967294" count="1" selected="0">
            <x v="0"/>
          </reference>
          <reference field="1" count="1" selected="0">
            <x v="6"/>
          </reference>
        </references>
      </pivotArea>
    </chartFormat>
    <chartFormat chart="18" format="9">
      <pivotArea type="data" outline="0" fieldPosition="0">
        <references count="2">
          <reference field="4294967294" count="1" selected="0">
            <x v="0"/>
          </reference>
          <reference field="1" count="1" selected="0">
            <x v="7"/>
          </reference>
        </references>
      </pivotArea>
    </chartFormat>
    <chartFormat chart="18" format="10">
      <pivotArea type="data" outline="0" fieldPosition="0">
        <references count="2">
          <reference field="4294967294" count="1" selected="0">
            <x v="0"/>
          </reference>
          <reference field="1" count="1" selected="0">
            <x v="8"/>
          </reference>
        </references>
      </pivotArea>
    </chartFormat>
    <chartFormat chart="18" format="11">
      <pivotArea type="data" outline="0" fieldPosition="0">
        <references count="2">
          <reference field="4294967294" count="1" selected="0">
            <x v="0"/>
          </reference>
          <reference field="1" count="1" selected="0">
            <x v="9"/>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1" count="1" selected="0">
            <x v="0"/>
          </reference>
        </references>
      </pivotArea>
    </chartFormat>
    <chartFormat chart="19" format="14">
      <pivotArea type="data" outline="0" fieldPosition="0">
        <references count="2">
          <reference field="4294967294" count="1" selected="0">
            <x v="0"/>
          </reference>
          <reference field="1" count="1" selected="0">
            <x v="1"/>
          </reference>
        </references>
      </pivotArea>
    </chartFormat>
    <chartFormat chart="19" format="15">
      <pivotArea type="data" outline="0" fieldPosition="0">
        <references count="2">
          <reference field="4294967294" count="1" selected="0">
            <x v="0"/>
          </reference>
          <reference field="1" count="1" selected="0">
            <x v="2"/>
          </reference>
        </references>
      </pivotArea>
    </chartFormat>
    <chartFormat chart="19" format="16">
      <pivotArea type="data" outline="0" fieldPosition="0">
        <references count="2">
          <reference field="4294967294" count="1" selected="0">
            <x v="0"/>
          </reference>
          <reference field="1" count="1" selected="0">
            <x v="3"/>
          </reference>
        </references>
      </pivotArea>
    </chartFormat>
    <chartFormat chart="19" format="17">
      <pivotArea type="data" outline="0" fieldPosition="0">
        <references count="2">
          <reference field="4294967294" count="1" selected="0">
            <x v="0"/>
          </reference>
          <reference field="1" count="1" selected="0">
            <x v="4"/>
          </reference>
        </references>
      </pivotArea>
    </chartFormat>
    <chartFormat chart="19" format="18">
      <pivotArea type="data" outline="0" fieldPosition="0">
        <references count="2">
          <reference field="4294967294" count="1" selected="0">
            <x v="0"/>
          </reference>
          <reference field="1" count="1" selected="0">
            <x v="5"/>
          </reference>
        </references>
      </pivotArea>
    </chartFormat>
    <chartFormat chart="19" format="19">
      <pivotArea type="data" outline="0" fieldPosition="0">
        <references count="2">
          <reference field="4294967294" count="1" selected="0">
            <x v="0"/>
          </reference>
          <reference field="1" count="1" selected="0">
            <x v="6"/>
          </reference>
        </references>
      </pivotArea>
    </chartFormat>
    <chartFormat chart="19" format="20">
      <pivotArea type="data" outline="0" fieldPosition="0">
        <references count="2">
          <reference field="4294967294" count="1" selected="0">
            <x v="0"/>
          </reference>
          <reference field="1" count="1" selected="0">
            <x v="7"/>
          </reference>
        </references>
      </pivotArea>
    </chartFormat>
    <chartFormat chart="19" format="21">
      <pivotArea type="data" outline="0" fieldPosition="0">
        <references count="2">
          <reference field="4294967294" count="1" selected="0">
            <x v="0"/>
          </reference>
          <reference field="1" count="1" selected="0">
            <x v="8"/>
          </reference>
        </references>
      </pivotArea>
    </chartFormat>
    <chartFormat chart="19"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176D3C-26E0-40D8-A731-B0AAB500F4B1}" name="totalsum"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5:B10" firstHeaderRow="1" firstDataRow="1" firstDataCol="1"/>
  <pivotFields count="17">
    <pivotField showAll="0"/>
    <pivotField axis="axisRow" showAll="0">
      <items count="11">
        <item h="1" x="9"/>
        <item x="1"/>
        <item x="2"/>
        <item x="5"/>
        <item x="7"/>
        <item h="1" x="3"/>
        <item h="1" x="8"/>
        <item h="1" x="6"/>
        <item h="1" x="0"/>
        <item h="1" x="4"/>
        <item t="default"/>
      </items>
    </pivotField>
    <pivotField showAll="0"/>
    <pivotField showAll="0"/>
    <pivotField numFmtId="14"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5">
    <i>
      <x v="1"/>
    </i>
    <i>
      <x v="2"/>
    </i>
    <i>
      <x v="3"/>
    </i>
    <i>
      <x v="4"/>
    </i>
    <i t="grand">
      <x/>
    </i>
  </rowItems>
  <colItems count="1">
    <i/>
  </colItems>
  <dataFields count="1">
    <dataField name="Sum of Sales" fld="10" baseField="0" baseItem="0"/>
  </dataFields>
  <chartFormats count="23">
    <chartFormat chart="6"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1" format="4">
      <pivotArea type="data" outline="0" fieldPosition="0">
        <references count="2">
          <reference field="4294967294" count="1" selected="0">
            <x v="0"/>
          </reference>
          <reference field="1" count="1" selected="0">
            <x v="2"/>
          </reference>
        </references>
      </pivotArea>
    </chartFormat>
    <chartFormat chart="11" format="5">
      <pivotArea type="data" outline="0" fieldPosition="0">
        <references count="2">
          <reference field="4294967294" count="1" selected="0">
            <x v="0"/>
          </reference>
          <reference field="1" count="1" selected="0">
            <x v="3"/>
          </reference>
        </references>
      </pivotArea>
    </chartFormat>
    <chartFormat chart="11" format="6">
      <pivotArea type="data" outline="0" fieldPosition="0">
        <references count="2">
          <reference field="4294967294" count="1" selected="0">
            <x v="0"/>
          </reference>
          <reference field="1" count="1" selected="0">
            <x v="4"/>
          </reference>
        </references>
      </pivotArea>
    </chartFormat>
    <chartFormat chart="11" format="7">
      <pivotArea type="data" outline="0" fieldPosition="0">
        <references count="2">
          <reference field="4294967294" count="1" selected="0">
            <x v="0"/>
          </reference>
          <reference field="1" count="1" selected="0">
            <x v="5"/>
          </reference>
        </references>
      </pivotArea>
    </chartFormat>
    <chartFormat chart="11" format="8">
      <pivotArea type="data" outline="0" fieldPosition="0">
        <references count="2">
          <reference field="4294967294" count="1" selected="0">
            <x v="0"/>
          </reference>
          <reference field="1" count="1" selected="0">
            <x v="6"/>
          </reference>
        </references>
      </pivotArea>
    </chartFormat>
    <chartFormat chart="11" format="9">
      <pivotArea type="data" outline="0" fieldPosition="0">
        <references count="2">
          <reference field="4294967294" count="1" selected="0">
            <x v="0"/>
          </reference>
          <reference field="1" count="1" selected="0">
            <x v="7"/>
          </reference>
        </references>
      </pivotArea>
    </chartFormat>
    <chartFormat chart="11" format="10">
      <pivotArea type="data" outline="0" fieldPosition="0">
        <references count="2">
          <reference field="4294967294" count="1" selected="0">
            <x v="0"/>
          </reference>
          <reference field="1" count="1" selected="0">
            <x v="8"/>
          </reference>
        </references>
      </pivotArea>
    </chartFormat>
    <chartFormat chart="11" format="11">
      <pivotArea type="data" outline="0" fieldPosition="0">
        <references count="2">
          <reference field="4294967294" count="1" selected="0">
            <x v="0"/>
          </reference>
          <reference field="1" count="1" selected="0">
            <x v="9"/>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0"/>
          </reference>
        </references>
      </pivotArea>
    </chartFormat>
    <chartFormat chart="12" format="14">
      <pivotArea type="data" outline="0" fieldPosition="0">
        <references count="2">
          <reference field="4294967294" count="1" selected="0">
            <x v="0"/>
          </reference>
          <reference field="1" count="1" selected="0">
            <x v="1"/>
          </reference>
        </references>
      </pivotArea>
    </chartFormat>
    <chartFormat chart="12" format="15">
      <pivotArea type="data" outline="0" fieldPosition="0">
        <references count="2">
          <reference field="4294967294" count="1" selected="0">
            <x v="0"/>
          </reference>
          <reference field="1" count="1" selected="0">
            <x v="2"/>
          </reference>
        </references>
      </pivotArea>
    </chartFormat>
    <chartFormat chart="12" format="16">
      <pivotArea type="data" outline="0" fieldPosition="0">
        <references count="2">
          <reference field="4294967294" count="1" selected="0">
            <x v="0"/>
          </reference>
          <reference field="1" count="1" selected="0">
            <x v="3"/>
          </reference>
        </references>
      </pivotArea>
    </chartFormat>
    <chartFormat chart="12" format="17">
      <pivotArea type="data" outline="0" fieldPosition="0">
        <references count="2">
          <reference field="4294967294" count="1" selected="0">
            <x v="0"/>
          </reference>
          <reference field="1" count="1" selected="0">
            <x v="4"/>
          </reference>
        </references>
      </pivotArea>
    </chartFormat>
    <chartFormat chart="12" format="18">
      <pivotArea type="data" outline="0" fieldPosition="0">
        <references count="2">
          <reference field="4294967294" count="1" selected="0">
            <x v="0"/>
          </reference>
          <reference field="1" count="1" selected="0">
            <x v="5"/>
          </reference>
        </references>
      </pivotArea>
    </chartFormat>
    <chartFormat chart="12" format="19">
      <pivotArea type="data" outline="0" fieldPosition="0">
        <references count="2">
          <reference field="4294967294" count="1" selected="0">
            <x v="0"/>
          </reference>
          <reference field="1" count="1" selected="0">
            <x v="6"/>
          </reference>
        </references>
      </pivotArea>
    </chartFormat>
    <chartFormat chart="12" format="20">
      <pivotArea type="data" outline="0" fieldPosition="0">
        <references count="2">
          <reference field="4294967294" count="1" selected="0">
            <x v="0"/>
          </reference>
          <reference field="1" count="1" selected="0">
            <x v="7"/>
          </reference>
        </references>
      </pivotArea>
    </chartFormat>
    <chartFormat chart="12" format="21">
      <pivotArea type="data" outline="0" fieldPosition="0">
        <references count="2">
          <reference field="4294967294" count="1" selected="0">
            <x v="0"/>
          </reference>
          <reference field="1" count="1" selected="0">
            <x v="8"/>
          </reference>
        </references>
      </pivotArea>
    </chartFormat>
    <chartFormat chart="12" format="22">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BBFB2B-C712-4657-A02B-40F400902B0C}" name="statewis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72" firstHeaderRow="1" firstDataRow="1" firstDataCol="1"/>
  <pivotFields count="17">
    <pivotField showAll="0"/>
    <pivotField showAll="0">
      <items count="11">
        <item h="1" x="9"/>
        <item x="1"/>
        <item x="2"/>
        <item x="5"/>
        <item x="7"/>
        <item h="1" x="3"/>
        <item h="1" x="8"/>
        <item h="1" x="6"/>
        <item h="1" x="0"/>
        <item h="1" x="4"/>
        <item t="default"/>
      </items>
    </pivotField>
    <pivotField showAll="0"/>
    <pivotField showAll="0"/>
    <pivotField numFmtId="14" showAl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t="default"/>
      </items>
    </pivotField>
    <pivotField showAll="0"/>
    <pivotField axis="axisRow" showAll="0">
      <items count="29">
        <item x="13"/>
        <item x="0"/>
        <item x="8"/>
        <item x="2"/>
        <item x="20"/>
        <item x="6"/>
        <item x="14"/>
        <item x="25"/>
        <item x="21"/>
        <item x="24"/>
        <item x="11"/>
        <item x="16"/>
        <item x="4"/>
        <item x="27"/>
        <item x="3"/>
        <item x="5"/>
        <item x="17"/>
        <item x="18"/>
        <item x="1"/>
        <item x="7"/>
        <item x="22"/>
        <item x="9"/>
        <item x="26"/>
        <item x="15"/>
        <item x="10"/>
        <item x="12"/>
        <item x="19"/>
        <item x="23"/>
        <item t="default"/>
      </items>
    </pivotField>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6E40B46-CC3C-4E1C-AF01-D587197D9305}" sourceName="Product">
  <pivotTables>
    <pivotTable tabId="4" name="productwise"/>
    <pivotTable tabId="4" name="monthwise"/>
    <pivotTable tabId="4" name="statewise"/>
    <pivotTable tabId="4" name="totalsum"/>
    <pivotTable tabId="4" name="totalpurchase"/>
    <pivotTable tabId="4" name="sumofprofit"/>
  </pivotTables>
  <data>
    <tabular pivotCacheId="402188145">
      <items count="10">
        <i x="9"/>
        <i x="1" s="1"/>
        <i x="2" s="1"/>
        <i x="5" s="1"/>
        <i x="7" s="1"/>
        <i x="3"/>
        <i x="8"/>
        <i x="6"/>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E015BEF-F701-445E-B533-533190689C92}"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6E889E6-A57E-4E54-A94F-54EEFFB80838}"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A445-1564-49A9-8C48-7D654A83B6E8}">
  <dimension ref="A1"/>
  <sheetViews>
    <sheetView tabSelected="1" zoomScale="73" zoomScaleNormal="73" workbookViewId="0">
      <selection activeCell="T39" sqref="T39"/>
    </sheetView>
  </sheetViews>
  <sheetFormatPr defaultRowHeight="14.4" x14ac:dyDescent="0.3"/>
  <cols>
    <col min="18" max="18" width="11.1093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94A8-2240-40B1-BA13-91B441415C73}">
  <dimension ref="A3:O72"/>
  <sheetViews>
    <sheetView zoomScale="57" zoomScaleNormal="131" workbookViewId="0">
      <selection activeCell="M64" sqref="M64"/>
    </sheetView>
  </sheetViews>
  <sheetFormatPr defaultRowHeight="14.4" x14ac:dyDescent="0.3"/>
  <cols>
    <col min="1" max="1" width="18.21875" bestFit="1" customWidth="1"/>
    <col min="2" max="3" width="15.88671875" bestFit="1" customWidth="1"/>
    <col min="4" max="4" width="15" customWidth="1"/>
    <col min="5" max="5" width="18.21875" bestFit="1" customWidth="1"/>
    <col min="6" max="6" width="31.88671875" bestFit="1" customWidth="1"/>
    <col min="7" max="7" width="15.21875" customWidth="1"/>
    <col min="8" max="8" width="15.6640625" customWidth="1"/>
    <col min="9" max="9" width="18.21875" bestFit="1" customWidth="1"/>
    <col min="10" max="11" width="15.6640625" bestFit="1" customWidth="1"/>
    <col min="12" max="85" width="15.5546875" bestFit="1" customWidth="1"/>
    <col min="86" max="86" width="16.44140625" bestFit="1" customWidth="1"/>
    <col min="87" max="87" width="16.88671875" bestFit="1" customWidth="1"/>
  </cols>
  <sheetData>
    <row r="3" spans="1:10" x14ac:dyDescent="0.3">
      <c r="B3">
        <f>GETPIVOTDATA("Sales",$A$10)</f>
        <v>8868188</v>
      </c>
      <c r="F3">
        <f>GETPIVOTDATA("Total purchase cost",$E$5)</f>
        <v>7867688</v>
      </c>
      <c r="J3">
        <f>GETPIVOTDATA("Profit",$I$5)</f>
        <v>1000500</v>
      </c>
    </row>
    <row r="4" spans="1:10" ht="14.4" customHeight="1" x14ac:dyDescent="0.3"/>
    <row r="5" spans="1:10" x14ac:dyDescent="0.3">
      <c r="A5" s="3" t="s">
        <v>861</v>
      </c>
      <c r="B5" t="s">
        <v>855</v>
      </c>
      <c r="E5" s="3" t="s">
        <v>861</v>
      </c>
      <c r="F5" t="s">
        <v>860</v>
      </c>
      <c r="I5" s="3" t="s">
        <v>861</v>
      </c>
      <c r="J5" t="s">
        <v>858</v>
      </c>
    </row>
    <row r="6" spans="1:10" x14ac:dyDescent="0.3">
      <c r="A6" s="4" t="s">
        <v>19</v>
      </c>
      <c r="B6">
        <v>2228876</v>
      </c>
      <c r="E6" s="4" t="s">
        <v>19</v>
      </c>
      <c r="F6">
        <v>1965076</v>
      </c>
      <c r="I6" s="4" t="s">
        <v>19</v>
      </c>
      <c r="J6">
        <v>263800</v>
      </c>
    </row>
    <row r="7" spans="1:10" x14ac:dyDescent="0.3">
      <c r="A7" s="4" t="s">
        <v>27</v>
      </c>
      <c r="B7">
        <v>2146360</v>
      </c>
      <c r="E7" s="4" t="s">
        <v>27</v>
      </c>
      <c r="F7">
        <v>1923860</v>
      </c>
      <c r="I7" s="4" t="s">
        <v>27</v>
      </c>
      <c r="J7">
        <v>222500</v>
      </c>
    </row>
    <row r="8" spans="1:10" x14ac:dyDescent="0.3">
      <c r="A8" s="4" t="s">
        <v>44</v>
      </c>
      <c r="B8">
        <v>2884446</v>
      </c>
      <c r="E8" s="4" t="s">
        <v>44</v>
      </c>
      <c r="F8">
        <v>2552346</v>
      </c>
      <c r="I8" s="4" t="s">
        <v>44</v>
      </c>
      <c r="J8">
        <v>332100</v>
      </c>
    </row>
    <row r="9" spans="1:10" x14ac:dyDescent="0.3">
      <c r="A9" s="4" t="s">
        <v>59</v>
      </c>
      <c r="B9">
        <v>1608506</v>
      </c>
      <c r="E9" s="4" t="s">
        <v>59</v>
      </c>
      <c r="F9">
        <v>1426406</v>
      </c>
      <c r="I9" s="4" t="s">
        <v>59</v>
      </c>
      <c r="J9">
        <v>182100</v>
      </c>
    </row>
    <row r="10" spans="1:10" x14ac:dyDescent="0.3">
      <c r="A10" s="4" t="s">
        <v>862</v>
      </c>
      <c r="B10">
        <v>8868188</v>
      </c>
      <c r="E10" s="4" t="s">
        <v>862</v>
      </c>
      <c r="F10">
        <v>7867688</v>
      </c>
      <c r="I10" s="4" t="s">
        <v>862</v>
      </c>
      <c r="J10">
        <v>1000500</v>
      </c>
    </row>
    <row r="23" spans="1:15" x14ac:dyDescent="0.3">
      <c r="A23" s="3" t="s">
        <v>861</v>
      </c>
      <c r="B23" t="s">
        <v>855</v>
      </c>
      <c r="C23" t="s">
        <v>858</v>
      </c>
      <c r="I23" s="3" t="s">
        <v>861</v>
      </c>
      <c r="J23" t="s">
        <v>855</v>
      </c>
      <c r="K23" t="s">
        <v>858</v>
      </c>
      <c r="M23" s="2" t="s">
        <v>861</v>
      </c>
      <c r="N23" s="2" t="s">
        <v>855</v>
      </c>
      <c r="O23" s="2" t="s">
        <v>858</v>
      </c>
    </row>
    <row r="24" spans="1:15" x14ac:dyDescent="0.3">
      <c r="A24" s="4" t="s">
        <v>863</v>
      </c>
      <c r="B24">
        <v>732351</v>
      </c>
      <c r="C24" s="6">
        <v>7.7961019490254871E-2</v>
      </c>
      <c r="I24" s="4" t="s">
        <v>19</v>
      </c>
      <c r="J24">
        <v>2228876</v>
      </c>
      <c r="K24" s="6">
        <v>0.26366816591704145</v>
      </c>
      <c r="M24" s="4" t="s">
        <v>71</v>
      </c>
      <c r="N24" t="e">
        <f>GETPIVOTDATA("Sum of Sales",$I$23,"Product",M24)</f>
        <v>#REF!</v>
      </c>
      <c r="O24" s="7" t="e">
        <f>GETPIVOTDATA("Sum of Profit",$I$23,"Product",M24)</f>
        <v>#REF!</v>
      </c>
    </row>
    <row r="25" spans="1:15" x14ac:dyDescent="0.3">
      <c r="A25" s="4" t="s">
        <v>864</v>
      </c>
      <c r="B25">
        <v>339425</v>
      </c>
      <c r="C25" s="6">
        <v>3.7681159420289857E-2</v>
      </c>
      <c r="I25" s="4" t="s">
        <v>27</v>
      </c>
      <c r="J25">
        <v>2146360</v>
      </c>
      <c r="K25" s="6">
        <v>0.22238880559720139</v>
      </c>
      <c r="M25" s="4" t="s">
        <v>19</v>
      </c>
      <c r="N25">
        <f t="shared" ref="N25:N33" si="0">GETPIVOTDATA("Sum of Sales",$I$23,"Product",M25)</f>
        <v>2228876</v>
      </c>
      <c r="O25" s="7">
        <f t="shared" ref="O25:O33" si="1">GETPIVOTDATA("Sum of Profit",$I$23,"Product",M25)</f>
        <v>0.26366816591704145</v>
      </c>
    </row>
    <row r="26" spans="1:15" x14ac:dyDescent="0.3">
      <c r="A26" s="4" t="s">
        <v>865</v>
      </c>
      <c r="B26">
        <v>717926</v>
      </c>
      <c r="C26" s="6">
        <v>8.1859070464767619E-2</v>
      </c>
      <c r="I26" s="4" t="s">
        <v>44</v>
      </c>
      <c r="J26">
        <v>2884446</v>
      </c>
      <c r="K26" s="6">
        <v>0.33193403298350826</v>
      </c>
      <c r="M26" s="4" t="s">
        <v>27</v>
      </c>
      <c r="N26">
        <f t="shared" si="0"/>
        <v>2146360</v>
      </c>
      <c r="O26" s="7">
        <f t="shared" si="1"/>
        <v>0.22238880559720139</v>
      </c>
    </row>
    <row r="27" spans="1:15" x14ac:dyDescent="0.3">
      <c r="A27" s="4" t="s">
        <v>866</v>
      </c>
      <c r="B27">
        <v>1321068</v>
      </c>
      <c r="C27" s="6">
        <v>0.13763118440779609</v>
      </c>
      <c r="I27" s="4" t="s">
        <v>59</v>
      </c>
      <c r="J27">
        <v>1608506</v>
      </c>
      <c r="K27" s="6">
        <v>0.18200899550224889</v>
      </c>
      <c r="M27" s="4" t="s">
        <v>44</v>
      </c>
      <c r="N27">
        <f t="shared" si="0"/>
        <v>2884446</v>
      </c>
      <c r="O27" s="7">
        <f t="shared" si="1"/>
        <v>0.33193403298350826</v>
      </c>
    </row>
    <row r="28" spans="1:15" x14ac:dyDescent="0.3">
      <c r="A28" s="4" t="s">
        <v>867</v>
      </c>
      <c r="B28">
        <v>935551</v>
      </c>
      <c r="C28" s="6">
        <v>0.10464767616191904</v>
      </c>
      <c r="I28" s="4" t="s">
        <v>862</v>
      </c>
      <c r="J28">
        <v>8868188</v>
      </c>
      <c r="K28" s="6">
        <v>1</v>
      </c>
      <c r="M28" s="4" t="s">
        <v>59</v>
      </c>
      <c r="N28">
        <f t="shared" si="0"/>
        <v>1608506</v>
      </c>
      <c r="O28" s="7">
        <f t="shared" si="1"/>
        <v>0.18200899550224889</v>
      </c>
    </row>
    <row r="29" spans="1:15" x14ac:dyDescent="0.3">
      <c r="A29" s="4" t="s">
        <v>868</v>
      </c>
      <c r="B29">
        <v>1013467</v>
      </c>
      <c r="C29" s="6">
        <v>7.4962518740629688E-2</v>
      </c>
      <c r="M29" s="4" t="s">
        <v>31</v>
      </c>
      <c r="N29" t="e">
        <f t="shared" si="0"/>
        <v>#REF!</v>
      </c>
      <c r="O29" s="7" t="e">
        <f t="shared" si="1"/>
        <v>#REF!</v>
      </c>
    </row>
    <row r="30" spans="1:15" x14ac:dyDescent="0.3">
      <c r="A30" s="4" t="s">
        <v>869</v>
      </c>
      <c r="B30">
        <v>428630</v>
      </c>
      <c r="C30" s="6">
        <v>5.8570714642678663E-2</v>
      </c>
      <c r="M30" s="4" t="s">
        <v>62</v>
      </c>
      <c r="N30" t="e">
        <f t="shared" si="0"/>
        <v>#REF!</v>
      </c>
      <c r="O30" s="7" t="e">
        <f t="shared" si="1"/>
        <v>#REF!</v>
      </c>
    </row>
    <row r="31" spans="1:15" x14ac:dyDescent="0.3">
      <c r="A31" s="4" t="s">
        <v>870</v>
      </c>
      <c r="B31">
        <v>670863</v>
      </c>
      <c r="C31" s="6">
        <v>7.1964017991004492E-2</v>
      </c>
      <c r="M31" s="4" t="s">
        <v>52</v>
      </c>
      <c r="N31" t="e">
        <f t="shared" si="0"/>
        <v>#REF!</v>
      </c>
      <c r="O31" s="7" t="e">
        <f t="shared" si="1"/>
        <v>#REF!</v>
      </c>
    </row>
    <row r="32" spans="1:15" x14ac:dyDescent="0.3">
      <c r="A32" s="4" t="s">
        <v>871</v>
      </c>
      <c r="B32">
        <v>987360</v>
      </c>
      <c r="C32" s="6">
        <v>0.12833583208395802</v>
      </c>
      <c r="M32" s="4" t="s">
        <v>12</v>
      </c>
      <c r="N32" t="e">
        <f t="shared" si="0"/>
        <v>#REF!</v>
      </c>
      <c r="O32" s="7" t="e">
        <f t="shared" si="1"/>
        <v>#REF!</v>
      </c>
    </row>
    <row r="33" spans="1:15" x14ac:dyDescent="0.3">
      <c r="A33" s="4" t="s">
        <v>872</v>
      </c>
      <c r="B33">
        <v>613438</v>
      </c>
      <c r="C33" s="6">
        <v>6.5967016491754127E-2</v>
      </c>
      <c r="M33" s="4" t="s">
        <v>40</v>
      </c>
      <c r="N33" t="e">
        <f t="shared" si="0"/>
        <v>#REF!</v>
      </c>
      <c r="O33" s="7" t="e">
        <f t="shared" si="1"/>
        <v>#REF!</v>
      </c>
    </row>
    <row r="34" spans="1:15" x14ac:dyDescent="0.3">
      <c r="A34" s="4" t="s">
        <v>873</v>
      </c>
      <c r="B34">
        <v>615749</v>
      </c>
      <c r="C34" s="6">
        <v>0.1071464267866067</v>
      </c>
    </row>
    <row r="35" spans="1:15" x14ac:dyDescent="0.3">
      <c r="A35" s="4" t="s">
        <v>874</v>
      </c>
      <c r="B35">
        <v>492360</v>
      </c>
      <c r="C35" s="6">
        <v>5.327336331834083E-2</v>
      </c>
    </row>
    <row r="36" spans="1:15" x14ac:dyDescent="0.3">
      <c r="A36" s="4" t="s">
        <v>862</v>
      </c>
      <c r="B36">
        <v>8868188</v>
      </c>
      <c r="C36" s="6">
        <v>1</v>
      </c>
    </row>
    <row r="43" spans="1:15" x14ac:dyDescent="0.3">
      <c r="B43" s="3" t="s">
        <v>861</v>
      </c>
      <c r="C43" t="s">
        <v>855</v>
      </c>
      <c r="E43" s="2" t="s">
        <v>861</v>
      </c>
      <c r="F43" s="2" t="s">
        <v>855</v>
      </c>
    </row>
    <row r="44" spans="1:15" x14ac:dyDescent="0.3">
      <c r="B44" s="4" t="s">
        <v>79</v>
      </c>
      <c r="C44">
        <v>102129</v>
      </c>
      <c r="E44" s="4" t="s">
        <v>79</v>
      </c>
      <c r="F44">
        <f>GETPIVOTDATA("Sales",$B$43,"State",E44)</f>
        <v>102129</v>
      </c>
    </row>
    <row r="45" spans="1:15" x14ac:dyDescent="0.3">
      <c r="B45" s="4" t="s">
        <v>14</v>
      </c>
      <c r="C45">
        <v>409835</v>
      </c>
      <c r="E45" s="4" t="s">
        <v>14</v>
      </c>
      <c r="F45">
        <f t="shared" ref="F45:F71" si="2">GETPIVOTDATA("Sales",$B$43,"State",E45)</f>
        <v>409835</v>
      </c>
    </row>
    <row r="46" spans="1:15" x14ac:dyDescent="0.3">
      <c r="B46" s="4" t="s">
        <v>54</v>
      </c>
      <c r="C46">
        <v>621364</v>
      </c>
      <c r="E46" s="4" t="s">
        <v>54</v>
      </c>
      <c r="F46">
        <f t="shared" si="2"/>
        <v>621364</v>
      </c>
    </row>
    <row r="47" spans="1:15" x14ac:dyDescent="0.3">
      <c r="B47" s="4" t="s">
        <v>24</v>
      </c>
      <c r="C47">
        <v>204628</v>
      </c>
      <c r="E47" s="4" t="s">
        <v>24</v>
      </c>
      <c r="F47">
        <f t="shared" si="2"/>
        <v>204628</v>
      </c>
    </row>
    <row r="48" spans="1:15" x14ac:dyDescent="0.3">
      <c r="B48" s="4" t="s">
        <v>124</v>
      </c>
      <c r="C48">
        <v>632975</v>
      </c>
      <c r="E48" s="4" t="s">
        <v>124</v>
      </c>
      <c r="F48">
        <f t="shared" si="2"/>
        <v>632975</v>
      </c>
    </row>
    <row r="49" spans="2:6" x14ac:dyDescent="0.3">
      <c r="B49" s="4" t="s">
        <v>42</v>
      </c>
      <c r="C49">
        <v>133194</v>
      </c>
      <c r="E49" s="4" t="s">
        <v>42</v>
      </c>
      <c r="F49">
        <f t="shared" si="2"/>
        <v>133194</v>
      </c>
    </row>
    <row r="50" spans="2:6" x14ac:dyDescent="0.3">
      <c r="B50" s="4" t="s">
        <v>82</v>
      </c>
      <c r="C50">
        <v>510254</v>
      </c>
      <c r="E50" s="4" t="s">
        <v>82</v>
      </c>
      <c r="F50">
        <f t="shared" si="2"/>
        <v>510254</v>
      </c>
    </row>
    <row r="51" spans="2:6" x14ac:dyDescent="0.3">
      <c r="B51" s="4" t="s">
        <v>175</v>
      </c>
      <c r="C51">
        <v>172053</v>
      </c>
      <c r="E51" s="4" t="s">
        <v>175</v>
      </c>
      <c r="F51">
        <f t="shared" si="2"/>
        <v>172053</v>
      </c>
    </row>
    <row r="52" spans="2:6" x14ac:dyDescent="0.3">
      <c r="B52" s="4" t="s">
        <v>135</v>
      </c>
      <c r="C52">
        <v>259189</v>
      </c>
      <c r="E52" s="4" t="s">
        <v>135</v>
      </c>
      <c r="F52">
        <f t="shared" si="2"/>
        <v>259189</v>
      </c>
    </row>
    <row r="53" spans="2:6" x14ac:dyDescent="0.3">
      <c r="B53" s="4" t="s">
        <v>166</v>
      </c>
      <c r="C53">
        <v>329629</v>
      </c>
      <c r="E53" s="4" t="s">
        <v>166</v>
      </c>
      <c r="F53">
        <f t="shared" si="2"/>
        <v>329629</v>
      </c>
    </row>
    <row r="54" spans="2:6" x14ac:dyDescent="0.3">
      <c r="B54" s="4" t="s">
        <v>67</v>
      </c>
      <c r="C54">
        <v>517859</v>
      </c>
      <c r="E54" s="4" t="s">
        <v>67</v>
      </c>
      <c r="F54">
        <f t="shared" si="2"/>
        <v>517859</v>
      </c>
    </row>
    <row r="55" spans="2:6" x14ac:dyDescent="0.3">
      <c r="B55" s="4" t="s">
        <v>94</v>
      </c>
      <c r="C55">
        <v>556856</v>
      </c>
      <c r="E55" s="4" t="s">
        <v>94</v>
      </c>
      <c r="F55">
        <f t="shared" si="2"/>
        <v>556856</v>
      </c>
    </row>
    <row r="56" spans="2:6" x14ac:dyDescent="0.3">
      <c r="B56" s="4" t="s">
        <v>33</v>
      </c>
      <c r="C56">
        <v>303873</v>
      </c>
      <c r="E56" s="4" t="s">
        <v>33</v>
      </c>
      <c r="F56">
        <f t="shared" si="2"/>
        <v>303873</v>
      </c>
    </row>
    <row r="57" spans="2:6" x14ac:dyDescent="0.3">
      <c r="B57" s="4" t="s">
        <v>199</v>
      </c>
      <c r="C57">
        <v>317488</v>
      </c>
      <c r="E57" s="4" t="s">
        <v>199</v>
      </c>
      <c r="F57">
        <f t="shared" si="2"/>
        <v>317488</v>
      </c>
    </row>
    <row r="58" spans="2:6" x14ac:dyDescent="0.3">
      <c r="B58" s="4" t="s">
        <v>29</v>
      </c>
      <c r="C58">
        <v>171091</v>
      </c>
      <c r="E58" s="4" t="s">
        <v>29</v>
      </c>
      <c r="F58">
        <f t="shared" si="2"/>
        <v>171091</v>
      </c>
    </row>
    <row r="59" spans="2:6" x14ac:dyDescent="0.3">
      <c r="B59" s="4" t="s">
        <v>38</v>
      </c>
      <c r="C59">
        <v>235568</v>
      </c>
      <c r="E59" s="4" t="s">
        <v>38</v>
      </c>
      <c r="F59">
        <f t="shared" si="2"/>
        <v>235568</v>
      </c>
    </row>
    <row r="60" spans="2:6" x14ac:dyDescent="0.3">
      <c r="B60" s="4" t="s">
        <v>101</v>
      </c>
      <c r="C60">
        <v>490912</v>
      </c>
      <c r="E60" s="4" t="s">
        <v>101</v>
      </c>
      <c r="F60">
        <f t="shared" si="2"/>
        <v>490912</v>
      </c>
    </row>
    <row r="61" spans="2:6" x14ac:dyDescent="0.3">
      <c r="B61" s="4" t="s">
        <v>104</v>
      </c>
      <c r="C61">
        <v>276818</v>
      </c>
      <c r="E61" s="4" t="s">
        <v>104</v>
      </c>
      <c r="F61">
        <f t="shared" si="2"/>
        <v>276818</v>
      </c>
    </row>
    <row r="62" spans="2:6" x14ac:dyDescent="0.3">
      <c r="B62" s="4" t="s">
        <v>21</v>
      </c>
      <c r="C62">
        <v>501625</v>
      </c>
      <c r="E62" s="4" t="s">
        <v>21</v>
      </c>
      <c r="F62">
        <f t="shared" si="2"/>
        <v>501625</v>
      </c>
    </row>
    <row r="63" spans="2:6" x14ac:dyDescent="0.3">
      <c r="B63" s="4" t="s">
        <v>46</v>
      </c>
      <c r="C63">
        <v>466167</v>
      </c>
      <c r="E63" s="4" t="s">
        <v>46</v>
      </c>
      <c r="F63">
        <f t="shared" si="2"/>
        <v>466167</v>
      </c>
    </row>
    <row r="64" spans="2:6" x14ac:dyDescent="0.3">
      <c r="B64" s="4" t="s">
        <v>142</v>
      </c>
      <c r="C64">
        <v>57165</v>
      </c>
      <c r="E64" s="4" t="s">
        <v>142</v>
      </c>
      <c r="F64">
        <f t="shared" si="2"/>
        <v>57165</v>
      </c>
    </row>
    <row r="65" spans="2:6" x14ac:dyDescent="0.3">
      <c r="B65" s="4" t="s">
        <v>57</v>
      </c>
      <c r="C65">
        <v>257529</v>
      </c>
      <c r="E65" s="4" t="s">
        <v>57</v>
      </c>
      <c r="F65">
        <f t="shared" si="2"/>
        <v>257529</v>
      </c>
    </row>
    <row r="66" spans="2:6" x14ac:dyDescent="0.3">
      <c r="B66" s="4" t="s">
        <v>194</v>
      </c>
      <c r="C66">
        <v>284725</v>
      </c>
      <c r="E66" s="4" t="s">
        <v>194</v>
      </c>
      <c r="F66">
        <f t="shared" si="2"/>
        <v>284725</v>
      </c>
    </row>
    <row r="67" spans="2:6" x14ac:dyDescent="0.3">
      <c r="B67" s="4" t="s">
        <v>91</v>
      </c>
      <c r="C67">
        <v>351879</v>
      </c>
      <c r="E67" s="4" t="s">
        <v>91</v>
      </c>
      <c r="F67">
        <f t="shared" si="2"/>
        <v>351879</v>
      </c>
    </row>
    <row r="68" spans="2:6" x14ac:dyDescent="0.3">
      <c r="B68" s="4" t="s">
        <v>64</v>
      </c>
      <c r="C68">
        <v>240411</v>
      </c>
      <c r="E68" s="4" t="s">
        <v>64</v>
      </c>
      <c r="F68">
        <f t="shared" si="2"/>
        <v>240411</v>
      </c>
    </row>
    <row r="69" spans="2:6" x14ac:dyDescent="0.3">
      <c r="B69" s="4" t="s">
        <v>73</v>
      </c>
      <c r="C69">
        <v>165409</v>
      </c>
      <c r="E69" s="4" t="s">
        <v>73</v>
      </c>
      <c r="F69">
        <f t="shared" si="2"/>
        <v>165409</v>
      </c>
    </row>
    <row r="70" spans="2:6" x14ac:dyDescent="0.3">
      <c r="B70" s="4" t="s">
        <v>111</v>
      </c>
      <c r="C70">
        <v>100479</v>
      </c>
      <c r="E70" s="4" t="s">
        <v>111</v>
      </c>
      <c r="F70">
        <f t="shared" si="2"/>
        <v>100479</v>
      </c>
    </row>
    <row r="71" spans="2:6" x14ac:dyDescent="0.3">
      <c r="B71" s="4" t="s">
        <v>159</v>
      </c>
      <c r="C71">
        <v>197084</v>
      </c>
      <c r="E71" s="4" t="s">
        <v>159</v>
      </c>
      <c r="F71">
        <f t="shared" si="2"/>
        <v>197084</v>
      </c>
    </row>
    <row r="72" spans="2:6" x14ac:dyDescent="0.3">
      <c r="B72" s="4" t="s">
        <v>862</v>
      </c>
      <c r="C72">
        <v>8868188</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0043-B6FA-4993-BA01-41F04C3FBFF1}">
  <dimension ref="A1:N401"/>
  <sheetViews>
    <sheetView topLeftCell="A15" zoomScale="130" workbookViewId="0">
      <selection activeCell="B34" sqref="B34"/>
    </sheetView>
  </sheetViews>
  <sheetFormatPr defaultRowHeight="14.4" x14ac:dyDescent="0.3"/>
  <cols>
    <col min="1" max="1" width="14.21875" customWidth="1"/>
    <col min="2" max="2" width="13.21875" customWidth="1"/>
    <col min="4" max="4" width="15.5546875" customWidth="1"/>
    <col min="5" max="5" width="11.5546875" customWidth="1"/>
    <col min="6" max="6" width="19.5546875" customWidth="1"/>
    <col min="7" max="7" width="17.21875" customWidth="1"/>
    <col min="9" max="9" width="13.109375" customWidth="1"/>
    <col min="10" max="10" width="15.88671875" customWidth="1"/>
    <col min="12" max="12" width="14.5546875" customWidth="1"/>
    <col min="13" max="13" width="16.6640625" customWidth="1"/>
  </cols>
  <sheetData>
    <row r="1" spans="1:14" x14ac:dyDescent="0.3">
      <c r="A1" s="1" t="s">
        <v>0</v>
      </c>
      <c r="B1" s="1" t="s">
        <v>1</v>
      </c>
      <c r="C1" s="1" t="s">
        <v>2</v>
      </c>
      <c r="D1" s="1" t="s">
        <v>3</v>
      </c>
      <c r="E1" s="1" t="s">
        <v>4</v>
      </c>
      <c r="F1" s="1" t="s">
        <v>5</v>
      </c>
      <c r="G1" s="1" t="s">
        <v>6</v>
      </c>
      <c r="H1" s="1" t="s">
        <v>7</v>
      </c>
      <c r="I1" s="1" t="s">
        <v>8</v>
      </c>
      <c r="J1" s="1" t="s">
        <v>9</v>
      </c>
      <c r="K1" s="1" t="s">
        <v>10</v>
      </c>
      <c r="L1" s="1" t="s">
        <v>856</v>
      </c>
      <c r="M1" s="1" t="s">
        <v>859</v>
      </c>
      <c r="N1" s="1" t="s">
        <v>857</v>
      </c>
    </row>
    <row r="2" spans="1:14" x14ac:dyDescent="0.3">
      <c r="A2" t="s">
        <v>11</v>
      </c>
      <c r="B2" t="s">
        <v>12</v>
      </c>
      <c r="C2">
        <v>9</v>
      </c>
      <c r="D2">
        <v>8941</v>
      </c>
      <c r="E2" s="5">
        <v>46124</v>
      </c>
      <c r="F2" t="s">
        <v>13</v>
      </c>
      <c r="G2" t="s">
        <v>14</v>
      </c>
      <c r="H2" t="s">
        <v>15</v>
      </c>
      <c r="I2" t="s">
        <v>16</v>
      </c>
      <c r="J2" t="s">
        <v>17</v>
      </c>
      <c r="K2">
        <v>80469</v>
      </c>
      <c r="L2">
        <f>D2-1500</f>
        <v>7441</v>
      </c>
      <c r="M2">
        <f>L2*C2</f>
        <v>66969</v>
      </c>
      <c r="N2">
        <f>K2-M2</f>
        <v>13500</v>
      </c>
    </row>
    <row r="3" spans="1:14" x14ac:dyDescent="0.3">
      <c r="A3" t="s">
        <v>18</v>
      </c>
      <c r="B3" t="s">
        <v>19</v>
      </c>
      <c r="C3">
        <v>9</v>
      </c>
      <c r="D3">
        <v>19827</v>
      </c>
      <c r="E3" s="5">
        <v>46125</v>
      </c>
      <c r="F3" t="s">
        <v>20</v>
      </c>
      <c r="G3" t="s">
        <v>21</v>
      </c>
      <c r="H3" t="s">
        <v>15</v>
      </c>
      <c r="I3" t="s">
        <v>16</v>
      </c>
      <c r="J3" t="s">
        <v>17</v>
      </c>
      <c r="K3">
        <v>178443</v>
      </c>
      <c r="L3">
        <f t="shared" ref="L3:L22" si="0">D3-1500</f>
        <v>18327</v>
      </c>
      <c r="M3">
        <f t="shared" ref="M3:M66" si="1">L3*C3</f>
        <v>164943</v>
      </c>
      <c r="N3">
        <f t="shared" ref="N3:N66" si="2">K3-M3</f>
        <v>13500</v>
      </c>
    </row>
    <row r="4" spans="1:14" x14ac:dyDescent="0.3">
      <c r="A4" t="s">
        <v>22</v>
      </c>
      <c r="B4" t="s">
        <v>19</v>
      </c>
      <c r="C4">
        <v>4</v>
      </c>
      <c r="D4">
        <v>16640</v>
      </c>
      <c r="E4" s="5">
        <v>46126</v>
      </c>
      <c r="F4" t="s">
        <v>23</v>
      </c>
      <c r="G4" t="s">
        <v>24</v>
      </c>
      <c r="H4" t="s">
        <v>15</v>
      </c>
      <c r="I4" t="s">
        <v>25</v>
      </c>
      <c r="J4" t="s">
        <v>17</v>
      </c>
      <c r="K4">
        <v>66560</v>
      </c>
      <c r="L4">
        <f t="shared" si="0"/>
        <v>15140</v>
      </c>
      <c r="M4">
        <f t="shared" si="1"/>
        <v>60560</v>
      </c>
      <c r="N4">
        <f t="shared" si="2"/>
        <v>6000</v>
      </c>
    </row>
    <row r="5" spans="1:14" x14ac:dyDescent="0.3">
      <c r="A5" t="s">
        <v>26</v>
      </c>
      <c r="B5" t="s">
        <v>27</v>
      </c>
      <c r="C5">
        <v>3</v>
      </c>
      <c r="D5">
        <v>2945</v>
      </c>
      <c r="E5" s="5">
        <v>46127</v>
      </c>
      <c r="F5" t="s">
        <v>28</v>
      </c>
      <c r="G5" t="s">
        <v>29</v>
      </c>
      <c r="H5" t="s">
        <v>15</v>
      </c>
      <c r="I5" t="s">
        <v>25</v>
      </c>
      <c r="J5" t="s">
        <v>17</v>
      </c>
      <c r="K5">
        <v>8835</v>
      </c>
      <c r="L5">
        <f t="shared" si="0"/>
        <v>1445</v>
      </c>
      <c r="M5">
        <f t="shared" si="1"/>
        <v>4335</v>
      </c>
      <c r="N5">
        <f t="shared" si="2"/>
        <v>4500</v>
      </c>
    </row>
    <row r="6" spans="1:14" x14ac:dyDescent="0.3">
      <c r="A6" t="s">
        <v>30</v>
      </c>
      <c r="B6" t="s">
        <v>31</v>
      </c>
      <c r="C6">
        <v>4</v>
      </c>
      <c r="D6">
        <v>2848</v>
      </c>
      <c r="E6" s="5">
        <v>46128</v>
      </c>
      <c r="F6" t="s">
        <v>32</v>
      </c>
      <c r="G6" t="s">
        <v>33</v>
      </c>
      <c r="H6" t="s">
        <v>15</v>
      </c>
      <c r="I6" t="s">
        <v>34</v>
      </c>
      <c r="J6" t="s">
        <v>35</v>
      </c>
      <c r="K6">
        <v>11392</v>
      </c>
      <c r="L6">
        <f t="shared" si="0"/>
        <v>1348</v>
      </c>
      <c r="M6">
        <f t="shared" si="1"/>
        <v>5392</v>
      </c>
      <c r="N6">
        <f>K6-M6</f>
        <v>6000</v>
      </c>
    </row>
    <row r="7" spans="1:14" x14ac:dyDescent="0.3">
      <c r="A7" t="s">
        <v>36</v>
      </c>
      <c r="B7" t="s">
        <v>31</v>
      </c>
      <c r="C7">
        <v>7</v>
      </c>
      <c r="D7">
        <v>18703</v>
      </c>
      <c r="E7" s="5">
        <v>46129</v>
      </c>
      <c r="F7" t="s">
        <v>37</v>
      </c>
      <c r="G7" t="s">
        <v>38</v>
      </c>
      <c r="H7" t="s">
        <v>15</v>
      </c>
      <c r="I7" t="s">
        <v>16</v>
      </c>
      <c r="J7" t="s">
        <v>35</v>
      </c>
      <c r="K7">
        <v>130921</v>
      </c>
      <c r="L7">
        <f t="shared" si="0"/>
        <v>17203</v>
      </c>
      <c r="M7">
        <f t="shared" si="1"/>
        <v>120421</v>
      </c>
      <c r="N7">
        <f t="shared" si="2"/>
        <v>10500</v>
      </c>
    </row>
    <row r="8" spans="1:14" x14ac:dyDescent="0.3">
      <c r="A8" t="s">
        <v>39</v>
      </c>
      <c r="B8" t="s">
        <v>40</v>
      </c>
      <c r="C8">
        <v>4</v>
      </c>
      <c r="D8">
        <v>9640</v>
      </c>
      <c r="E8" s="5">
        <v>46130</v>
      </c>
      <c r="F8" t="s">
        <v>41</v>
      </c>
      <c r="G8" t="s">
        <v>42</v>
      </c>
      <c r="H8" t="s">
        <v>15</v>
      </c>
      <c r="I8" t="s">
        <v>16</v>
      </c>
      <c r="J8" t="s">
        <v>17</v>
      </c>
      <c r="K8">
        <v>38560</v>
      </c>
      <c r="L8">
        <f t="shared" si="0"/>
        <v>8140</v>
      </c>
      <c r="M8">
        <f t="shared" si="1"/>
        <v>32560</v>
      </c>
      <c r="N8">
        <f t="shared" si="2"/>
        <v>6000</v>
      </c>
    </row>
    <row r="9" spans="1:14" x14ac:dyDescent="0.3">
      <c r="A9" t="s">
        <v>43</v>
      </c>
      <c r="B9" t="s">
        <v>44</v>
      </c>
      <c r="C9">
        <v>7</v>
      </c>
      <c r="D9">
        <v>15189</v>
      </c>
      <c r="E9" s="5">
        <v>46131</v>
      </c>
      <c r="F9" t="s">
        <v>45</v>
      </c>
      <c r="G9" t="s">
        <v>46</v>
      </c>
      <c r="H9" t="s">
        <v>15</v>
      </c>
      <c r="I9" t="s">
        <v>25</v>
      </c>
      <c r="J9" t="s">
        <v>47</v>
      </c>
      <c r="K9">
        <v>106323</v>
      </c>
      <c r="L9">
        <f t="shared" si="0"/>
        <v>13689</v>
      </c>
      <c r="M9">
        <f t="shared" si="1"/>
        <v>95823</v>
      </c>
      <c r="N9">
        <f t="shared" si="2"/>
        <v>10500</v>
      </c>
    </row>
    <row r="10" spans="1:14" x14ac:dyDescent="0.3">
      <c r="A10" t="s">
        <v>48</v>
      </c>
      <c r="B10" t="s">
        <v>40</v>
      </c>
      <c r="C10">
        <v>6</v>
      </c>
      <c r="D10">
        <v>4093</v>
      </c>
      <c r="E10" s="5">
        <v>46132</v>
      </c>
      <c r="F10" t="s">
        <v>49</v>
      </c>
      <c r="G10" t="s">
        <v>38</v>
      </c>
      <c r="H10" t="s">
        <v>15</v>
      </c>
      <c r="I10" t="s">
        <v>25</v>
      </c>
      <c r="J10" t="s">
        <v>50</v>
      </c>
      <c r="K10">
        <v>24558</v>
      </c>
      <c r="L10">
        <f t="shared" si="0"/>
        <v>2593</v>
      </c>
      <c r="M10">
        <f t="shared" si="1"/>
        <v>15558</v>
      </c>
      <c r="N10">
        <f t="shared" si="2"/>
        <v>9000</v>
      </c>
    </row>
    <row r="11" spans="1:14" x14ac:dyDescent="0.3">
      <c r="A11" t="s">
        <v>51</v>
      </c>
      <c r="B11" t="s">
        <v>52</v>
      </c>
      <c r="C11">
        <v>8</v>
      </c>
      <c r="D11">
        <v>7088</v>
      </c>
      <c r="E11" s="5">
        <v>46133</v>
      </c>
      <c r="F11" t="s">
        <v>53</v>
      </c>
      <c r="G11" t="s">
        <v>54</v>
      </c>
      <c r="H11" t="s">
        <v>15</v>
      </c>
      <c r="I11" t="s">
        <v>25</v>
      </c>
      <c r="J11" t="s">
        <v>47</v>
      </c>
      <c r="K11">
        <v>56704</v>
      </c>
      <c r="L11">
        <f t="shared" si="0"/>
        <v>5588</v>
      </c>
      <c r="M11">
        <f t="shared" si="1"/>
        <v>44704</v>
      </c>
      <c r="N11">
        <f t="shared" si="2"/>
        <v>12000</v>
      </c>
    </row>
    <row r="12" spans="1:14" x14ac:dyDescent="0.3">
      <c r="A12" t="s">
        <v>55</v>
      </c>
      <c r="B12" t="s">
        <v>12</v>
      </c>
      <c r="C12">
        <v>1</v>
      </c>
      <c r="D12">
        <v>11790</v>
      </c>
      <c r="E12" s="5">
        <v>46134</v>
      </c>
      <c r="F12" t="s">
        <v>56</v>
      </c>
      <c r="G12" t="s">
        <v>57</v>
      </c>
      <c r="H12" t="s">
        <v>15</v>
      </c>
      <c r="I12" t="s">
        <v>25</v>
      </c>
      <c r="J12" t="s">
        <v>50</v>
      </c>
      <c r="K12">
        <v>11790</v>
      </c>
      <c r="L12">
        <f t="shared" si="0"/>
        <v>10290</v>
      </c>
      <c r="M12">
        <f t="shared" si="1"/>
        <v>10290</v>
      </c>
      <c r="N12">
        <f t="shared" si="2"/>
        <v>1500</v>
      </c>
    </row>
    <row r="13" spans="1:14" x14ac:dyDescent="0.3">
      <c r="A13" t="s">
        <v>58</v>
      </c>
      <c r="B13" t="s">
        <v>59</v>
      </c>
      <c r="C13">
        <v>9</v>
      </c>
      <c r="D13">
        <v>19740</v>
      </c>
      <c r="E13" s="5">
        <v>46135</v>
      </c>
      <c r="F13" t="s">
        <v>60</v>
      </c>
      <c r="G13" t="s">
        <v>54</v>
      </c>
      <c r="H13" t="s">
        <v>15</v>
      </c>
      <c r="I13" t="s">
        <v>34</v>
      </c>
      <c r="J13" t="s">
        <v>17</v>
      </c>
      <c r="K13">
        <v>177660</v>
      </c>
      <c r="L13">
        <f t="shared" si="0"/>
        <v>18240</v>
      </c>
      <c r="M13">
        <f t="shared" si="1"/>
        <v>164160</v>
      </c>
      <c r="N13">
        <f t="shared" si="2"/>
        <v>13500</v>
      </c>
    </row>
    <row r="14" spans="1:14" x14ac:dyDescent="0.3">
      <c r="A14" t="s">
        <v>61</v>
      </c>
      <c r="B14" t="s">
        <v>62</v>
      </c>
      <c r="C14">
        <v>5</v>
      </c>
      <c r="D14">
        <v>19143</v>
      </c>
      <c r="E14" s="5">
        <v>46136</v>
      </c>
      <c r="F14" t="s">
        <v>63</v>
      </c>
      <c r="G14" t="s">
        <v>64</v>
      </c>
      <c r="H14" t="s">
        <v>15</v>
      </c>
      <c r="I14" t="s">
        <v>16</v>
      </c>
      <c r="J14" t="s">
        <v>50</v>
      </c>
      <c r="K14">
        <v>95715</v>
      </c>
      <c r="L14">
        <f t="shared" si="0"/>
        <v>17643</v>
      </c>
      <c r="M14">
        <f t="shared" si="1"/>
        <v>88215</v>
      </c>
      <c r="N14">
        <f t="shared" si="2"/>
        <v>7500</v>
      </c>
    </row>
    <row r="15" spans="1:14" x14ac:dyDescent="0.3">
      <c r="A15" t="s">
        <v>65</v>
      </c>
      <c r="B15" t="s">
        <v>19</v>
      </c>
      <c r="C15">
        <v>7</v>
      </c>
      <c r="D15">
        <v>5387</v>
      </c>
      <c r="E15" s="5">
        <v>46137</v>
      </c>
      <c r="F15" t="s">
        <v>66</v>
      </c>
      <c r="G15" t="s">
        <v>67</v>
      </c>
      <c r="H15" t="s">
        <v>15</v>
      </c>
      <c r="I15" t="s">
        <v>25</v>
      </c>
      <c r="J15" t="s">
        <v>47</v>
      </c>
      <c r="K15">
        <v>37709</v>
      </c>
      <c r="L15">
        <f t="shared" si="0"/>
        <v>3887</v>
      </c>
      <c r="M15">
        <f t="shared" si="1"/>
        <v>27209</v>
      </c>
      <c r="N15">
        <f t="shared" si="2"/>
        <v>10500</v>
      </c>
    </row>
    <row r="16" spans="1:14" x14ac:dyDescent="0.3">
      <c r="A16" t="s">
        <v>68</v>
      </c>
      <c r="B16" t="s">
        <v>19</v>
      </c>
      <c r="C16">
        <v>6</v>
      </c>
      <c r="D16">
        <v>19724</v>
      </c>
      <c r="E16" s="5">
        <v>46138</v>
      </c>
      <c r="F16" t="s">
        <v>69</v>
      </c>
      <c r="G16" t="s">
        <v>29</v>
      </c>
      <c r="H16" t="s">
        <v>15</v>
      </c>
      <c r="I16" t="s">
        <v>34</v>
      </c>
      <c r="J16" t="s">
        <v>47</v>
      </c>
      <c r="K16">
        <v>118344</v>
      </c>
      <c r="L16">
        <f t="shared" si="0"/>
        <v>18224</v>
      </c>
      <c r="M16">
        <f t="shared" si="1"/>
        <v>109344</v>
      </c>
      <c r="N16">
        <f t="shared" si="2"/>
        <v>9000</v>
      </c>
    </row>
    <row r="17" spans="1:14" x14ac:dyDescent="0.3">
      <c r="A17" t="s">
        <v>70</v>
      </c>
      <c r="B17" t="s">
        <v>71</v>
      </c>
      <c r="C17">
        <v>9</v>
      </c>
      <c r="D17">
        <v>7785</v>
      </c>
      <c r="E17" s="5">
        <v>46139</v>
      </c>
      <c r="F17" t="s">
        <v>72</v>
      </c>
      <c r="G17" t="s">
        <v>73</v>
      </c>
      <c r="H17" t="s">
        <v>15</v>
      </c>
      <c r="I17" t="s">
        <v>34</v>
      </c>
      <c r="J17" t="s">
        <v>47</v>
      </c>
      <c r="K17">
        <v>70065</v>
      </c>
      <c r="L17">
        <f t="shared" si="0"/>
        <v>6285</v>
      </c>
      <c r="M17">
        <f t="shared" si="1"/>
        <v>56565</v>
      </c>
      <c r="N17">
        <f t="shared" si="2"/>
        <v>13500</v>
      </c>
    </row>
    <row r="18" spans="1:14" x14ac:dyDescent="0.3">
      <c r="A18" t="s">
        <v>74</v>
      </c>
      <c r="B18" t="s">
        <v>12</v>
      </c>
      <c r="C18">
        <v>3</v>
      </c>
      <c r="D18">
        <v>7262</v>
      </c>
      <c r="E18" s="5">
        <v>46140</v>
      </c>
      <c r="F18" t="s">
        <v>75</v>
      </c>
      <c r="G18" t="s">
        <v>21</v>
      </c>
      <c r="H18" t="s">
        <v>15</v>
      </c>
      <c r="I18" t="s">
        <v>25</v>
      </c>
      <c r="J18" t="s">
        <v>76</v>
      </c>
      <c r="K18">
        <v>21786</v>
      </c>
      <c r="L18">
        <f t="shared" si="0"/>
        <v>5762</v>
      </c>
      <c r="M18">
        <f t="shared" si="1"/>
        <v>17286</v>
      </c>
      <c r="N18">
        <f t="shared" si="2"/>
        <v>4500</v>
      </c>
    </row>
    <row r="19" spans="1:14" x14ac:dyDescent="0.3">
      <c r="A19" t="s">
        <v>77</v>
      </c>
      <c r="B19" t="s">
        <v>62</v>
      </c>
      <c r="C19">
        <v>4</v>
      </c>
      <c r="D19">
        <v>2877</v>
      </c>
      <c r="E19" s="5">
        <v>46141</v>
      </c>
      <c r="F19" t="s">
        <v>78</v>
      </c>
      <c r="G19" t="s">
        <v>79</v>
      </c>
      <c r="H19" t="s">
        <v>15</v>
      </c>
      <c r="I19" t="s">
        <v>25</v>
      </c>
      <c r="J19" t="s">
        <v>76</v>
      </c>
      <c r="K19">
        <v>11508</v>
      </c>
      <c r="L19">
        <f t="shared" si="0"/>
        <v>1377</v>
      </c>
      <c r="M19">
        <f t="shared" si="1"/>
        <v>5508</v>
      </c>
      <c r="N19">
        <f t="shared" si="2"/>
        <v>6000</v>
      </c>
    </row>
    <row r="20" spans="1:14" x14ac:dyDescent="0.3">
      <c r="A20" t="s">
        <v>80</v>
      </c>
      <c r="B20" t="s">
        <v>62</v>
      </c>
      <c r="C20">
        <v>8</v>
      </c>
      <c r="D20">
        <v>9997</v>
      </c>
      <c r="E20" s="5">
        <v>46142</v>
      </c>
      <c r="F20" t="s">
        <v>81</v>
      </c>
      <c r="G20" t="s">
        <v>82</v>
      </c>
      <c r="H20" t="s">
        <v>15</v>
      </c>
      <c r="I20" t="s">
        <v>34</v>
      </c>
      <c r="J20" t="s">
        <v>47</v>
      </c>
      <c r="K20">
        <v>79976</v>
      </c>
      <c r="L20">
        <f t="shared" si="0"/>
        <v>8497</v>
      </c>
      <c r="M20">
        <f t="shared" si="1"/>
        <v>67976</v>
      </c>
      <c r="N20">
        <f t="shared" si="2"/>
        <v>12000</v>
      </c>
    </row>
    <row r="21" spans="1:14" x14ac:dyDescent="0.3">
      <c r="A21" t="s">
        <v>83</v>
      </c>
      <c r="B21" t="s">
        <v>62</v>
      </c>
      <c r="C21">
        <v>6</v>
      </c>
      <c r="D21">
        <v>2081</v>
      </c>
      <c r="E21" s="5">
        <v>46143</v>
      </c>
      <c r="F21" t="s">
        <v>84</v>
      </c>
      <c r="G21" t="s">
        <v>54</v>
      </c>
      <c r="H21" t="s">
        <v>15</v>
      </c>
      <c r="I21" t="s">
        <v>16</v>
      </c>
      <c r="J21" t="s">
        <v>76</v>
      </c>
      <c r="K21">
        <v>12486</v>
      </c>
      <c r="L21">
        <f t="shared" si="0"/>
        <v>581</v>
      </c>
      <c r="M21">
        <f t="shared" si="1"/>
        <v>3486</v>
      </c>
      <c r="N21">
        <f t="shared" si="2"/>
        <v>9000</v>
      </c>
    </row>
    <row r="22" spans="1:14" x14ac:dyDescent="0.3">
      <c r="A22" t="s">
        <v>85</v>
      </c>
      <c r="B22" t="s">
        <v>31</v>
      </c>
      <c r="C22">
        <v>4</v>
      </c>
      <c r="D22">
        <v>4246</v>
      </c>
      <c r="E22" s="5">
        <v>46144</v>
      </c>
      <c r="F22" t="s">
        <v>86</v>
      </c>
      <c r="G22" t="s">
        <v>73</v>
      </c>
      <c r="H22" t="s">
        <v>15</v>
      </c>
      <c r="I22" t="s">
        <v>25</v>
      </c>
      <c r="J22" t="s">
        <v>76</v>
      </c>
      <c r="K22">
        <v>16984</v>
      </c>
      <c r="L22">
        <f t="shared" si="0"/>
        <v>2746</v>
      </c>
      <c r="M22">
        <f t="shared" si="1"/>
        <v>10984</v>
      </c>
      <c r="N22">
        <f t="shared" si="2"/>
        <v>6000</v>
      </c>
    </row>
    <row r="23" spans="1:14" x14ac:dyDescent="0.3">
      <c r="A23" t="s">
        <v>87</v>
      </c>
      <c r="B23" t="s">
        <v>31</v>
      </c>
      <c r="C23">
        <v>5</v>
      </c>
      <c r="D23">
        <v>14316</v>
      </c>
      <c r="E23" s="5">
        <v>46145</v>
      </c>
      <c r="F23" t="s">
        <v>88</v>
      </c>
      <c r="G23" t="s">
        <v>14</v>
      </c>
      <c r="H23" t="s">
        <v>15</v>
      </c>
      <c r="I23" t="s">
        <v>34</v>
      </c>
      <c r="J23" t="s">
        <v>50</v>
      </c>
      <c r="K23">
        <v>71580</v>
      </c>
      <c r="L23">
        <f>D23-1000</f>
        <v>13316</v>
      </c>
      <c r="M23">
        <f t="shared" si="1"/>
        <v>66580</v>
      </c>
      <c r="N23">
        <f t="shared" si="2"/>
        <v>5000</v>
      </c>
    </row>
    <row r="24" spans="1:14" x14ac:dyDescent="0.3">
      <c r="A24" t="s">
        <v>89</v>
      </c>
      <c r="B24" t="s">
        <v>27</v>
      </c>
      <c r="C24">
        <v>6</v>
      </c>
      <c r="D24">
        <v>18074</v>
      </c>
      <c r="E24" s="5">
        <v>46146</v>
      </c>
      <c r="F24" t="s">
        <v>90</v>
      </c>
      <c r="G24" t="s">
        <v>91</v>
      </c>
      <c r="H24" t="s">
        <v>15</v>
      </c>
      <c r="I24" t="s">
        <v>25</v>
      </c>
      <c r="J24" t="s">
        <v>17</v>
      </c>
      <c r="K24">
        <v>108444</v>
      </c>
      <c r="L24">
        <f t="shared" ref="L24:L87" si="3">D24-1000</f>
        <v>17074</v>
      </c>
      <c r="M24">
        <f t="shared" si="1"/>
        <v>102444</v>
      </c>
      <c r="N24">
        <f t="shared" si="2"/>
        <v>6000</v>
      </c>
    </row>
    <row r="25" spans="1:14" x14ac:dyDescent="0.3">
      <c r="A25" t="s">
        <v>92</v>
      </c>
      <c r="B25" t="s">
        <v>71</v>
      </c>
      <c r="C25">
        <v>4</v>
      </c>
      <c r="D25">
        <v>14772</v>
      </c>
      <c r="E25" s="5">
        <v>46147</v>
      </c>
      <c r="F25" t="s">
        <v>93</v>
      </c>
      <c r="G25" t="s">
        <v>94</v>
      </c>
      <c r="H25" t="s">
        <v>15</v>
      </c>
      <c r="I25" t="s">
        <v>34</v>
      </c>
      <c r="J25" t="s">
        <v>35</v>
      </c>
      <c r="K25">
        <v>59088</v>
      </c>
      <c r="L25">
        <f t="shared" si="3"/>
        <v>13772</v>
      </c>
      <c r="M25">
        <f t="shared" si="1"/>
        <v>55088</v>
      </c>
      <c r="N25">
        <f t="shared" si="2"/>
        <v>4000</v>
      </c>
    </row>
    <row r="26" spans="1:14" x14ac:dyDescent="0.3">
      <c r="A26" t="s">
        <v>95</v>
      </c>
      <c r="B26" t="s">
        <v>59</v>
      </c>
      <c r="C26">
        <v>4</v>
      </c>
      <c r="D26">
        <v>14215</v>
      </c>
      <c r="E26" s="5">
        <v>46148</v>
      </c>
      <c r="F26" t="s">
        <v>96</v>
      </c>
      <c r="G26" t="s">
        <v>94</v>
      </c>
      <c r="H26" t="s">
        <v>15</v>
      </c>
      <c r="I26" t="s">
        <v>34</v>
      </c>
      <c r="J26" t="s">
        <v>47</v>
      </c>
      <c r="K26">
        <v>56860</v>
      </c>
      <c r="L26">
        <f t="shared" si="3"/>
        <v>13215</v>
      </c>
      <c r="M26">
        <f t="shared" si="1"/>
        <v>52860</v>
      </c>
      <c r="N26">
        <f t="shared" si="2"/>
        <v>4000</v>
      </c>
    </row>
    <row r="27" spans="1:14" x14ac:dyDescent="0.3">
      <c r="A27" t="s">
        <v>97</v>
      </c>
      <c r="B27" t="s">
        <v>44</v>
      </c>
      <c r="C27">
        <v>8</v>
      </c>
      <c r="D27">
        <v>6274</v>
      </c>
      <c r="E27" s="5">
        <v>46149</v>
      </c>
      <c r="F27" t="s">
        <v>98</v>
      </c>
      <c r="G27" t="s">
        <v>46</v>
      </c>
      <c r="H27" t="s">
        <v>15</v>
      </c>
      <c r="I27" t="s">
        <v>34</v>
      </c>
      <c r="J27" t="s">
        <v>76</v>
      </c>
      <c r="K27">
        <v>50192</v>
      </c>
      <c r="L27">
        <f t="shared" si="3"/>
        <v>5274</v>
      </c>
      <c r="M27">
        <f t="shared" si="1"/>
        <v>42192</v>
      </c>
      <c r="N27">
        <f t="shared" si="2"/>
        <v>8000</v>
      </c>
    </row>
    <row r="28" spans="1:14" x14ac:dyDescent="0.3">
      <c r="A28" t="s">
        <v>99</v>
      </c>
      <c r="B28" t="s">
        <v>44</v>
      </c>
      <c r="C28">
        <v>8</v>
      </c>
      <c r="D28">
        <v>5670</v>
      </c>
      <c r="E28" s="5">
        <v>46150</v>
      </c>
      <c r="F28" t="s">
        <v>100</v>
      </c>
      <c r="G28" t="s">
        <v>101</v>
      </c>
      <c r="H28" t="s">
        <v>15</v>
      </c>
      <c r="I28" t="s">
        <v>16</v>
      </c>
      <c r="J28" t="s">
        <v>76</v>
      </c>
      <c r="K28">
        <v>45360</v>
      </c>
      <c r="L28">
        <f t="shared" si="3"/>
        <v>4670</v>
      </c>
      <c r="M28">
        <f t="shared" si="1"/>
        <v>37360</v>
      </c>
      <c r="N28">
        <f t="shared" si="2"/>
        <v>8000</v>
      </c>
    </row>
    <row r="29" spans="1:14" x14ac:dyDescent="0.3">
      <c r="A29" t="s">
        <v>102</v>
      </c>
      <c r="B29" t="s">
        <v>19</v>
      </c>
      <c r="C29">
        <v>4</v>
      </c>
      <c r="D29">
        <v>8325</v>
      </c>
      <c r="E29" s="5">
        <v>46151</v>
      </c>
      <c r="F29" t="s">
        <v>103</v>
      </c>
      <c r="G29" t="s">
        <v>104</v>
      </c>
      <c r="H29" t="s">
        <v>15</v>
      </c>
      <c r="I29" t="s">
        <v>25</v>
      </c>
      <c r="J29" t="s">
        <v>76</v>
      </c>
      <c r="K29">
        <v>33300</v>
      </c>
      <c r="L29">
        <f t="shared" si="3"/>
        <v>7325</v>
      </c>
      <c r="M29">
        <f t="shared" si="1"/>
        <v>29300</v>
      </c>
      <c r="N29">
        <f t="shared" si="2"/>
        <v>4000</v>
      </c>
    </row>
    <row r="30" spans="1:14" x14ac:dyDescent="0.3">
      <c r="A30" t="s">
        <v>105</v>
      </c>
      <c r="B30" t="s">
        <v>19</v>
      </c>
      <c r="C30">
        <v>3</v>
      </c>
      <c r="D30">
        <v>13195</v>
      </c>
      <c r="E30" s="5">
        <v>46152</v>
      </c>
      <c r="F30" t="s">
        <v>106</v>
      </c>
      <c r="G30" t="s">
        <v>73</v>
      </c>
      <c r="H30" t="s">
        <v>15</v>
      </c>
      <c r="I30" t="s">
        <v>16</v>
      </c>
      <c r="J30" t="s">
        <v>17</v>
      </c>
      <c r="K30">
        <v>39585</v>
      </c>
      <c r="L30">
        <f t="shared" si="3"/>
        <v>12195</v>
      </c>
      <c r="M30">
        <f t="shared" si="1"/>
        <v>36585</v>
      </c>
      <c r="N30">
        <f t="shared" si="2"/>
        <v>3000</v>
      </c>
    </row>
    <row r="31" spans="1:14" x14ac:dyDescent="0.3">
      <c r="A31" t="s">
        <v>107</v>
      </c>
      <c r="B31" t="s">
        <v>27</v>
      </c>
      <c r="C31">
        <v>4</v>
      </c>
      <c r="D31">
        <v>7947</v>
      </c>
      <c r="E31" s="5">
        <v>46153</v>
      </c>
      <c r="F31" t="s">
        <v>108</v>
      </c>
      <c r="G31" t="s">
        <v>101</v>
      </c>
      <c r="H31" t="s">
        <v>15</v>
      </c>
      <c r="I31" t="s">
        <v>34</v>
      </c>
      <c r="J31" t="s">
        <v>35</v>
      </c>
      <c r="K31">
        <v>31788</v>
      </c>
      <c r="L31">
        <f t="shared" si="3"/>
        <v>6947</v>
      </c>
      <c r="M31">
        <f t="shared" si="1"/>
        <v>27788</v>
      </c>
      <c r="N31">
        <f t="shared" si="2"/>
        <v>4000</v>
      </c>
    </row>
    <row r="32" spans="1:14" x14ac:dyDescent="0.3">
      <c r="A32" t="s">
        <v>109</v>
      </c>
      <c r="B32" t="s">
        <v>27</v>
      </c>
      <c r="C32">
        <v>8</v>
      </c>
      <c r="D32">
        <v>11358</v>
      </c>
      <c r="E32" s="5">
        <v>46154</v>
      </c>
      <c r="F32" t="s">
        <v>110</v>
      </c>
      <c r="G32" t="s">
        <v>111</v>
      </c>
      <c r="H32" t="s">
        <v>15</v>
      </c>
      <c r="I32" t="s">
        <v>16</v>
      </c>
      <c r="J32" t="s">
        <v>50</v>
      </c>
      <c r="K32">
        <v>90864</v>
      </c>
      <c r="L32">
        <f t="shared" si="3"/>
        <v>10358</v>
      </c>
      <c r="M32">
        <f t="shared" si="1"/>
        <v>82864</v>
      </c>
      <c r="N32">
        <f t="shared" si="2"/>
        <v>8000</v>
      </c>
    </row>
    <row r="33" spans="1:14" x14ac:dyDescent="0.3">
      <c r="A33" t="s">
        <v>112</v>
      </c>
      <c r="B33" t="s">
        <v>71</v>
      </c>
      <c r="C33">
        <v>8</v>
      </c>
      <c r="D33">
        <v>15744</v>
      </c>
      <c r="E33" s="5">
        <v>46155</v>
      </c>
      <c r="F33" t="s">
        <v>113</v>
      </c>
      <c r="G33" t="s">
        <v>14</v>
      </c>
      <c r="H33" t="s">
        <v>15</v>
      </c>
      <c r="I33" t="s">
        <v>25</v>
      </c>
      <c r="J33" t="s">
        <v>47</v>
      </c>
      <c r="K33">
        <v>125952</v>
      </c>
      <c r="L33">
        <f t="shared" si="3"/>
        <v>14744</v>
      </c>
      <c r="M33">
        <f t="shared" si="1"/>
        <v>117952</v>
      </c>
      <c r="N33">
        <f t="shared" si="2"/>
        <v>8000</v>
      </c>
    </row>
    <row r="34" spans="1:14" x14ac:dyDescent="0.3">
      <c r="A34" t="s">
        <v>114</v>
      </c>
      <c r="B34" t="s">
        <v>71</v>
      </c>
      <c r="C34">
        <v>6</v>
      </c>
      <c r="D34">
        <v>3080</v>
      </c>
      <c r="E34" s="5">
        <v>46156</v>
      </c>
      <c r="F34" t="s">
        <v>115</v>
      </c>
      <c r="G34" t="s">
        <v>24</v>
      </c>
      <c r="H34" t="s">
        <v>15</v>
      </c>
      <c r="I34" t="s">
        <v>25</v>
      </c>
      <c r="J34" t="s">
        <v>76</v>
      </c>
      <c r="K34">
        <v>18480</v>
      </c>
      <c r="L34">
        <f t="shared" si="3"/>
        <v>2080</v>
      </c>
      <c r="M34">
        <f t="shared" si="1"/>
        <v>12480</v>
      </c>
      <c r="N34">
        <f t="shared" si="2"/>
        <v>6000</v>
      </c>
    </row>
    <row r="35" spans="1:14" x14ac:dyDescent="0.3">
      <c r="A35" t="s">
        <v>116</v>
      </c>
      <c r="B35" t="s">
        <v>12</v>
      </c>
      <c r="C35">
        <v>2</v>
      </c>
      <c r="D35">
        <v>3896</v>
      </c>
      <c r="E35" s="5">
        <v>46157</v>
      </c>
      <c r="F35" t="s">
        <v>117</v>
      </c>
      <c r="G35" t="s">
        <v>54</v>
      </c>
      <c r="H35" t="s">
        <v>15</v>
      </c>
      <c r="I35" t="s">
        <v>25</v>
      </c>
      <c r="J35" t="s">
        <v>35</v>
      </c>
      <c r="K35">
        <v>7792</v>
      </c>
      <c r="L35">
        <f t="shared" si="3"/>
        <v>2896</v>
      </c>
      <c r="M35">
        <f t="shared" si="1"/>
        <v>5792</v>
      </c>
      <c r="N35">
        <f t="shared" si="2"/>
        <v>2000</v>
      </c>
    </row>
    <row r="36" spans="1:14" x14ac:dyDescent="0.3">
      <c r="A36" t="s">
        <v>118</v>
      </c>
      <c r="B36" t="s">
        <v>31</v>
      </c>
      <c r="C36">
        <v>3</v>
      </c>
      <c r="D36">
        <v>12383</v>
      </c>
      <c r="E36" s="5">
        <v>46158</v>
      </c>
      <c r="F36" t="s">
        <v>119</v>
      </c>
      <c r="G36" t="s">
        <v>91</v>
      </c>
      <c r="H36" t="s">
        <v>15</v>
      </c>
      <c r="I36" t="s">
        <v>16</v>
      </c>
      <c r="J36" t="s">
        <v>17</v>
      </c>
      <c r="K36">
        <v>37149</v>
      </c>
      <c r="L36">
        <f t="shared" si="3"/>
        <v>11383</v>
      </c>
      <c r="M36">
        <f t="shared" si="1"/>
        <v>34149</v>
      </c>
      <c r="N36">
        <f t="shared" si="2"/>
        <v>3000</v>
      </c>
    </row>
    <row r="37" spans="1:14" x14ac:dyDescent="0.3">
      <c r="A37" t="s">
        <v>120</v>
      </c>
      <c r="B37" t="s">
        <v>44</v>
      </c>
      <c r="C37">
        <v>3</v>
      </c>
      <c r="D37">
        <v>10823</v>
      </c>
      <c r="E37" s="5">
        <v>46159</v>
      </c>
      <c r="F37" t="s">
        <v>121</v>
      </c>
      <c r="G37" t="s">
        <v>101</v>
      </c>
      <c r="H37" t="s">
        <v>15</v>
      </c>
      <c r="I37" t="s">
        <v>25</v>
      </c>
      <c r="J37" t="s">
        <v>50</v>
      </c>
      <c r="K37">
        <v>32469</v>
      </c>
      <c r="L37">
        <f t="shared" si="3"/>
        <v>9823</v>
      </c>
      <c r="M37">
        <f t="shared" si="1"/>
        <v>29469</v>
      </c>
      <c r="N37">
        <f t="shared" si="2"/>
        <v>3000</v>
      </c>
    </row>
    <row r="38" spans="1:14" x14ac:dyDescent="0.3">
      <c r="A38" t="s">
        <v>122</v>
      </c>
      <c r="B38" t="s">
        <v>44</v>
      </c>
      <c r="C38">
        <v>9</v>
      </c>
      <c r="D38">
        <v>5049</v>
      </c>
      <c r="E38" s="5">
        <v>46160</v>
      </c>
      <c r="F38" t="s">
        <v>123</v>
      </c>
      <c r="G38" t="s">
        <v>124</v>
      </c>
      <c r="H38" t="s">
        <v>15</v>
      </c>
      <c r="I38" t="s">
        <v>16</v>
      </c>
      <c r="J38" t="s">
        <v>50</v>
      </c>
      <c r="K38">
        <v>45441</v>
      </c>
      <c r="L38">
        <f t="shared" si="3"/>
        <v>4049</v>
      </c>
      <c r="M38">
        <f t="shared" si="1"/>
        <v>36441</v>
      </c>
      <c r="N38">
        <f t="shared" si="2"/>
        <v>9000</v>
      </c>
    </row>
    <row r="39" spans="1:14" x14ac:dyDescent="0.3">
      <c r="A39" t="s">
        <v>125</v>
      </c>
      <c r="B39" t="s">
        <v>40</v>
      </c>
      <c r="C39">
        <v>2</v>
      </c>
      <c r="D39">
        <v>12548</v>
      </c>
      <c r="E39" s="5">
        <v>46161</v>
      </c>
      <c r="F39" t="s">
        <v>126</v>
      </c>
      <c r="G39" t="s">
        <v>82</v>
      </c>
      <c r="H39" t="s">
        <v>15</v>
      </c>
      <c r="I39" t="s">
        <v>25</v>
      </c>
      <c r="J39" t="s">
        <v>17</v>
      </c>
      <c r="K39">
        <v>25096</v>
      </c>
      <c r="L39">
        <f t="shared" si="3"/>
        <v>11548</v>
      </c>
      <c r="M39">
        <f t="shared" si="1"/>
        <v>23096</v>
      </c>
      <c r="N39">
        <f t="shared" si="2"/>
        <v>2000</v>
      </c>
    </row>
    <row r="40" spans="1:14" x14ac:dyDescent="0.3">
      <c r="A40" t="s">
        <v>127</v>
      </c>
      <c r="B40" t="s">
        <v>62</v>
      </c>
      <c r="C40">
        <v>6</v>
      </c>
      <c r="D40">
        <v>8432</v>
      </c>
      <c r="E40" s="5">
        <v>46162</v>
      </c>
      <c r="F40" t="s">
        <v>128</v>
      </c>
      <c r="G40" t="s">
        <v>14</v>
      </c>
      <c r="H40" t="s">
        <v>15</v>
      </c>
      <c r="I40" t="s">
        <v>34</v>
      </c>
      <c r="J40" t="s">
        <v>17</v>
      </c>
      <c r="K40">
        <v>50592</v>
      </c>
      <c r="L40">
        <f t="shared" si="3"/>
        <v>7432</v>
      </c>
      <c r="M40">
        <f t="shared" si="1"/>
        <v>44592</v>
      </c>
      <c r="N40">
        <f t="shared" si="2"/>
        <v>6000</v>
      </c>
    </row>
    <row r="41" spans="1:14" x14ac:dyDescent="0.3">
      <c r="A41" t="s">
        <v>129</v>
      </c>
      <c r="B41" t="s">
        <v>27</v>
      </c>
      <c r="C41">
        <v>9</v>
      </c>
      <c r="D41">
        <v>13351</v>
      </c>
      <c r="E41" s="5">
        <v>46163</v>
      </c>
      <c r="F41" t="s">
        <v>130</v>
      </c>
      <c r="G41" t="s">
        <v>101</v>
      </c>
      <c r="H41" t="s">
        <v>15</v>
      </c>
      <c r="I41" t="s">
        <v>34</v>
      </c>
      <c r="J41" t="s">
        <v>47</v>
      </c>
      <c r="K41">
        <v>120159</v>
      </c>
      <c r="L41">
        <f t="shared" si="3"/>
        <v>12351</v>
      </c>
      <c r="M41">
        <f t="shared" si="1"/>
        <v>111159</v>
      </c>
      <c r="N41">
        <f t="shared" si="2"/>
        <v>9000</v>
      </c>
    </row>
    <row r="42" spans="1:14" x14ac:dyDescent="0.3">
      <c r="A42" t="s">
        <v>131</v>
      </c>
      <c r="B42" t="s">
        <v>71</v>
      </c>
      <c r="C42">
        <v>5</v>
      </c>
      <c r="D42">
        <v>16286</v>
      </c>
      <c r="E42" s="5">
        <v>46164</v>
      </c>
      <c r="F42" t="s">
        <v>132</v>
      </c>
      <c r="G42" t="s">
        <v>124</v>
      </c>
      <c r="H42" t="s">
        <v>15</v>
      </c>
      <c r="I42" t="s">
        <v>34</v>
      </c>
      <c r="J42" t="s">
        <v>35</v>
      </c>
      <c r="K42">
        <v>81430</v>
      </c>
      <c r="L42">
        <f t="shared" si="3"/>
        <v>15286</v>
      </c>
      <c r="M42">
        <f t="shared" si="1"/>
        <v>76430</v>
      </c>
      <c r="N42">
        <f t="shared" si="2"/>
        <v>5000</v>
      </c>
    </row>
    <row r="43" spans="1:14" x14ac:dyDescent="0.3">
      <c r="A43" t="s">
        <v>133</v>
      </c>
      <c r="B43" t="s">
        <v>31</v>
      </c>
      <c r="C43">
        <v>1</v>
      </c>
      <c r="D43">
        <v>4978</v>
      </c>
      <c r="E43" s="5">
        <v>46165</v>
      </c>
      <c r="F43" t="s">
        <v>134</v>
      </c>
      <c r="G43" t="s">
        <v>135</v>
      </c>
      <c r="H43" t="s">
        <v>15</v>
      </c>
      <c r="I43" t="s">
        <v>34</v>
      </c>
      <c r="J43" t="s">
        <v>76</v>
      </c>
      <c r="K43">
        <v>4978</v>
      </c>
      <c r="L43">
        <f t="shared" si="3"/>
        <v>3978</v>
      </c>
      <c r="M43">
        <f t="shared" si="1"/>
        <v>3978</v>
      </c>
      <c r="N43">
        <f t="shared" si="2"/>
        <v>1000</v>
      </c>
    </row>
    <row r="44" spans="1:14" x14ac:dyDescent="0.3">
      <c r="A44" t="s">
        <v>136</v>
      </c>
      <c r="B44" t="s">
        <v>40</v>
      </c>
      <c r="C44">
        <v>3</v>
      </c>
      <c r="D44">
        <v>10629</v>
      </c>
      <c r="E44" s="5">
        <v>46166</v>
      </c>
      <c r="F44" t="s">
        <v>137</v>
      </c>
      <c r="G44" t="s">
        <v>94</v>
      </c>
      <c r="H44" t="s">
        <v>15</v>
      </c>
      <c r="I44" t="s">
        <v>16</v>
      </c>
      <c r="J44" t="s">
        <v>76</v>
      </c>
      <c r="K44">
        <v>31887</v>
      </c>
      <c r="L44">
        <f t="shared" si="3"/>
        <v>9629</v>
      </c>
      <c r="M44">
        <f t="shared" si="1"/>
        <v>28887</v>
      </c>
      <c r="N44">
        <f t="shared" si="2"/>
        <v>3000</v>
      </c>
    </row>
    <row r="45" spans="1:14" x14ac:dyDescent="0.3">
      <c r="A45" t="s">
        <v>138</v>
      </c>
      <c r="B45" t="s">
        <v>71</v>
      </c>
      <c r="C45">
        <v>6</v>
      </c>
      <c r="D45">
        <v>7312</v>
      </c>
      <c r="E45" s="5">
        <v>46167</v>
      </c>
      <c r="F45" t="s">
        <v>139</v>
      </c>
      <c r="G45" t="s">
        <v>21</v>
      </c>
      <c r="H45" t="s">
        <v>15</v>
      </c>
      <c r="I45" t="s">
        <v>16</v>
      </c>
      <c r="J45" t="s">
        <v>35</v>
      </c>
      <c r="K45">
        <v>43872</v>
      </c>
      <c r="L45">
        <f t="shared" si="3"/>
        <v>6312</v>
      </c>
      <c r="M45">
        <f t="shared" si="1"/>
        <v>37872</v>
      </c>
      <c r="N45">
        <f t="shared" si="2"/>
        <v>6000</v>
      </c>
    </row>
    <row r="46" spans="1:14" x14ac:dyDescent="0.3">
      <c r="A46" t="s">
        <v>140</v>
      </c>
      <c r="B46" t="s">
        <v>12</v>
      </c>
      <c r="C46">
        <v>6</v>
      </c>
      <c r="D46">
        <v>5963</v>
      </c>
      <c r="E46" s="5">
        <v>46168</v>
      </c>
      <c r="F46" t="s">
        <v>141</v>
      </c>
      <c r="G46" t="s">
        <v>142</v>
      </c>
      <c r="H46" t="s">
        <v>15</v>
      </c>
      <c r="I46" t="s">
        <v>25</v>
      </c>
      <c r="J46" t="s">
        <v>47</v>
      </c>
      <c r="K46">
        <v>35778</v>
      </c>
      <c r="L46">
        <f t="shared" si="3"/>
        <v>4963</v>
      </c>
      <c r="M46">
        <f t="shared" si="1"/>
        <v>29778</v>
      </c>
      <c r="N46">
        <f t="shared" si="2"/>
        <v>6000</v>
      </c>
    </row>
    <row r="47" spans="1:14" x14ac:dyDescent="0.3">
      <c r="A47" t="s">
        <v>143</v>
      </c>
      <c r="B47" t="s">
        <v>19</v>
      </c>
      <c r="C47">
        <v>1</v>
      </c>
      <c r="D47">
        <v>4437</v>
      </c>
      <c r="E47" s="5">
        <v>46169</v>
      </c>
      <c r="F47" t="s">
        <v>144</v>
      </c>
      <c r="G47" t="s">
        <v>94</v>
      </c>
      <c r="H47" t="s">
        <v>15</v>
      </c>
      <c r="I47" t="s">
        <v>34</v>
      </c>
      <c r="J47" t="s">
        <v>50</v>
      </c>
      <c r="K47">
        <v>4437</v>
      </c>
      <c r="L47">
        <f t="shared" si="3"/>
        <v>3437</v>
      </c>
      <c r="M47">
        <f t="shared" si="1"/>
        <v>3437</v>
      </c>
      <c r="N47">
        <f t="shared" si="2"/>
        <v>1000</v>
      </c>
    </row>
    <row r="48" spans="1:14" x14ac:dyDescent="0.3">
      <c r="A48" t="s">
        <v>145</v>
      </c>
      <c r="B48" t="s">
        <v>12</v>
      </c>
      <c r="C48">
        <v>9</v>
      </c>
      <c r="D48">
        <v>9000</v>
      </c>
      <c r="E48" s="5">
        <v>46170</v>
      </c>
      <c r="F48" t="s">
        <v>146</v>
      </c>
      <c r="G48" t="s">
        <v>57</v>
      </c>
      <c r="H48" t="s">
        <v>15</v>
      </c>
      <c r="I48" t="s">
        <v>16</v>
      </c>
      <c r="J48" t="s">
        <v>50</v>
      </c>
      <c r="K48">
        <v>81000</v>
      </c>
      <c r="L48">
        <f t="shared" si="3"/>
        <v>8000</v>
      </c>
      <c r="M48">
        <f t="shared" si="1"/>
        <v>72000</v>
      </c>
      <c r="N48">
        <f t="shared" si="2"/>
        <v>9000</v>
      </c>
    </row>
    <row r="49" spans="1:14" x14ac:dyDescent="0.3">
      <c r="A49" t="s">
        <v>147</v>
      </c>
      <c r="B49" t="s">
        <v>12</v>
      </c>
      <c r="C49">
        <v>2</v>
      </c>
      <c r="D49">
        <v>4321</v>
      </c>
      <c r="E49" s="5">
        <v>46171</v>
      </c>
      <c r="F49" t="s">
        <v>148</v>
      </c>
      <c r="G49" t="s">
        <v>111</v>
      </c>
      <c r="H49" t="s">
        <v>15</v>
      </c>
      <c r="I49" t="s">
        <v>34</v>
      </c>
      <c r="J49" t="s">
        <v>17</v>
      </c>
      <c r="K49">
        <v>8642</v>
      </c>
      <c r="L49">
        <f t="shared" si="3"/>
        <v>3321</v>
      </c>
      <c r="M49">
        <f t="shared" si="1"/>
        <v>6642</v>
      </c>
      <c r="N49">
        <f t="shared" si="2"/>
        <v>2000</v>
      </c>
    </row>
    <row r="50" spans="1:14" x14ac:dyDescent="0.3">
      <c r="A50" t="s">
        <v>149</v>
      </c>
      <c r="B50" t="s">
        <v>62</v>
      </c>
      <c r="C50">
        <v>2</v>
      </c>
      <c r="D50">
        <v>12180</v>
      </c>
      <c r="E50" s="5">
        <v>46172</v>
      </c>
      <c r="F50" t="s">
        <v>150</v>
      </c>
      <c r="G50" t="s">
        <v>79</v>
      </c>
      <c r="H50" t="s">
        <v>15</v>
      </c>
      <c r="I50" t="s">
        <v>16</v>
      </c>
      <c r="J50" t="s">
        <v>17</v>
      </c>
      <c r="K50">
        <v>24360</v>
      </c>
      <c r="L50">
        <f t="shared" si="3"/>
        <v>11180</v>
      </c>
      <c r="M50">
        <f t="shared" si="1"/>
        <v>22360</v>
      </c>
      <c r="N50">
        <f t="shared" si="2"/>
        <v>2000</v>
      </c>
    </row>
    <row r="51" spans="1:14" x14ac:dyDescent="0.3">
      <c r="A51" t="s">
        <v>151</v>
      </c>
      <c r="B51" t="s">
        <v>31</v>
      </c>
      <c r="C51">
        <v>1</v>
      </c>
      <c r="D51">
        <v>4360</v>
      </c>
      <c r="E51" s="5">
        <v>46173</v>
      </c>
      <c r="F51" t="s">
        <v>152</v>
      </c>
      <c r="G51" t="s">
        <v>24</v>
      </c>
      <c r="H51" t="s">
        <v>15</v>
      </c>
      <c r="I51" t="s">
        <v>16</v>
      </c>
      <c r="J51" t="s">
        <v>47</v>
      </c>
      <c r="K51">
        <v>4360</v>
      </c>
      <c r="L51">
        <f t="shared" si="3"/>
        <v>3360</v>
      </c>
      <c r="M51">
        <f t="shared" si="1"/>
        <v>3360</v>
      </c>
      <c r="N51">
        <f t="shared" si="2"/>
        <v>1000</v>
      </c>
    </row>
    <row r="52" spans="1:14" x14ac:dyDescent="0.3">
      <c r="A52" t="s">
        <v>153</v>
      </c>
      <c r="B52" t="s">
        <v>62</v>
      </c>
      <c r="C52">
        <v>4</v>
      </c>
      <c r="D52">
        <v>12400</v>
      </c>
      <c r="E52" s="5">
        <v>46174</v>
      </c>
      <c r="F52" t="s">
        <v>154</v>
      </c>
      <c r="G52" t="s">
        <v>64</v>
      </c>
      <c r="H52" t="s">
        <v>15</v>
      </c>
      <c r="I52" t="s">
        <v>34</v>
      </c>
      <c r="J52" t="s">
        <v>76</v>
      </c>
      <c r="K52">
        <v>49600</v>
      </c>
      <c r="L52">
        <f t="shared" si="3"/>
        <v>11400</v>
      </c>
      <c r="M52">
        <f t="shared" si="1"/>
        <v>45600</v>
      </c>
      <c r="N52">
        <f t="shared" si="2"/>
        <v>4000</v>
      </c>
    </row>
    <row r="53" spans="1:14" x14ac:dyDescent="0.3">
      <c r="A53" t="s">
        <v>155</v>
      </c>
      <c r="B53" t="s">
        <v>52</v>
      </c>
      <c r="C53">
        <v>9</v>
      </c>
      <c r="D53">
        <v>15553</v>
      </c>
      <c r="E53" s="5">
        <v>46175</v>
      </c>
      <c r="F53" t="s">
        <v>156</v>
      </c>
      <c r="G53" t="s">
        <v>29</v>
      </c>
      <c r="H53" t="s">
        <v>15</v>
      </c>
      <c r="I53" t="s">
        <v>25</v>
      </c>
      <c r="J53" t="s">
        <v>17</v>
      </c>
      <c r="K53">
        <v>139977</v>
      </c>
      <c r="L53">
        <f t="shared" si="3"/>
        <v>14553</v>
      </c>
      <c r="M53">
        <f t="shared" si="1"/>
        <v>130977</v>
      </c>
      <c r="N53">
        <f t="shared" si="2"/>
        <v>9000</v>
      </c>
    </row>
    <row r="54" spans="1:14" x14ac:dyDescent="0.3">
      <c r="A54" t="s">
        <v>157</v>
      </c>
      <c r="B54" t="s">
        <v>40</v>
      </c>
      <c r="C54">
        <v>9</v>
      </c>
      <c r="D54">
        <v>2337</v>
      </c>
      <c r="E54" s="5">
        <v>46176</v>
      </c>
      <c r="F54" t="s">
        <v>158</v>
      </c>
      <c r="G54" t="s">
        <v>159</v>
      </c>
      <c r="H54" t="s">
        <v>15</v>
      </c>
      <c r="I54" t="s">
        <v>34</v>
      </c>
      <c r="J54" t="s">
        <v>17</v>
      </c>
      <c r="K54">
        <v>21033</v>
      </c>
      <c r="L54">
        <f t="shared" si="3"/>
        <v>1337</v>
      </c>
      <c r="M54">
        <f t="shared" si="1"/>
        <v>12033</v>
      </c>
      <c r="N54">
        <f t="shared" si="2"/>
        <v>9000</v>
      </c>
    </row>
    <row r="55" spans="1:14" x14ac:dyDescent="0.3">
      <c r="A55" t="s">
        <v>160</v>
      </c>
      <c r="B55" t="s">
        <v>19</v>
      </c>
      <c r="C55">
        <v>5</v>
      </c>
      <c r="D55">
        <v>18457</v>
      </c>
      <c r="E55" s="5">
        <v>46177</v>
      </c>
      <c r="F55" t="s">
        <v>161</v>
      </c>
      <c r="G55" t="s">
        <v>82</v>
      </c>
      <c r="H55" t="s">
        <v>15</v>
      </c>
      <c r="I55" t="s">
        <v>34</v>
      </c>
      <c r="J55" t="s">
        <v>50</v>
      </c>
      <c r="K55">
        <v>92285</v>
      </c>
      <c r="L55">
        <f t="shared" si="3"/>
        <v>17457</v>
      </c>
      <c r="M55">
        <f t="shared" si="1"/>
        <v>87285</v>
      </c>
      <c r="N55">
        <f t="shared" si="2"/>
        <v>5000</v>
      </c>
    </row>
    <row r="56" spans="1:14" x14ac:dyDescent="0.3">
      <c r="A56" t="s">
        <v>162</v>
      </c>
      <c r="B56" t="s">
        <v>31</v>
      </c>
      <c r="C56">
        <v>5</v>
      </c>
      <c r="D56">
        <v>19124</v>
      </c>
      <c r="E56" s="5">
        <v>46178</v>
      </c>
      <c r="F56" t="s">
        <v>163</v>
      </c>
      <c r="G56" t="s">
        <v>91</v>
      </c>
      <c r="H56" t="s">
        <v>15</v>
      </c>
      <c r="I56" t="s">
        <v>34</v>
      </c>
      <c r="J56" t="s">
        <v>17</v>
      </c>
      <c r="K56">
        <v>95620</v>
      </c>
      <c r="L56">
        <f t="shared" si="3"/>
        <v>18124</v>
      </c>
      <c r="M56">
        <f t="shared" si="1"/>
        <v>90620</v>
      </c>
      <c r="N56">
        <f t="shared" si="2"/>
        <v>5000</v>
      </c>
    </row>
    <row r="57" spans="1:14" x14ac:dyDescent="0.3">
      <c r="A57" t="s">
        <v>164</v>
      </c>
      <c r="B57" t="s">
        <v>44</v>
      </c>
      <c r="C57">
        <v>1</v>
      </c>
      <c r="D57">
        <v>5248</v>
      </c>
      <c r="E57" s="5">
        <v>46179</v>
      </c>
      <c r="F57" t="s">
        <v>165</v>
      </c>
      <c r="G57" t="s">
        <v>166</v>
      </c>
      <c r="H57" t="s">
        <v>15</v>
      </c>
      <c r="I57" t="s">
        <v>34</v>
      </c>
      <c r="J57" t="s">
        <v>76</v>
      </c>
      <c r="K57">
        <v>5248</v>
      </c>
      <c r="L57">
        <f t="shared" si="3"/>
        <v>4248</v>
      </c>
      <c r="M57">
        <f t="shared" si="1"/>
        <v>4248</v>
      </c>
      <c r="N57">
        <f t="shared" si="2"/>
        <v>1000</v>
      </c>
    </row>
    <row r="58" spans="1:14" x14ac:dyDescent="0.3">
      <c r="A58" t="s">
        <v>167</v>
      </c>
      <c r="B58" t="s">
        <v>71</v>
      </c>
      <c r="C58">
        <v>4</v>
      </c>
      <c r="D58">
        <v>2739</v>
      </c>
      <c r="E58" s="5">
        <v>46180</v>
      </c>
      <c r="F58" t="s">
        <v>168</v>
      </c>
      <c r="G58" t="s">
        <v>79</v>
      </c>
      <c r="H58" t="s">
        <v>15</v>
      </c>
      <c r="I58" t="s">
        <v>16</v>
      </c>
      <c r="J58" t="s">
        <v>17</v>
      </c>
      <c r="K58">
        <v>10956</v>
      </c>
      <c r="L58">
        <f t="shared" si="3"/>
        <v>1739</v>
      </c>
      <c r="M58">
        <f t="shared" si="1"/>
        <v>6956</v>
      </c>
      <c r="N58">
        <f t="shared" si="2"/>
        <v>4000</v>
      </c>
    </row>
    <row r="59" spans="1:14" x14ac:dyDescent="0.3">
      <c r="A59" t="s">
        <v>169</v>
      </c>
      <c r="B59" t="s">
        <v>27</v>
      </c>
      <c r="C59">
        <v>8</v>
      </c>
      <c r="D59">
        <v>15728</v>
      </c>
      <c r="E59" s="5">
        <v>46181</v>
      </c>
      <c r="F59" t="s">
        <v>170</v>
      </c>
      <c r="G59" t="s">
        <v>73</v>
      </c>
      <c r="H59" t="s">
        <v>15</v>
      </c>
      <c r="I59" t="s">
        <v>25</v>
      </c>
      <c r="J59" t="s">
        <v>47</v>
      </c>
      <c r="K59">
        <v>125824</v>
      </c>
      <c r="L59">
        <f t="shared" si="3"/>
        <v>14728</v>
      </c>
      <c r="M59">
        <f t="shared" si="1"/>
        <v>117824</v>
      </c>
      <c r="N59">
        <f t="shared" si="2"/>
        <v>8000</v>
      </c>
    </row>
    <row r="60" spans="1:14" x14ac:dyDescent="0.3">
      <c r="A60" t="s">
        <v>171</v>
      </c>
      <c r="B60" t="s">
        <v>52</v>
      </c>
      <c r="C60">
        <v>4</v>
      </c>
      <c r="D60">
        <v>7390</v>
      </c>
      <c r="E60" s="5">
        <v>46182</v>
      </c>
      <c r="F60" t="s">
        <v>172</v>
      </c>
      <c r="G60" t="s">
        <v>79</v>
      </c>
      <c r="H60" t="s">
        <v>15</v>
      </c>
      <c r="I60" t="s">
        <v>25</v>
      </c>
      <c r="J60" t="s">
        <v>50</v>
      </c>
      <c r="K60">
        <v>29560</v>
      </c>
      <c r="L60">
        <f t="shared" si="3"/>
        <v>6390</v>
      </c>
      <c r="M60">
        <f t="shared" si="1"/>
        <v>25560</v>
      </c>
      <c r="N60">
        <f t="shared" si="2"/>
        <v>4000</v>
      </c>
    </row>
    <row r="61" spans="1:14" x14ac:dyDescent="0.3">
      <c r="A61" t="s">
        <v>173</v>
      </c>
      <c r="B61" t="s">
        <v>19</v>
      </c>
      <c r="C61">
        <v>3</v>
      </c>
      <c r="D61">
        <v>10604</v>
      </c>
      <c r="E61" s="5">
        <v>46183</v>
      </c>
      <c r="F61" t="s">
        <v>174</v>
      </c>
      <c r="G61" t="s">
        <v>175</v>
      </c>
      <c r="H61" t="s">
        <v>15</v>
      </c>
      <c r="I61" t="s">
        <v>25</v>
      </c>
      <c r="J61" t="s">
        <v>35</v>
      </c>
      <c r="K61">
        <v>31812</v>
      </c>
      <c r="L61">
        <f t="shared" si="3"/>
        <v>9604</v>
      </c>
      <c r="M61">
        <f t="shared" si="1"/>
        <v>28812</v>
      </c>
      <c r="N61">
        <f t="shared" si="2"/>
        <v>3000</v>
      </c>
    </row>
    <row r="62" spans="1:14" x14ac:dyDescent="0.3">
      <c r="A62" t="s">
        <v>176</v>
      </c>
      <c r="B62" t="s">
        <v>40</v>
      </c>
      <c r="C62">
        <v>2</v>
      </c>
      <c r="D62">
        <v>6267</v>
      </c>
      <c r="E62" s="5">
        <v>46184</v>
      </c>
      <c r="F62" t="s">
        <v>177</v>
      </c>
      <c r="G62" t="s">
        <v>124</v>
      </c>
      <c r="H62" t="s">
        <v>15</v>
      </c>
      <c r="I62" t="s">
        <v>34</v>
      </c>
      <c r="J62" t="s">
        <v>17</v>
      </c>
      <c r="K62">
        <v>12534</v>
      </c>
      <c r="L62">
        <f t="shared" si="3"/>
        <v>5267</v>
      </c>
      <c r="M62">
        <f t="shared" si="1"/>
        <v>10534</v>
      </c>
      <c r="N62">
        <f t="shared" si="2"/>
        <v>2000</v>
      </c>
    </row>
    <row r="63" spans="1:14" x14ac:dyDescent="0.3">
      <c r="A63" t="s">
        <v>178</v>
      </c>
      <c r="B63" t="s">
        <v>44</v>
      </c>
      <c r="C63">
        <v>2</v>
      </c>
      <c r="D63">
        <v>15409</v>
      </c>
      <c r="E63" s="5">
        <v>46185</v>
      </c>
      <c r="F63" t="s">
        <v>179</v>
      </c>
      <c r="G63" t="s">
        <v>57</v>
      </c>
      <c r="H63" t="s">
        <v>15</v>
      </c>
      <c r="I63" t="s">
        <v>16</v>
      </c>
      <c r="J63" t="s">
        <v>50</v>
      </c>
      <c r="K63">
        <v>30818</v>
      </c>
      <c r="L63">
        <f t="shared" si="3"/>
        <v>14409</v>
      </c>
      <c r="M63">
        <f t="shared" si="1"/>
        <v>28818</v>
      </c>
      <c r="N63">
        <f t="shared" si="2"/>
        <v>2000</v>
      </c>
    </row>
    <row r="64" spans="1:14" x14ac:dyDescent="0.3">
      <c r="A64" t="s">
        <v>180</v>
      </c>
      <c r="B64" t="s">
        <v>19</v>
      </c>
      <c r="C64">
        <v>3</v>
      </c>
      <c r="D64">
        <v>18562</v>
      </c>
      <c r="E64" s="5">
        <v>46186</v>
      </c>
      <c r="F64" t="s">
        <v>181</v>
      </c>
      <c r="G64" t="s">
        <v>54</v>
      </c>
      <c r="H64" t="s">
        <v>15</v>
      </c>
      <c r="I64" t="s">
        <v>34</v>
      </c>
      <c r="J64" t="s">
        <v>76</v>
      </c>
      <c r="K64">
        <v>55686</v>
      </c>
      <c r="L64">
        <f t="shared" si="3"/>
        <v>17562</v>
      </c>
      <c r="M64">
        <f t="shared" si="1"/>
        <v>52686</v>
      </c>
      <c r="N64">
        <f t="shared" si="2"/>
        <v>3000</v>
      </c>
    </row>
    <row r="65" spans="1:14" x14ac:dyDescent="0.3">
      <c r="A65" t="s">
        <v>182</v>
      </c>
      <c r="B65" t="s">
        <v>12</v>
      </c>
      <c r="C65">
        <v>2</v>
      </c>
      <c r="D65">
        <v>12242</v>
      </c>
      <c r="E65" s="5">
        <v>46187</v>
      </c>
      <c r="F65" t="s">
        <v>183</v>
      </c>
      <c r="G65" t="s">
        <v>67</v>
      </c>
      <c r="H65" t="s">
        <v>15</v>
      </c>
      <c r="I65" t="s">
        <v>25</v>
      </c>
      <c r="J65" t="s">
        <v>17</v>
      </c>
      <c r="K65">
        <v>24484</v>
      </c>
      <c r="L65">
        <f t="shared" si="3"/>
        <v>11242</v>
      </c>
      <c r="M65">
        <f t="shared" si="1"/>
        <v>22484</v>
      </c>
      <c r="N65">
        <f t="shared" si="2"/>
        <v>2000</v>
      </c>
    </row>
    <row r="66" spans="1:14" x14ac:dyDescent="0.3">
      <c r="A66" t="s">
        <v>184</v>
      </c>
      <c r="B66" t="s">
        <v>12</v>
      </c>
      <c r="C66">
        <v>5</v>
      </c>
      <c r="D66">
        <v>10977</v>
      </c>
      <c r="E66" s="5">
        <v>46188</v>
      </c>
      <c r="F66" t="s">
        <v>185</v>
      </c>
      <c r="G66" t="s">
        <v>159</v>
      </c>
      <c r="H66" t="s">
        <v>15</v>
      </c>
      <c r="I66" t="s">
        <v>16</v>
      </c>
      <c r="J66" t="s">
        <v>47</v>
      </c>
      <c r="K66">
        <v>54885</v>
      </c>
      <c r="L66">
        <f t="shared" si="3"/>
        <v>9977</v>
      </c>
      <c r="M66">
        <f t="shared" si="1"/>
        <v>49885</v>
      </c>
      <c r="N66">
        <f t="shared" si="2"/>
        <v>5000</v>
      </c>
    </row>
    <row r="67" spans="1:14" x14ac:dyDescent="0.3">
      <c r="A67" t="s">
        <v>186</v>
      </c>
      <c r="B67" t="s">
        <v>27</v>
      </c>
      <c r="C67">
        <v>3</v>
      </c>
      <c r="D67">
        <v>19091</v>
      </c>
      <c r="E67" s="5">
        <v>46189</v>
      </c>
      <c r="F67" t="s">
        <v>187</v>
      </c>
      <c r="G67" t="s">
        <v>159</v>
      </c>
      <c r="H67" t="s">
        <v>15</v>
      </c>
      <c r="I67" t="s">
        <v>25</v>
      </c>
      <c r="J67" t="s">
        <v>35</v>
      </c>
      <c r="K67">
        <v>57273</v>
      </c>
      <c r="L67">
        <f t="shared" si="3"/>
        <v>18091</v>
      </c>
      <c r="M67">
        <f t="shared" ref="M67:M130" si="4">L67*C67</f>
        <v>54273</v>
      </c>
      <c r="N67">
        <f t="shared" ref="N67:N130" si="5">K67-M67</f>
        <v>3000</v>
      </c>
    </row>
    <row r="68" spans="1:14" x14ac:dyDescent="0.3">
      <c r="A68" t="s">
        <v>188</v>
      </c>
      <c r="B68" t="s">
        <v>40</v>
      </c>
      <c r="C68">
        <v>6</v>
      </c>
      <c r="D68">
        <v>11557</v>
      </c>
      <c r="E68" s="5">
        <v>46190</v>
      </c>
      <c r="F68" t="s">
        <v>189</v>
      </c>
      <c r="G68" t="s">
        <v>135</v>
      </c>
      <c r="H68" t="s">
        <v>15</v>
      </c>
      <c r="I68" t="s">
        <v>25</v>
      </c>
      <c r="J68" t="s">
        <v>76</v>
      </c>
      <c r="K68">
        <v>69342</v>
      </c>
      <c r="L68">
        <f t="shared" si="3"/>
        <v>10557</v>
      </c>
      <c r="M68">
        <f t="shared" si="4"/>
        <v>63342</v>
      </c>
      <c r="N68">
        <f t="shared" si="5"/>
        <v>6000</v>
      </c>
    </row>
    <row r="69" spans="1:14" x14ac:dyDescent="0.3">
      <c r="A69" t="s">
        <v>190</v>
      </c>
      <c r="B69" t="s">
        <v>44</v>
      </c>
      <c r="C69">
        <v>6</v>
      </c>
      <c r="D69">
        <v>16181</v>
      </c>
      <c r="E69" s="5">
        <v>46191</v>
      </c>
      <c r="F69" t="s">
        <v>191</v>
      </c>
      <c r="G69" t="s">
        <v>94</v>
      </c>
      <c r="H69" t="s">
        <v>15</v>
      </c>
      <c r="I69" t="s">
        <v>16</v>
      </c>
      <c r="J69" t="s">
        <v>47</v>
      </c>
      <c r="K69">
        <v>97086</v>
      </c>
      <c r="L69">
        <f t="shared" si="3"/>
        <v>15181</v>
      </c>
      <c r="M69">
        <f t="shared" si="4"/>
        <v>91086</v>
      </c>
      <c r="N69">
        <f t="shared" si="5"/>
        <v>6000</v>
      </c>
    </row>
    <row r="70" spans="1:14" x14ac:dyDescent="0.3">
      <c r="A70" t="s">
        <v>192</v>
      </c>
      <c r="B70" t="s">
        <v>12</v>
      </c>
      <c r="C70">
        <v>6</v>
      </c>
      <c r="D70">
        <v>17480</v>
      </c>
      <c r="E70" s="5">
        <v>46192</v>
      </c>
      <c r="F70" t="s">
        <v>193</v>
      </c>
      <c r="G70" t="s">
        <v>194</v>
      </c>
      <c r="H70" t="s">
        <v>15</v>
      </c>
      <c r="I70" t="s">
        <v>16</v>
      </c>
      <c r="J70" t="s">
        <v>35</v>
      </c>
      <c r="K70">
        <v>104880</v>
      </c>
      <c r="L70">
        <f t="shared" si="3"/>
        <v>16480</v>
      </c>
      <c r="M70">
        <f t="shared" si="4"/>
        <v>98880</v>
      </c>
      <c r="N70">
        <f t="shared" si="5"/>
        <v>6000</v>
      </c>
    </row>
    <row r="71" spans="1:14" x14ac:dyDescent="0.3">
      <c r="A71" t="s">
        <v>195</v>
      </c>
      <c r="B71" t="s">
        <v>52</v>
      </c>
      <c r="C71">
        <v>3</v>
      </c>
      <c r="D71">
        <v>16998</v>
      </c>
      <c r="E71" s="5">
        <v>46193</v>
      </c>
      <c r="F71" t="s">
        <v>196</v>
      </c>
      <c r="G71" t="s">
        <v>94</v>
      </c>
      <c r="H71" t="s">
        <v>15</v>
      </c>
      <c r="I71" t="s">
        <v>16</v>
      </c>
      <c r="J71" t="s">
        <v>76</v>
      </c>
      <c r="K71">
        <v>50994</v>
      </c>
      <c r="L71">
        <f t="shared" si="3"/>
        <v>15998</v>
      </c>
      <c r="M71">
        <f t="shared" si="4"/>
        <v>47994</v>
      </c>
      <c r="N71">
        <f t="shared" si="5"/>
        <v>3000</v>
      </c>
    </row>
    <row r="72" spans="1:14" x14ac:dyDescent="0.3">
      <c r="A72" t="s">
        <v>197</v>
      </c>
      <c r="B72" t="s">
        <v>59</v>
      </c>
      <c r="C72">
        <v>6</v>
      </c>
      <c r="D72">
        <v>7330</v>
      </c>
      <c r="E72" s="5">
        <v>46194</v>
      </c>
      <c r="F72" t="s">
        <v>198</v>
      </c>
      <c r="G72" t="s">
        <v>199</v>
      </c>
      <c r="H72" t="s">
        <v>15</v>
      </c>
      <c r="I72" t="s">
        <v>16</v>
      </c>
      <c r="J72" t="s">
        <v>76</v>
      </c>
      <c r="K72">
        <v>43980</v>
      </c>
      <c r="L72">
        <f t="shared" si="3"/>
        <v>6330</v>
      </c>
      <c r="M72">
        <f t="shared" si="4"/>
        <v>37980</v>
      </c>
      <c r="N72">
        <f t="shared" si="5"/>
        <v>6000</v>
      </c>
    </row>
    <row r="73" spans="1:14" x14ac:dyDescent="0.3">
      <c r="A73" t="s">
        <v>200</v>
      </c>
      <c r="B73" t="s">
        <v>59</v>
      </c>
      <c r="C73">
        <v>8</v>
      </c>
      <c r="D73">
        <v>11015</v>
      </c>
      <c r="E73" s="5">
        <v>46195</v>
      </c>
      <c r="F73" t="s">
        <v>201</v>
      </c>
      <c r="G73" t="s">
        <v>104</v>
      </c>
      <c r="H73" t="s">
        <v>15</v>
      </c>
      <c r="I73" t="s">
        <v>25</v>
      </c>
      <c r="J73" t="s">
        <v>35</v>
      </c>
      <c r="K73">
        <v>88120</v>
      </c>
      <c r="L73">
        <f t="shared" si="3"/>
        <v>10015</v>
      </c>
      <c r="M73">
        <f t="shared" si="4"/>
        <v>80120</v>
      </c>
      <c r="N73">
        <f t="shared" si="5"/>
        <v>8000</v>
      </c>
    </row>
    <row r="74" spans="1:14" x14ac:dyDescent="0.3">
      <c r="A74" t="s">
        <v>202</v>
      </c>
      <c r="B74" t="s">
        <v>62</v>
      </c>
      <c r="C74">
        <v>8</v>
      </c>
      <c r="D74">
        <v>12417</v>
      </c>
      <c r="E74" s="5">
        <v>46196</v>
      </c>
      <c r="F74" t="s">
        <v>203</v>
      </c>
      <c r="G74" t="s">
        <v>54</v>
      </c>
      <c r="H74" t="s">
        <v>15</v>
      </c>
      <c r="I74" t="s">
        <v>16</v>
      </c>
      <c r="J74" t="s">
        <v>50</v>
      </c>
      <c r="K74">
        <v>99336</v>
      </c>
      <c r="L74">
        <f t="shared" si="3"/>
        <v>11417</v>
      </c>
      <c r="M74">
        <f t="shared" si="4"/>
        <v>91336</v>
      </c>
      <c r="N74">
        <f t="shared" si="5"/>
        <v>8000</v>
      </c>
    </row>
    <row r="75" spans="1:14" x14ac:dyDescent="0.3">
      <c r="A75" t="s">
        <v>204</v>
      </c>
      <c r="B75" t="s">
        <v>27</v>
      </c>
      <c r="C75">
        <v>7</v>
      </c>
      <c r="D75">
        <v>17469</v>
      </c>
      <c r="E75" s="5">
        <v>46197</v>
      </c>
      <c r="F75" t="s">
        <v>205</v>
      </c>
      <c r="G75" t="s">
        <v>67</v>
      </c>
      <c r="H75" t="s">
        <v>15</v>
      </c>
      <c r="I75" t="s">
        <v>34</v>
      </c>
      <c r="J75" t="s">
        <v>76</v>
      </c>
      <c r="K75">
        <v>122283</v>
      </c>
      <c r="L75">
        <f t="shared" si="3"/>
        <v>16469</v>
      </c>
      <c r="M75">
        <f t="shared" si="4"/>
        <v>115283</v>
      </c>
      <c r="N75">
        <f t="shared" si="5"/>
        <v>7000</v>
      </c>
    </row>
    <row r="76" spans="1:14" x14ac:dyDescent="0.3">
      <c r="A76" t="s">
        <v>206</v>
      </c>
      <c r="B76" t="s">
        <v>27</v>
      </c>
      <c r="C76">
        <v>2</v>
      </c>
      <c r="D76">
        <v>12483</v>
      </c>
      <c r="E76" s="5">
        <v>46198</v>
      </c>
      <c r="F76" t="s">
        <v>207</v>
      </c>
      <c r="G76" t="s">
        <v>38</v>
      </c>
      <c r="H76" t="s">
        <v>15</v>
      </c>
      <c r="I76" t="s">
        <v>16</v>
      </c>
      <c r="J76" t="s">
        <v>17</v>
      </c>
      <c r="K76">
        <v>24966</v>
      </c>
      <c r="L76">
        <f t="shared" si="3"/>
        <v>11483</v>
      </c>
      <c r="M76">
        <f t="shared" si="4"/>
        <v>22966</v>
      </c>
      <c r="N76">
        <f t="shared" si="5"/>
        <v>2000</v>
      </c>
    </row>
    <row r="77" spans="1:14" x14ac:dyDescent="0.3">
      <c r="A77" t="s">
        <v>208</v>
      </c>
      <c r="B77" t="s">
        <v>27</v>
      </c>
      <c r="C77">
        <v>7</v>
      </c>
      <c r="D77">
        <v>16926</v>
      </c>
      <c r="E77" s="5">
        <v>46199</v>
      </c>
      <c r="F77" t="s">
        <v>209</v>
      </c>
      <c r="G77" t="s">
        <v>38</v>
      </c>
      <c r="H77" t="s">
        <v>15</v>
      </c>
      <c r="I77" t="s">
        <v>25</v>
      </c>
      <c r="J77" t="s">
        <v>50</v>
      </c>
      <c r="K77">
        <v>118482</v>
      </c>
      <c r="L77">
        <f t="shared" si="3"/>
        <v>15926</v>
      </c>
      <c r="M77">
        <f t="shared" si="4"/>
        <v>111482</v>
      </c>
      <c r="N77">
        <f t="shared" si="5"/>
        <v>7000</v>
      </c>
    </row>
    <row r="78" spans="1:14" x14ac:dyDescent="0.3">
      <c r="A78" t="s">
        <v>210</v>
      </c>
      <c r="B78" t="s">
        <v>19</v>
      </c>
      <c r="C78">
        <v>8</v>
      </c>
      <c r="D78">
        <v>6754</v>
      </c>
      <c r="E78" s="5">
        <v>46200</v>
      </c>
      <c r="F78" t="s">
        <v>211</v>
      </c>
      <c r="G78" t="s">
        <v>94</v>
      </c>
      <c r="H78" t="s">
        <v>15</v>
      </c>
      <c r="I78" t="s">
        <v>16</v>
      </c>
      <c r="J78" t="s">
        <v>17</v>
      </c>
      <c r="K78">
        <v>54032</v>
      </c>
      <c r="L78">
        <f t="shared" si="3"/>
        <v>5754</v>
      </c>
      <c r="M78">
        <f t="shared" si="4"/>
        <v>46032</v>
      </c>
      <c r="N78">
        <f t="shared" si="5"/>
        <v>8000</v>
      </c>
    </row>
    <row r="79" spans="1:14" x14ac:dyDescent="0.3">
      <c r="A79" t="s">
        <v>212</v>
      </c>
      <c r="B79" t="s">
        <v>12</v>
      </c>
      <c r="C79">
        <v>3</v>
      </c>
      <c r="D79">
        <v>13385</v>
      </c>
      <c r="E79" s="5">
        <v>46201</v>
      </c>
      <c r="F79" t="s">
        <v>213</v>
      </c>
      <c r="G79" t="s">
        <v>38</v>
      </c>
      <c r="H79" t="s">
        <v>15</v>
      </c>
      <c r="I79" t="s">
        <v>34</v>
      </c>
      <c r="J79" t="s">
        <v>76</v>
      </c>
      <c r="K79">
        <v>40155</v>
      </c>
      <c r="L79">
        <f t="shared" si="3"/>
        <v>12385</v>
      </c>
      <c r="M79">
        <f t="shared" si="4"/>
        <v>37155</v>
      </c>
      <c r="N79">
        <f t="shared" si="5"/>
        <v>3000</v>
      </c>
    </row>
    <row r="80" spans="1:14" x14ac:dyDescent="0.3">
      <c r="A80" t="s">
        <v>214</v>
      </c>
      <c r="B80" t="s">
        <v>19</v>
      </c>
      <c r="C80">
        <v>4</v>
      </c>
      <c r="D80">
        <v>12587</v>
      </c>
      <c r="E80" s="5">
        <v>46202</v>
      </c>
      <c r="F80" t="s">
        <v>215</v>
      </c>
      <c r="G80" t="s">
        <v>94</v>
      </c>
      <c r="H80" t="s">
        <v>15</v>
      </c>
      <c r="I80" t="s">
        <v>25</v>
      </c>
      <c r="J80" t="s">
        <v>35</v>
      </c>
      <c r="K80">
        <v>50348</v>
      </c>
      <c r="L80">
        <f t="shared" si="3"/>
        <v>11587</v>
      </c>
      <c r="M80">
        <f t="shared" si="4"/>
        <v>46348</v>
      </c>
      <c r="N80">
        <f t="shared" si="5"/>
        <v>4000</v>
      </c>
    </row>
    <row r="81" spans="1:14" x14ac:dyDescent="0.3">
      <c r="A81" t="s">
        <v>216</v>
      </c>
      <c r="B81" t="s">
        <v>19</v>
      </c>
      <c r="C81">
        <v>2</v>
      </c>
      <c r="D81">
        <v>7612</v>
      </c>
      <c r="E81" s="5">
        <v>46203</v>
      </c>
      <c r="F81" t="s">
        <v>217</v>
      </c>
      <c r="G81" t="s">
        <v>101</v>
      </c>
      <c r="H81" t="s">
        <v>15</v>
      </c>
      <c r="I81" t="s">
        <v>16</v>
      </c>
      <c r="J81" t="s">
        <v>76</v>
      </c>
      <c r="K81">
        <v>15224</v>
      </c>
      <c r="L81">
        <f t="shared" si="3"/>
        <v>6612</v>
      </c>
      <c r="M81">
        <f t="shared" si="4"/>
        <v>13224</v>
      </c>
      <c r="N81">
        <f t="shared" si="5"/>
        <v>2000</v>
      </c>
    </row>
    <row r="82" spans="1:14" x14ac:dyDescent="0.3">
      <c r="A82" t="s">
        <v>218</v>
      </c>
      <c r="B82" t="s">
        <v>62</v>
      </c>
      <c r="C82">
        <v>6</v>
      </c>
      <c r="D82">
        <v>10397</v>
      </c>
      <c r="E82" s="5">
        <v>46204</v>
      </c>
      <c r="F82" t="s">
        <v>219</v>
      </c>
      <c r="G82" t="s">
        <v>67</v>
      </c>
      <c r="H82" t="s">
        <v>15</v>
      </c>
      <c r="I82" t="s">
        <v>16</v>
      </c>
      <c r="J82" t="s">
        <v>47</v>
      </c>
      <c r="K82">
        <v>62382</v>
      </c>
      <c r="L82">
        <f t="shared" si="3"/>
        <v>9397</v>
      </c>
      <c r="M82">
        <f t="shared" si="4"/>
        <v>56382</v>
      </c>
      <c r="N82">
        <f t="shared" si="5"/>
        <v>6000</v>
      </c>
    </row>
    <row r="83" spans="1:14" x14ac:dyDescent="0.3">
      <c r="A83" t="s">
        <v>220</v>
      </c>
      <c r="B83" t="s">
        <v>44</v>
      </c>
      <c r="C83">
        <v>3</v>
      </c>
      <c r="D83">
        <v>13106</v>
      </c>
      <c r="E83" s="5">
        <v>46205</v>
      </c>
      <c r="F83" t="s">
        <v>221</v>
      </c>
      <c r="G83" t="s">
        <v>57</v>
      </c>
      <c r="H83" t="s">
        <v>15</v>
      </c>
      <c r="I83" t="s">
        <v>16</v>
      </c>
      <c r="J83" t="s">
        <v>50</v>
      </c>
      <c r="K83">
        <v>39318</v>
      </c>
      <c r="L83">
        <f t="shared" si="3"/>
        <v>12106</v>
      </c>
      <c r="M83">
        <f t="shared" si="4"/>
        <v>36318</v>
      </c>
      <c r="N83">
        <f t="shared" si="5"/>
        <v>3000</v>
      </c>
    </row>
    <row r="84" spans="1:14" x14ac:dyDescent="0.3">
      <c r="A84" t="s">
        <v>222</v>
      </c>
      <c r="B84" t="s">
        <v>44</v>
      </c>
      <c r="C84">
        <v>1</v>
      </c>
      <c r="D84">
        <v>8957</v>
      </c>
      <c r="E84" s="5">
        <v>46206</v>
      </c>
      <c r="F84" t="s">
        <v>223</v>
      </c>
      <c r="G84" t="s">
        <v>194</v>
      </c>
      <c r="H84" t="s">
        <v>15</v>
      </c>
      <c r="I84" t="s">
        <v>34</v>
      </c>
      <c r="J84" t="s">
        <v>50</v>
      </c>
      <c r="K84">
        <v>8957</v>
      </c>
      <c r="L84">
        <f t="shared" si="3"/>
        <v>7957</v>
      </c>
      <c r="M84">
        <f t="shared" si="4"/>
        <v>7957</v>
      </c>
      <c r="N84">
        <f t="shared" si="5"/>
        <v>1000</v>
      </c>
    </row>
    <row r="85" spans="1:14" x14ac:dyDescent="0.3">
      <c r="A85" t="s">
        <v>224</v>
      </c>
      <c r="B85" t="s">
        <v>31</v>
      </c>
      <c r="C85">
        <v>2</v>
      </c>
      <c r="D85">
        <v>5792</v>
      </c>
      <c r="E85" s="5">
        <v>46207</v>
      </c>
      <c r="F85" t="s">
        <v>225</v>
      </c>
      <c r="G85" t="s">
        <v>104</v>
      </c>
      <c r="H85" t="s">
        <v>15</v>
      </c>
      <c r="I85" t="s">
        <v>34</v>
      </c>
      <c r="J85" t="s">
        <v>35</v>
      </c>
      <c r="K85">
        <v>11584</v>
      </c>
      <c r="L85">
        <f t="shared" si="3"/>
        <v>4792</v>
      </c>
      <c r="M85">
        <f t="shared" si="4"/>
        <v>9584</v>
      </c>
      <c r="N85">
        <f t="shared" si="5"/>
        <v>2000</v>
      </c>
    </row>
    <row r="86" spans="1:14" x14ac:dyDescent="0.3">
      <c r="A86" t="s">
        <v>226</v>
      </c>
      <c r="B86" t="s">
        <v>62</v>
      </c>
      <c r="C86">
        <v>1</v>
      </c>
      <c r="D86">
        <v>12305</v>
      </c>
      <c r="E86" s="5">
        <v>46208</v>
      </c>
      <c r="F86" t="s">
        <v>227</v>
      </c>
      <c r="G86" t="s">
        <v>175</v>
      </c>
      <c r="H86" t="s">
        <v>15</v>
      </c>
      <c r="I86" t="s">
        <v>16</v>
      </c>
      <c r="J86" t="s">
        <v>76</v>
      </c>
      <c r="K86">
        <v>12305</v>
      </c>
      <c r="L86">
        <f t="shared" si="3"/>
        <v>11305</v>
      </c>
      <c r="M86">
        <f t="shared" si="4"/>
        <v>11305</v>
      </c>
      <c r="N86">
        <f t="shared" si="5"/>
        <v>1000</v>
      </c>
    </row>
    <row r="87" spans="1:14" x14ac:dyDescent="0.3">
      <c r="A87" t="s">
        <v>228</v>
      </c>
      <c r="B87" t="s">
        <v>52</v>
      </c>
      <c r="C87">
        <v>7</v>
      </c>
      <c r="D87">
        <v>16608</v>
      </c>
      <c r="E87" s="5">
        <v>46209</v>
      </c>
      <c r="F87" t="s">
        <v>229</v>
      </c>
      <c r="G87" t="s">
        <v>24</v>
      </c>
      <c r="H87" t="s">
        <v>15</v>
      </c>
      <c r="I87" t="s">
        <v>25</v>
      </c>
      <c r="J87" t="s">
        <v>17</v>
      </c>
      <c r="K87">
        <v>116256</v>
      </c>
      <c r="L87">
        <f t="shared" si="3"/>
        <v>15608</v>
      </c>
      <c r="M87">
        <f t="shared" si="4"/>
        <v>109256</v>
      </c>
      <c r="N87">
        <f t="shared" si="5"/>
        <v>7000</v>
      </c>
    </row>
    <row r="88" spans="1:14" x14ac:dyDescent="0.3">
      <c r="A88" t="s">
        <v>230</v>
      </c>
      <c r="B88" t="s">
        <v>59</v>
      </c>
      <c r="C88">
        <v>1</v>
      </c>
      <c r="D88">
        <v>8445</v>
      </c>
      <c r="E88" s="5">
        <v>46210</v>
      </c>
      <c r="F88" t="s">
        <v>231</v>
      </c>
      <c r="G88" t="s">
        <v>104</v>
      </c>
      <c r="H88" t="s">
        <v>15</v>
      </c>
      <c r="I88" t="s">
        <v>25</v>
      </c>
      <c r="J88" t="s">
        <v>17</v>
      </c>
      <c r="K88">
        <v>8445</v>
      </c>
      <c r="L88">
        <f t="shared" ref="L88:L90" si="6">D88-1000</f>
        <v>7445</v>
      </c>
      <c r="M88">
        <f t="shared" si="4"/>
        <v>7445</v>
      </c>
      <c r="N88">
        <f t="shared" si="5"/>
        <v>1000</v>
      </c>
    </row>
    <row r="89" spans="1:14" x14ac:dyDescent="0.3">
      <c r="A89" t="s">
        <v>232</v>
      </c>
      <c r="B89" t="s">
        <v>27</v>
      </c>
      <c r="C89">
        <v>5</v>
      </c>
      <c r="D89">
        <v>8363</v>
      </c>
      <c r="E89" s="5">
        <v>46211</v>
      </c>
      <c r="F89" t="s">
        <v>233</v>
      </c>
      <c r="G89" t="s">
        <v>124</v>
      </c>
      <c r="H89" t="s">
        <v>15</v>
      </c>
      <c r="I89" t="s">
        <v>25</v>
      </c>
      <c r="J89" t="s">
        <v>17</v>
      </c>
      <c r="K89">
        <v>41815</v>
      </c>
      <c r="L89">
        <f t="shared" si="6"/>
        <v>7363</v>
      </c>
      <c r="M89">
        <f t="shared" si="4"/>
        <v>36815</v>
      </c>
      <c r="N89">
        <f t="shared" si="5"/>
        <v>5000</v>
      </c>
    </row>
    <row r="90" spans="1:14" x14ac:dyDescent="0.3">
      <c r="A90" t="s">
        <v>234</v>
      </c>
      <c r="B90" t="s">
        <v>19</v>
      </c>
      <c r="C90">
        <v>9</v>
      </c>
      <c r="D90">
        <v>2165</v>
      </c>
      <c r="E90" s="5">
        <v>46212</v>
      </c>
      <c r="F90" t="s">
        <v>235</v>
      </c>
      <c r="G90" t="s">
        <v>82</v>
      </c>
      <c r="H90" t="s">
        <v>15</v>
      </c>
      <c r="I90" t="s">
        <v>25</v>
      </c>
      <c r="J90" t="s">
        <v>35</v>
      </c>
      <c r="K90">
        <v>19485</v>
      </c>
      <c r="L90">
        <f t="shared" si="6"/>
        <v>1165</v>
      </c>
      <c r="M90">
        <f t="shared" si="4"/>
        <v>10485</v>
      </c>
      <c r="N90">
        <f t="shared" si="5"/>
        <v>9000</v>
      </c>
    </row>
    <row r="91" spans="1:14" x14ac:dyDescent="0.3">
      <c r="A91" t="s">
        <v>236</v>
      </c>
      <c r="B91" t="s">
        <v>12</v>
      </c>
      <c r="C91">
        <v>5</v>
      </c>
      <c r="D91">
        <v>18818</v>
      </c>
      <c r="E91" s="5">
        <v>46213</v>
      </c>
      <c r="F91" t="s">
        <v>237</v>
      </c>
      <c r="G91" t="s">
        <v>94</v>
      </c>
      <c r="H91" t="s">
        <v>15</v>
      </c>
      <c r="I91" t="s">
        <v>25</v>
      </c>
      <c r="J91" t="s">
        <v>76</v>
      </c>
      <c r="K91">
        <v>94090</v>
      </c>
      <c r="L91">
        <f>D91-1200</f>
        <v>17618</v>
      </c>
      <c r="M91">
        <f t="shared" si="4"/>
        <v>88090</v>
      </c>
      <c r="N91">
        <f t="shared" si="5"/>
        <v>6000</v>
      </c>
    </row>
    <row r="92" spans="1:14" x14ac:dyDescent="0.3">
      <c r="A92" t="s">
        <v>238</v>
      </c>
      <c r="B92" t="s">
        <v>62</v>
      </c>
      <c r="C92">
        <v>4</v>
      </c>
      <c r="D92">
        <v>16744</v>
      </c>
      <c r="E92" s="5">
        <v>46214</v>
      </c>
      <c r="F92" t="s">
        <v>239</v>
      </c>
      <c r="G92" t="s">
        <v>124</v>
      </c>
      <c r="H92" t="s">
        <v>15</v>
      </c>
      <c r="I92" t="s">
        <v>34</v>
      </c>
      <c r="J92" t="s">
        <v>50</v>
      </c>
      <c r="K92">
        <v>66976</v>
      </c>
      <c r="L92">
        <f t="shared" ref="L92:L155" si="7">D92-1200</f>
        <v>15544</v>
      </c>
      <c r="M92">
        <f t="shared" si="4"/>
        <v>62176</v>
      </c>
      <c r="N92">
        <f t="shared" si="5"/>
        <v>4800</v>
      </c>
    </row>
    <row r="93" spans="1:14" x14ac:dyDescent="0.3">
      <c r="A93" t="s">
        <v>240</v>
      </c>
      <c r="B93" t="s">
        <v>31</v>
      </c>
      <c r="C93">
        <v>4</v>
      </c>
      <c r="D93">
        <v>3968</v>
      </c>
      <c r="E93" s="5">
        <v>46215</v>
      </c>
      <c r="F93" t="s">
        <v>241</v>
      </c>
      <c r="G93" t="s">
        <v>111</v>
      </c>
      <c r="H93" t="s">
        <v>15</v>
      </c>
      <c r="I93" t="s">
        <v>34</v>
      </c>
      <c r="J93" t="s">
        <v>50</v>
      </c>
      <c r="K93">
        <v>15872</v>
      </c>
      <c r="L93">
        <f t="shared" si="7"/>
        <v>2768</v>
      </c>
      <c r="M93">
        <f t="shared" si="4"/>
        <v>11072</v>
      </c>
      <c r="N93">
        <f t="shared" si="5"/>
        <v>4800</v>
      </c>
    </row>
    <row r="94" spans="1:14" x14ac:dyDescent="0.3">
      <c r="A94" t="s">
        <v>242</v>
      </c>
      <c r="B94" t="s">
        <v>44</v>
      </c>
      <c r="C94">
        <v>9</v>
      </c>
      <c r="D94">
        <v>3228</v>
      </c>
      <c r="E94" s="5">
        <v>46216</v>
      </c>
      <c r="F94" t="s">
        <v>243</v>
      </c>
      <c r="G94" t="s">
        <v>46</v>
      </c>
      <c r="H94" t="s">
        <v>15</v>
      </c>
      <c r="I94" t="s">
        <v>16</v>
      </c>
      <c r="J94" t="s">
        <v>50</v>
      </c>
      <c r="K94">
        <v>29052</v>
      </c>
      <c r="L94">
        <f t="shared" si="7"/>
        <v>2028</v>
      </c>
      <c r="M94">
        <f t="shared" si="4"/>
        <v>18252</v>
      </c>
      <c r="N94">
        <f t="shared" si="5"/>
        <v>10800</v>
      </c>
    </row>
    <row r="95" spans="1:14" x14ac:dyDescent="0.3">
      <c r="A95" t="s">
        <v>244</v>
      </c>
      <c r="B95" t="s">
        <v>62</v>
      </c>
      <c r="C95">
        <v>9</v>
      </c>
      <c r="D95">
        <v>11220</v>
      </c>
      <c r="E95" s="5">
        <v>46217</v>
      </c>
      <c r="F95" t="s">
        <v>245</v>
      </c>
      <c r="G95" t="s">
        <v>29</v>
      </c>
      <c r="H95" t="s">
        <v>15</v>
      </c>
      <c r="I95" t="s">
        <v>25</v>
      </c>
      <c r="J95" t="s">
        <v>17</v>
      </c>
      <c r="K95">
        <v>100980</v>
      </c>
      <c r="L95">
        <f t="shared" si="7"/>
        <v>10020</v>
      </c>
      <c r="M95">
        <f t="shared" si="4"/>
        <v>90180</v>
      </c>
      <c r="N95">
        <f t="shared" si="5"/>
        <v>10800</v>
      </c>
    </row>
    <row r="96" spans="1:14" x14ac:dyDescent="0.3">
      <c r="A96" t="s">
        <v>246</v>
      </c>
      <c r="B96" t="s">
        <v>62</v>
      </c>
      <c r="C96">
        <v>8</v>
      </c>
      <c r="D96">
        <v>3198</v>
      </c>
      <c r="E96" s="5">
        <v>46218</v>
      </c>
      <c r="F96" t="s">
        <v>247</v>
      </c>
      <c r="G96" t="s">
        <v>42</v>
      </c>
      <c r="H96" t="s">
        <v>15</v>
      </c>
      <c r="I96" t="s">
        <v>34</v>
      </c>
      <c r="J96" t="s">
        <v>35</v>
      </c>
      <c r="K96">
        <v>25584</v>
      </c>
      <c r="L96">
        <f t="shared" si="7"/>
        <v>1998</v>
      </c>
      <c r="M96">
        <f t="shared" si="4"/>
        <v>15984</v>
      </c>
      <c r="N96">
        <f t="shared" si="5"/>
        <v>9600</v>
      </c>
    </row>
    <row r="97" spans="1:14" x14ac:dyDescent="0.3">
      <c r="A97" t="s">
        <v>248</v>
      </c>
      <c r="B97" t="s">
        <v>62</v>
      </c>
      <c r="C97">
        <v>1</v>
      </c>
      <c r="D97">
        <v>13505</v>
      </c>
      <c r="E97" s="5">
        <v>46219</v>
      </c>
      <c r="F97" t="s">
        <v>249</v>
      </c>
      <c r="G97" t="s">
        <v>104</v>
      </c>
      <c r="H97" t="s">
        <v>15</v>
      </c>
      <c r="I97" t="s">
        <v>25</v>
      </c>
      <c r="J97" t="s">
        <v>50</v>
      </c>
      <c r="K97">
        <v>13505</v>
      </c>
      <c r="L97">
        <f t="shared" si="7"/>
        <v>12305</v>
      </c>
      <c r="M97">
        <f t="shared" si="4"/>
        <v>12305</v>
      </c>
      <c r="N97">
        <f t="shared" si="5"/>
        <v>1200</v>
      </c>
    </row>
    <row r="98" spans="1:14" x14ac:dyDescent="0.3">
      <c r="A98" t="s">
        <v>250</v>
      </c>
      <c r="B98" t="s">
        <v>12</v>
      </c>
      <c r="C98">
        <v>4</v>
      </c>
      <c r="D98">
        <v>16730</v>
      </c>
      <c r="E98" s="5">
        <v>46220</v>
      </c>
      <c r="F98" t="s">
        <v>251</v>
      </c>
      <c r="G98" t="s">
        <v>166</v>
      </c>
      <c r="H98" t="s">
        <v>15</v>
      </c>
      <c r="I98" t="s">
        <v>34</v>
      </c>
      <c r="J98" t="s">
        <v>35</v>
      </c>
      <c r="K98">
        <v>66920</v>
      </c>
      <c r="L98">
        <f t="shared" si="7"/>
        <v>15530</v>
      </c>
      <c r="M98">
        <f t="shared" si="4"/>
        <v>62120</v>
      </c>
      <c r="N98">
        <f t="shared" si="5"/>
        <v>4800</v>
      </c>
    </row>
    <row r="99" spans="1:14" x14ac:dyDescent="0.3">
      <c r="A99" t="s">
        <v>252</v>
      </c>
      <c r="B99" t="s">
        <v>71</v>
      </c>
      <c r="C99">
        <v>9</v>
      </c>
      <c r="D99">
        <v>9579</v>
      </c>
      <c r="E99" s="5">
        <v>46221</v>
      </c>
      <c r="F99" t="s">
        <v>253</v>
      </c>
      <c r="G99" t="s">
        <v>82</v>
      </c>
      <c r="H99" t="s">
        <v>15</v>
      </c>
      <c r="I99" t="s">
        <v>16</v>
      </c>
      <c r="J99" t="s">
        <v>35</v>
      </c>
      <c r="K99">
        <v>86211</v>
      </c>
      <c r="L99">
        <f t="shared" si="7"/>
        <v>8379</v>
      </c>
      <c r="M99">
        <f t="shared" si="4"/>
        <v>75411</v>
      </c>
      <c r="N99">
        <f t="shared" si="5"/>
        <v>10800</v>
      </c>
    </row>
    <row r="100" spans="1:14" x14ac:dyDescent="0.3">
      <c r="A100" t="s">
        <v>254</v>
      </c>
      <c r="B100" t="s">
        <v>12</v>
      </c>
      <c r="C100">
        <v>8</v>
      </c>
      <c r="D100">
        <v>5406</v>
      </c>
      <c r="E100" s="5">
        <v>46222</v>
      </c>
      <c r="F100" t="s">
        <v>255</v>
      </c>
      <c r="G100" t="s">
        <v>64</v>
      </c>
      <c r="H100" t="s">
        <v>15</v>
      </c>
      <c r="I100" t="s">
        <v>25</v>
      </c>
      <c r="J100" t="s">
        <v>35</v>
      </c>
      <c r="K100">
        <v>43248</v>
      </c>
      <c r="L100">
        <f t="shared" si="7"/>
        <v>4206</v>
      </c>
      <c r="M100">
        <f t="shared" si="4"/>
        <v>33648</v>
      </c>
      <c r="N100">
        <f t="shared" si="5"/>
        <v>9600</v>
      </c>
    </row>
    <row r="101" spans="1:14" x14ac:dyDescent="0.3">
      <c r="A101" t="s">
        <v>256</v>
      </c>
      <c r="B101" t="s">
        <v>71</v>
      </c>
      <c r="C101">
        <v>8</v>
      </c>
      <c r="D101">
        <v>6966</v>
      </c>
      <c r="E101" s="5">
        <v>46223</v>
      </c>
      <c r="F101" t="s">
        <v>257</v>
      </c>
      <c r="G101" t="s">
        <v>46</v>
      </c>
      <c r="H101" t="s">
        <v>15</v>
      </c>
      <c r="I101" t="s">
        <v>16</v>
      </c>
      <c r="J101" t="s">
        <v>50</v>
      </c>
      <c r="K101">
        <v>55728</v>
      </c>
      <c r="L101">
        <f t="shared" si="7"/>
        <v>5766</v>
      </c>
      <c r="M101">
        <f t="shared" si="4"/>
        <v>46128</v>
      </c>
      <c r="N101">
        <f t="shared" si="5"/>
        <v>9600</v>
      </c>
    </row>
    <row r="102" spans="1:14" x14ac:dyDescent="0.3">
      <c r="A102" t="s">
        <v>258</v>
      </c>
      <c r="B102" t="s">
        <v>71</v>
      </c>
      <c r="C102">
        <v>2</v>
      </c>
      <c r="D102">
        <v>7517</v>
      </c>
      <c r="E102" s="5">
        <v>46224</v>
      </c>
      <c r="F102" t="s">
        <v>259</v>
      </c>
      <c r="G102" t="s">
        <v>194</v>
      </c>
      <c r="H102" t="s">
        <v>15</v>
      </c>
      <c r="I102" t="s">
        <v>16</v>
      </c>
      <c r="J102" t="s">
        <v>47</v>
      </c>
      <c r="K102">
        <v>15034</v>
      </c>
      <c r="L102">
        <f t="shared" si="7"/>
        <v>6317</v>
      </c>
      <c r="M102">
        <f t="shared" si="4"/>
        <v>12634</v>
      </c>
      <c r="N102">
        <f t="shared" si="5"/>
        <v>2400</v>
      </c>
    </row>
    <row r="103" spans="1:14" x14ac:dyDescent="0.3">
      <c r="A103" t="s">
        <v>260</v>
      </c>
      <c r="B103" t="s">
        <v>52</v>
      </c>
      <c r="C103">
        <v>9</v>
      </c>
      <c r="D103">
        <v>9197</v>
      </c>
      <c r="E103" s="5">
        <v>46225</v>
      </c>
      <c r="F103" t="s">
        <v>261</v>
      </c>
      <c r="G103" t="s">
        <v>46</v>
      </c>
      <c r="H103" t="s">
        <v>15</v>
      </c>
      <c r="I103" t="s">
        <v>16</v>
      </c>
      <c r="J103" t="s">
        <v>76</v>
      </c>
      <c r="K103">
        <v>82773</v>
      </c>
      <c r="L103">
        <f t="shared" si="7"/>
        <v>7997</v>
      </c>
      <c r="M103">
        <f t="shared" si="4"/>
        <v>71973</v>
      </c>
      <c r="N103">
        <f t="shared" si="5"/>
        <v>10800</v>
      </c>
    </row>
    <row r="104" spans="1:14" x14ac:dyDescent="0.3">
      <c r="A104" t="s">
        <v>262</v>
      </c>
      <c r="B104" t="s">
        <v>52</v>
      </c>
      <c r="C104">
        <v>5</v>
      </c>
      <c r="D104">
        <v>11166</v>
      </c>
      <c r="E104" s="5">
        <v>46226</v>
      </c>
      <c r="F104" t="s">
        <v>263</v>
      </c>
      <c r="G104" t="s">
        <v>135</v>
      </c>
      <c r="H104" t="s">
        <v>15</v>
      </c>
      <c r="I104" t="s">
        <v>25</v>
      </c>
      <c r="J104" t="s">
        <v>47</v>
      </c>
      <c r="K104">
        <v>55830</v>
      </c>
      <c r="L104">
        <f t="shared" si="7"/>
        <v>9966</v>
      </c>
      <c r="M104">
        <f t="shared" si="4"/>
        <v>49830</v>
      </c>
      <c r="N104">
        <f t="shared" si="5"/>
        <v>6000</v>
      </c>
    </row>
    <row r="105" spans="1:14" x14ac:dyDescent="0.3">
      <c r="A105" t="s">
        <v>264</v>
      </c>
      <c r="B105" t="s">
        <v>44</v>
      </c>
      <c r="C105">
        <v>8</v>
      </c>
      <c r="D105">
        <v>19611</v>
      </c>
      <c r="E105" s="5">
        <v>46227</v>
      </c>
      <c r="F105" t="s">
        <v>265</v>
      </c>
      <c r="G105" t="s">
        <v>94</v>
      </c>
      <c r="H105" t="s">
        <v>15</v>
      </c>
      <c r="I105" t="s">
        <v>16</v>
      </c>
      <c r="J105" t="s">
        <v>35</v>
      </c>
      <c r="K105">
        <v>156888</v>
      </c>
      <c r="L105">
        <f t="shared" si="7"/>
        <v>18411</v>
      </c>
      <c r="M105">
        <f t="shared" si="4"/>
        <v>147288</v>
      </c>
      <c r="N105">
        <f t="shared" si="5"/>
        <v>9600</v>
      </c>
    </row>
    <row r="106" spans="1:14" x14ac:dyDescent="0.3">
      <c r="A106" t="s">
        <v>266</v>
      </c>
      <c r="B106" t="s">
        <v>27</v>
      </c>
      <c r="C106">
        <v>1</v>
      </c>
      <c r="D106">
        <v>14767</v>
      </c>
      <c r="E106" s="5">
        <v>46228</v>
      </c>
      <c r="F106" t="s">
        <v>267</v>
      </c>
      <c r="G106" t="s">
        <v>159</v>
      </c>
      <c r="H106" t="s">
        <v>15</v>
      </c>
      <c r="I106" t="s">
        <v>25</v>
      </c>
      <c r="J106" t="s">
        <v>35</v>
      </c>
      <c r="K106">
        <v>14767</v>
      </c>
      <c r="L106">
        <f t="shared" si="7"/>
        <v>13567</v>
      </c>
      <c r="M106">
        <f t="shared" si="4"/>
        <v>13567</v>
      </c>
      <c r="N106">
        <f t="shared" si="5"/>
        <v>1200</v>
      </c>
    </row>
    <row r="107" spans="1:14" x14ac:dyDescent="0.3">
      <c r="A107" t="s">
        <v>268</v>
      </c>
      <c r="B107" t="s">
        <v>71</v>
      </c>
      <c r="C107">
        <v>5</v>
      </c>
      <c r="D107">
        <v>9278</v>
      </c>
      <c r="E107" s="5">
        <v>46229</v>
      </c>
      <c r="F107" t="s">
        <v>269</v>
      </c>
      <c r="G107" t="s">
        <v>142</v>
      </c>
      <c r="H107" t="s">
        <v>15</v>
      </c>
      <c r="I107" t="s">
        <v>16</v>
      </c>
      <c r="J107" t="s">
        <v>47</v>
      </c>
      <c r="K107">
        <v>46390</v>
      </c>
      <c r="L107">
        <f t="shared" si="7"/>
        <v>8078</v>
      </c>
      <c r="M107">
        <f t="shared" si="4"/>
        <v>40390</v>
      </c>
      <c r="N107">
        <f t="shared" si="5"/>
        <v>6000</v>
      </c>
    </row>
    <row r="108" spans="1:14" x14ac:dyDescent="0.3">
      <c r="A108" t="s">
        <v>270</v>
      </c>
      <c r="B108" t="s">
        <v>12</v>
      </c>
      <c r="C108">
        <v>1</v>
      </c>
      <c r="D108">
        <v>3492</v>
      </c>
      <c r="E108" s="5">
        <v>46230</v>
      </c>
      <c r="F108" t="s">
        <v>271</v>
      </c>
      <c r="G108" t="s">
        <v>29</v>
      </c>
      <c r="H108" t="s">
        <v>15</v>
      </c>
      <c r="I108" t="s">
        <v>25</v>
      </c>
      <c r="J108" t="s">
        <v>47</v>
      </c>
      <c r="K108">
        <v>3492</v>
      </c>
      <c r="L108">
        <f t="shared" si="7"/>
        <v>2292</v>
      </c>
      <c r="M108">
        <f t="shared" si="4"/>
        <v>2292</v>
      </c>
      <c r="N108">
        <f t="shared" si="5"/>
        <v>1200</v>
      </c>
    </row>
    <row r="109" spans="1:14" x14ac:dyDescent="0.3">
      <c r="A109" t="s">
        <v>272</v>
      </c>
      <c r="B109" t="s">
        <v>19</v>
      </c>
      <c r="C109">
        <v>7</v>
      </c>
      <c r="D109">
        <v>5767</v>
      </c>
      <c r="E109" s="5">
        <v>46231</v>
      </c>
      <c r="F109" t="s">
        <v>273</v>
      </c>
      <c r="G109" t="s">
        <v>124</v>
      </c>
      <c r="H109" t="s">
        <v>15</v>
      </c>
      <c r="I109" t="s">
        <v>16</v>
      </c>
      <c r="J109" t="s">
        <v>35</v>
      </c>
      <c r="K109">
        <v>40369</v>
      </c>
      <c r="L109">
        <f t="shared" si="7"/>
        <v>4567</v>
      </c>
      <c r="M109">
        <f t="shared" si="4"/>
        <v>31969</v>
      </c>
      <c r="N109">
        <f t="shared" si="5"/>
        <v>8400</v>
      </c>
    </row>
    <row r="110" spans="1:14" x14ac:dyDescent="0.3">
      <c r="A110" t="s">
        <v>274</v>
      </c>
      <c r="B110" t="s">
        <v>71</v>
      </c>
      <c r="C110">
        <v>5</v>
      </c>
      <c r="D110">
        <v>17101</v>
      </c>
      <c r="E110" s="5">
        <v>46232</v>
      </c>
      <c r="F110" t="s">
        <v>275</v>
      </c>
      <c r="G110" t="s">
        <v>135</v>
      </c>
      <c r="H110" t="s">
        <v>15</v>
      </c>
      <c r="I110" t="s">
        <v>34</v>
      </c>
      <c r="J110" t="s">
        <v>17</v>
      </c>
      <c r="K110">
        <v>85505</v>
      </c>
      <c r="L110">
        <f t="shared" si="7"/>
        <v>15901</v>
      </c>
      <c r="M110">
        <f t="shared" si="4"/>
        <v>79505</v>
      </c>
      <c r="N110">
        <f t="shared" si="5"/>
        <v>6000</v>
      </c>
    </row>
    <row r="111" spans="1:14" x14ac:dyDescent="0.3">
      <c r="A111" t="s">
        <v>276</v>
      </c>
      <c r="B111" t="s">
        <v>44</v>
      </c>
      <c r="C111">
        <v>3</v>
      </c>
      <c r="D111">
        <v>19538</v>
      </c>
      <c r="E111" s="5">
        <v>46233</v>
      </c>
      <c r="F111" t="s">
        <v>277</v>
      </c>
      <c r="G111" t="s">
        <v>82</v>
      </c>
      <c r="H111" t="s">
        <v>15</v>
      </c>
      <c r="I111" t="s">
        <v>34</v>
      </c>
      <c r="J111" t="s">
        <v>50</v>
      </c>
      <c r="K111">
        <v>58614</v>
      </c>
      <c r="L111">
        <f t="shared" si="7"/>
        <v>18338</v>
      </c>
      <c r="M111">
        <f t="shared" si="4"/>
        <v>55014</v>
      </c>
      <c r="N111">
        <f t="shared" si="5"/>
        <v>3600</v>
      </c>
    </row>
    <row r="112" spans="1:14" x14ac:dyDescent="0.3">
      <c r="A112" t="s">
        <v>278</v>
      </c>
      <c r="B112" t="s">
        <v>19</v>
      </c>
      <c r="C112">
        <v>5</v>
      </c>
      <c r="D112">
        <v>2184</v>
      </c>
      <c r="E112" s="5">
        <v>46234</v>
      </c>
      <c r="F112" t="s">
        <v>279</v>
      </c>
      <c r="G112" t="s">
        <v>124</v>
      </c>
      <c r="H112" t="s">
        <v>15</v>
      </c>
      <c r="I112" t="s">
        <v>25</v>
      </c>
      <c r="J112" t="s">
        <v>76</v>
      </c>
      <c r="K112">
        <v>10920</v>
      </c>
      <c r="L112">
        <f t="shared" si="7"/>
        <v>984</v>
      </c>
      <c r="M112">
        <f t="shared" si="4"/>
        <v>4920</v>
      </c>
      <c r="N112">
        <f t="shared" si="5"/>
        <v>6000</v>
      </c>
    </row>
    <row r="113" spans="1:14" x14ac:dyDescent="0.3">
      <c r="A113" t="s">
        <v>280</v>
      </c>
      <c r="B113" t="s">
        <v>12</v>
      </c>
      <c r="C113">
        <v>7</v>
      </c>
      <c r="D113">
        <v>9278</v>
      </c>
      <c r="E113" s="5">
        <v>46235</v>
      </c>
      <c r="F113" t="s">
        <v>281</v>
      </c>
      <c r="G113" t="s">
        <v>91</v>
      </c>
      <c r="H113" t="s">
        <v>15</v>
      </c>
      <c r="I113" t="s">
        <v>34</v>
      </c>
      <c r="J113" t="s">
        <v>76</v>
      </c>
      <c r="K113">
        <v>64946</v>
      </c>
      <c r="L113">
        <f t="shared" si="7"/>
        <v>8078</v>
      </c>
      <c r="M113">
        <f t="shared" si="4"/>
        <v>56546</v>
      </c>
      <c r="N113">
        <f t="shared" si="5"/>
        <v>8400</v>
      </c>
    </row>
    <row r="114" spans="1:14" x14ac:dyDescent="0.3">
      <c r="A114" t="s">
        <v>282</v>
      </c>
      <c r="B114" t="s">
        <v>19</v>
      </c>
      <c r="C114">
        <v>4</v>
      </c>
      <c r="D114">
        <v>13974</v>
      </c>
      <c r="E114" s="5">
        <v>46236</v>
      </c>
      <c r="F114" t="s">
        <v>283</v>
      </c>
      <c r="G114" t="s">
        <v>166</v>
      </c>
      <c r="H114" t="s">
        <v>15</v>
      </c>
      <c r="I114" t="s">
        <v>16</v>
      </c>
      <c r="J114" t="s">
        <v>35</v>
      </c>
      <c r="K114">
        <v>55896</v>
      </c>
      <c r="L114">
        <f t="shared" si="7"/>
        <v>12774</v>
      </c>
      <c r="M114">
        <f t="shared" si="4"/>
        <v>51096</v>
      </c>
      <c r="N114">
        <f t="shared" si="5"/>
        <v>4800</v>
      </c>
    </row>
    <row r="115" spans="1:14" x14ac:dyDescent="0.3">
      <c r="A115" t="s">
        <v>284</v>
      </c>
      <c r="B115" t="s">
        <v>19</v>
      </c>
      <c r="C115">
        <v>4</v>
      </c>
      <c r="D115">
        <v>7074</v>
      </c>
      <c r="E115" s="5">
        <v>46237</v>
      </c>
      <c r="F115" t="s">
        <v>285</v>
      </c>
      <c r="G115" t="s">
        <v>33</v>
      </c>
      <c r="H115" t="s">
        <v>15</v>
      </c>
      <c r="I115" t="s">
        <v>16</v>
      </c>
      <c r="J115" t="s">
        <v>76</v>
      </c>
      <c r="K115">
        <v>28296</v>
      </c>
      <c r="L115">
        <f t="shared" si="7"/>
        <v>5874</v>
      </c>
      <c r="M115">
        <f t="shared" si="4"/>
        <v>23496</v>
      </c>
      <c r="N115">
        <f t="shared" si="5"/>
        <v>4800</v>
      </c>
    </row>
    <row r="116" spans="1:14" x14ac:dyDescent="0.3">
      <c r="A116" t="s">
        <v>286</v>
      </c>
      <c r="B116" t="s">
        <v>27</v>
      </c>
      <c r="C116">
        <v>8</v>
      </c>
      <c r="D116">
        <v>12430</v>
      </c>
      <c r="E116" s="5">
        <v>46238</v>
      </c>
      <c r="F116" t="s">
        <v>287</v>
      </c>
      <c r="G116" t="s">
        <v>194</v>
      </c>
      <c r="H116" t="s">
        <v>15</v>
      </c>
      <c r="I116" t="s">
        <v>25</v>
      </c>
      <c r="J116" t="s">
        <v>47</v>
      </c>
      <c r="K116">
        <v>99440</v>
      </c>
      <c r="L116">
        <f t="shared" si="7"/>
        <v>11230</v>
      </c>
      <c r="M116">
        <f t="shared" si="4"/>
        <v>89840</v>
      </c>
      <c r="N116">
        <f t="shared" si="5"/>
        <v>9600</v>
      </c>
    </row>
    <row r="117" spans="1:14" x14ac:dyDescent="0.3">
      <c r="A117" t="s">
        <v>288</v>
      </c>
      <c r="B117" t="s">
        <v>19</v>
      </c>
      <c r="C117">
        <v>9</v>
      </c>
      <c r="D117">
        <v>9726</v>
      </c>
      <c r="E117" s="5">
        <v>46239</v>
      </c>
      <c r="F117" t="s">
        <v>289</v>
      </c>
      <c r="G117" t="s">
        <v>124</v>
      </c>
      <c r="H117" t="s">
        <v>15</v>
      </c>
      <c r="I117" t="s">
        <v>34</v>
      </c>
      <c r="J117" t="s">
        <v>47</v>
      </c>
      <c r="K117">
        <v>87534</v>
      </c>
      <c r="L117">
        <f t="shared" si="7"/>
        <v>8526</v>
      </c>
      <c r="M117">
        <f t="shared" si="4"/>
        <v>76734</v>
      </c>
      <c r="N117">
        <f t="shared" si="5"/>
        <v>10800</v>
      </c>
    </row>
    <row r="118" spans="1:14" x14ac:dyDescent="0.3">
      <c r="A118" t="s">
        <v>290</v>
      </c>
      <c r="B118" t="s">
        <v>40</v>
      </c>
      <c r="C118">
        <v>6</v>
      </c>
      <c r="D118">
        <v>15051</v>
      </c>
      <c r="E118" s="5">
        <v>46240</v>
      </c>
      <c r="F118" t="s">
        <v>291</v>
      </c>
      <c r="G118" t="s">
        <v>73</v>
      </c>
      <c r="H118" t="s">
        <v>15</v>
      </c>
      <c r="I118" t="s">
        <v>16</v>
      </c>
      <c r="J118" t="s">
        <v>50</v>
      </c>
      <c r="K118">
        <v>90306</v>
      </c>
      <c r="L118">
        <f t="shared" si="7"/>
        <v>13851</v>
      </c>
      <c r="M118">
        <f t="shared" si="4"/>
        <v>83106</v>
      </c>
      <c r="N118">
        <f t="shared" si="5"/>
        <v>7200</v>
      </c>
    </row>
    <row r="119" spans="1:14" x14ac:dyDescent="0.3">
      <c r="A119" t="s">
        <v>292</v>
      </c>
      <c r="B119" t="s">
        <v>27</v>
      </c>
      <c r="C119">
        <v>1</v>
      </c>
      <c r="D119">
        <v>7209</v>
      </c>
      <c r="E119" s="5">
        <v>46241</v>
      </c>
      <c r="F119" t="s">
        <v>293</v>
      </c>
      <c r="G119" t="s">
        <v>104</v>
      </c>
      <c r="H119" t="s">
        <v>15</v>
      </c>
      <c r="I119" t="s">
        <v>16</v>
      </c>
      <c r="J119" t="s">
        <v>17</v>
      </c>
      <c r="K119">
        <v>7209</v>
      </c>
      <c r="L119">
        <f t="shared" si="7"/>
        <v>6009</v>
      </c>
      <c r="M119">
        <f t="shared" si="4"/>
        <v>6009</v>
      </c>
      <c r="N119">
        <f t="shared" si="5"/>
        <v>1200</v>
      </c>
    </row>
    <row r="120" spans="1:14" x14ac:dyDescent="0.3">
      <c r="A120" t="s">
        <v>294</v>
      </c>
      <c r="B120" t="s">
        <v>12</v>
      </c>
      <c r="C120">
        <v>9</v>
      </c>
      <c r="D120">
        <v>8462</v>
      </c>
      <c r="E120" s="5">
        <v>46242</v>
      </c>
      <c r="F120" t="s">
        <v>295</v>
      </c>
      <c r="G120" t="s">
        <v>124</v>
      </c>
      <c r="H120" t="s">
        <v>15</v>
      </c>
      <c r="I120" t="s">
        <v>16</v>
      </c>
      <c r="J120" t="s">
        <v>50</v>
      </c>
      <c r="K120">
        <v>76158</v>
      </c>
      <c r="L120">
        <f t="shared" si="7"/>
        <v>7262</v>
      </c>
      <c r="M120">
        <f t="shared" si="4"/>
        <v>65358</v>
      </c>
      <c r="N120">
        <f t="shared" si="5"/>
        <v>10800</v>
      </c>
    </row>
    <row r="121" spans="1:14" x14ac:dyDescent="0.3">
      <c r="A121" t="s">
        <v>296</v>
      </c>
      <c r="B121" t="s">
        <v>31</v>
      </c>
      <c r="C121">
        <v>6</v>
      </c>
      <c r="D121">
        <v>18677</v>
      </c>
      <c r="E121" s="5">
        <v>46243</v>
      </c>
      <c r="F121" t="s">
        <v>297</v>
      </c>
      <c r="G121" t="s">
        <v>94</v>
      </c>
      <c r="H121" t="s">
        <v>15</v>
      </c>
      <c r="I121" t="s">
        <v>34</v>
      </c>
      <c r="J121" t="s">
        <v>17</v>
      </c>
      <c r="K121">
        <v>112062</v>
      </c>
      <c r="L121">
        <f t="shared" si="7"/>
        <v>17477</v>
      </c>
      <c r="M121">
        <f t="shared" si="4"/>
        <v>104862</v>
      </c>
      <c r="N121">
        <f t="shared" si="5"/>
        <v>7200</v>
      </c>
    </row>
    <row r="122" spans="1:14" x14ac:dyDescent="0.3">
      <c r="A122" t="s">
        <v>298</v>
      </c>
      <c r="B122" t="s">
        <v>62</v>
      </c>
      <c r="C122">
        <v>5</v>
      </c>
      <c r="D122">
        <v>16495</v>
      </c>
      <c r="E122" s="5">
        <v>46244</v>
      </c>
      <c r="F122" t="s">
        <v>299</v>
      </c>
      <c r="G122" t="s">
        <v>91</v>
      </c>
      <c r="H122" t="s">
        <v>15</v>
      </c>
      <c r="I122" t="s">
        <v>16</v>
      </c>
      <c r="J122" t="s">
        <v>47</v>
      </c>
      <c r="K122">
        <v>82475</v>
      </c>
      <c r="L122">
        <f t="shared" si="7"/>
        <v>15295</v>
      </c>
      <c r="M122">
        <f t="shared" si="4"/>
        <v>76475</v>
      </c>
      <c r="N122">
        <f t="shared" si="5"/>
        <v>6000</v>
      </c>
    </row>
    <row r="123" spans="1:14" x14ac:dyDescent="0.3">
      <c r="A123" t="s">
        <v>300</v>
      </c>
      <c r="B123" t="s">
        <v>31</v>
      </c>
      <c r="C123">
        <v>8</v>
      </c>
      <c r="D123">
        <v>6983</v>
      </c>
      <c r="E123" s="5">
        <v>46245</v>
      </c>
      <c r="F123" t="s">
        <v>301</v>
      </c>
      <c r="G123" t="s">
        <v>104</v>
      </c>
      <c r="H123" t="s">
        <v>15</v>
      </c>
      <c r="I123" t="s">
        <v>34</v>
      </c>
      <c r="J123" t="s">
        <v>35</v>
      </c>
      <c r="K123">
        <v>55864</v>
      </c>
      <c r="L123">
        <f t="shared" si="7"/>
        <v>5783</v>
      </c>
      <c r="M123">
        <f t="shared" si="4"/>
        <v>46264</v>
      </c>
      <c r="N123">
        <f t="shared" si="5"/>
        <v>9600</v>
      </c>
    </row>
    <row r="124" spans="1:14" x14ac:dyDescent="0.3">
      <c r="A124" t="s">
        <v>302</v>
      </c>
      <c r="B124" t="s">
        <v>40</v>
      </c>
      <c r="C124">
        <v>5</v>
      </c>
      <c r="D124">
        <v>10092</v>
      </c>
      <c r="E124" s="5">
        <v>46246</v>
      </c>
      <c r="F124" t="s">
        <v>303</v>
      </c>
      <c r="G124" t="s">
        <v>82</v>
      </c>
      <c r="H124" t="s">
        <v>15</v>
      </c>
      <c r="I124" t="s">
        <v>34</v>
      </c>
      <c r="J124" t="s">
        <v>17</v>
      </c>
      <c r="K124">
        <v>50460</v>
      </c>
      <c r="L124">
        <f t="shared" si="7"/>
        <v>8892</v>
      </c>
      <c r="M124">
        <f t="shared" si="4"/>
        <v>44460</v>
      </c>
      <c r="N124">
        <f t="shared" si="5"/>
        <v>6000</v>
      </c>
    </row>
    <row r="125" spans="1:14" x14ac:dyDescent="0.3">
      <c r="A125" t="s">
        <v>304</v>
      </c>
      <c r="B125" t="s">
        <v>71</v>
      </c>
      <c r="C125">
        <v>2</v>
      </c>
      <c r="D125">
        <v>11576</v>
      </c>
      <c r="E125" s="5">
        <v>46247</v>
      </c>
      <c r="F125" t="s">
        <v>305</v>
      </c>
      <c r="G125" t="s">
        <v>159</v>
      </c>
      <c r="H125" t="s">
        <v>15</v>
      </c>
      <c r="I125" t="s">
        <v>16</v>
      </c>
      <c r="J125" t="s">
        <v>35</v>
      </c>
      <c r="K125">
        <v>23152</v>
      </c>
      <c r="L125">
        <f t="shared" si="7"/>
        <v>10376</v>
      </c>
      <c r="M125">
        <f t="shared" si="4"/>
        <v>20752</v>
      </c>
      <c r="N125">
        <f t="shared" si="5"/>
        <v>2400</v>
      </c>
    </row>
    <row r="126" spans="1:14" x14ac:dyDescent="0.3">
      <c r="A126" t="s">
        <v>306</v>
      </c>
      <c r="B126" t="s">
        <v>62</v>
      </c>
      <c r="C126">
        <v>4</v>
      </c>
      <c r="D126">
        <v>14271</v>
      </c>
      <c r="E126" s="5">
        <v>46248</v>
      </c>
      <c r="F126" t="s">
        <v>307</v>
      </c>
      <c r="G126" t="s">
        <v>91</v>
      </c>
      <c r="H126" t="s">
        <v>15</v>
      </c>
      <c r="I126" t="s">
        <v>16</v>
      </c>
      <c r="J126" t="s">
        <v>17</v>
      </c>
      <c r="K126">
        <v>57084</v>
      </c>
      <c r="L126">
        <f t="shared" si="7"/>
        <v>13071</v>
      </c>
      <c r="M126">
        <f t="shared" si="4"/>
        <v>52284</v>
      </c>
      <c r="N126">
        <f t="shared" si="5"/>
        <v>4800</v>
      </c>
    </row>
    <row r="127" spans="1:14" x14ac:dyDescent="0.3">
      <c r="A127" t="s">
        <v>308</v>
      </c>
      <c r="B127" t="s">
        <v>52</v>
      </c>
      <c r="C127">
        <v>4</v>
      </c>
      <c r="D127">
        <v>5869</v>
      </c>
      <c r="E127" s="5">
        <v>46249</v>
      </c>
      <c r="F127" t="s">
        <v>309</v>
      </c>
      <c r="G127" t="s">
        <v>135</v>
      </c>
      <c r="H127" t="s">
        <v>15</v>
      </c>
      <c r="I127" t="s">
        <v>16</v>
      </c>
      <c r="J127" t="s">
        <v>47</v>
      </c>
      <c r="K127">
        <v>23476</v>
      </c>
      <c r="L127">
        <f t="shared" si="7"/>
        <v>4669</v>
      </c>
      <c r="M127">
        <f t="shared" si="4"/>
        <v>18676</v>
      </c>
      <c r="N127">
        <f t="shared" si="5"/>
        <v>4800</v>
      </c>
    </row>
    <row r="128" spans="1:14" x14ac:dyDescent="0.3">
      <c r="A128" t="s">
        <v>310</v>
      </c>
      <c r="B128" t="s">
        <v>27</v>
      </c>
      <c r="C128">
        <v>3</v>
      </c>
      <c r="D128">
        <v>5796</v>
      </c>
      <c r="E128" s="5">
        <v>46250</v>
      </c>
      <c r="F128" t="s">
        <v>311</v>
      </c>
      <c r="G128" t="s">
        <v>54</v>
      </c>
      <c r="H128" t="s">
        <v>15</v>
      </c>
      <c r="I128" t="s">
        <v>25</v>
      </c>
      <c r="J128" t="s">
        <v>50</v>
      </c>
      <c r="K128">
        <v>17388</v>
      </c>
      <c r="L128">
        <f t="shared" si="7"/>
        <v>4596</v>
      </c>
      <c r="M128">
        <f t="shared" si="4"/>
        <v>13788</v>
      </c>
      <c r="N128">
        <f t="shared" si="5"/>
        <v>3600</v>
      </c>
    </row>
    <row r="129" spans="1:14" x14ac:dyDescent="0.3">
      <c r="A129" t="s">
        <v>312</v>
      </c>
      <c r="B129" t="s">
        <v>12</v>
      </c>
      <c r="C129">
        <v>6</v>
      </c>
      <c r="D129">
        <v>7393</v>
      </c>
      <c r="E129" s="5">
        <v>46251</v>
      </c>
      <c r="F129" t="s">
        <v>313</v>
      </c>
      <c r="G129" t="s">
        <v>175</v>
      </c>
      <c r="H129" t="s">
        <v>15</v>
      </c>
      <c r="I129" t="s">
        <v>25</v>
      </c>
      <c r="J129" t="s">
        <v>76</v>
      </c>
      <c r="K129">
        <v>44358</v>
      </c>
      <c r="L129">
        <f t="shared" si="7"/>
        <v>6193</v>
      </c>
      <c r="M129">
        <f t="shared" si="4"/>
        <v>37158</v>
      </c>
      <c r="N129">
        <f t="shared" si="5"/>
        <v>7200</v>
      </c>
    </row>
    <row r="130" spans="1:14" x14ac:dyDescent="0.3">
      <c r="A130" t="s">
        <v>314</v>
      </c>
      <c r="B130" t="s">
        <v>12</v>
      </c>
      <c r="C130">
        <v>3</v>
      </c>
      <c r="D130">
        <v>13943</v>
      </c>
      <c r="E130" s="5">
        <v>46252</v>
      </c>
      <c r="F130" t="s">
        <v>315</v>
      </c>
      <c r="G130" t="s">
        <v>91</v>
      </c>
      <c r="H130" t="s">
        <v>15</v>
      </c>
      <c r="I130" t="s">
        <v>16</v>
      </c>
      <c r="J130" t="s">
        <v>35</v>
      </c>
      <c r="K130">
        <v>41829</v>
      </c>
      <c r="L130">
        <f t="shared" si="7"/>
        <v>12743</v>
      </c>
      <c r="M130">
        <f t="shared" si="4"/>
        <v>38229</v>
      </c>
      <c r="N130">
        <f t="shared" si="5"/>
        <v>3600</v>
      </c>
    </row>
    <row r="131" spans="1:14" x14ac:dyDescent="0.3">
      <c r="A131" t="s">
        <v>316</v>
      </c>
      <c r="B131" t="s">
        <v>31</v>
      </c>
      <c r="C131">
        <v>4</v>
      </c>
      <c r="D131">
        <v>3506</v>
      </c>
      <c r="E131" s="5">
        <v>46253</v>
      </c>
      <c r="F131" t="s">
        <v>317</v>
      </c>
      <c r="G131" t="s">
        <v>64</v>
      </c>
      <c r="H131" t="s">
        <v>15</v>
      </c>
      <c r="I131" t="s">
        <v>25</v>
      </c>
      <c r="J131" t="s">
        <v>76</v>
      </c>
      <c r="K131">
        <v>14024</v>
      </c>
      <c r="L131">
        <f t="shared" si="7"/>
        <v>2306</v>
      </c>
      <c r="M131">
        <f t="shared" ref="M131:M194" si="8">L131*C131</f>
        <v>9224</v>
      </c>
      <c r="N131">
        <f t="shared" ref="N131:N194" si="9">K131-M131</f>
        <v>4800</v>
      </c>
    </row>
    <row r="132" spans="1:14" x14ac:dyDescent="0.3">
      <c r="A132" t="s">
        <v>318</v>
      </c>
      <c r="B132" t="s">
        <v>27</v>
      </c>
      <c r="C132">
        <v>6</v>
      </c>
      <c r="D132">
        <v>17920</v>
      </c>
      <c r="E132" s="5">
        <v>46254</v>
      </c>
      <c r="F132" t="s">
        <v>319</v>
      </c>
      <c r="G132" t="s">
        <v>67</v>
      </c>
      <c r="H132" t="s">
        <v>15</v>
      </c>
      <c r="I132" t="s">
        <v>16</v>
      </c>
      <c r="J132" t="s">
        <v>50</v>
      </c>
      <c r="K132">
        <v>107520</v>
      </c>
      <c r="L132">
        <f t="shared" si="7"/>
        <v>16720</v>
      </c>
      <c r="M132">
        <f t="shared" si="8"/>
        <v>100320</v>
      </c>
      <c r="N132">
        <f t="shared" si="9"/>
        <v>7200</v>
      </c>
    </row>
    <row r="133" spans="1:14" x14ac:dyDescent="0.3">
      <c r="A133" t="s">
        <v>320</v>
      </c>
      <c r="B133" t="s">
        <v>40</v>
      </c>
      <c r="C133">
        <v>8</v>
      </c>
      <c r="D133">
        <v>16550</v>
      </c>
      <c r="E133" s="5">
        <v>46255</v>
      </c>
      <c r="F133" t="s">
        <v>321</v>
      </c>
      <c r="G133" t="s">
        <v>111</v>
      </c>
      <c r="H133" t="s">
        <v>15</v>
      </c>
      <c r="I133" t="s">
        <v>25</v>
      </c>
      <c r="J133" t="s">
        <v>17</v>
      </c>
      <c r="K133">
        <v>132400</v>
      </c>
      <c r="L133">
        <f t="shared" si="7"/>
        <v>15350</v>
      </c>
      <c r="M133">
        <f t="shared" si="8"/>
        <v>122800</v>
      </c>
      <c r="N133">
        <f t="shared" si="9"/>
        <v>9600</v>
      </c>
    </row>
    <row r="134" spans="1:14" x14ac:dyDescent="0.3">
      <c r="A134" t="s">
        <v>322</v>
      </c>
      <c r="B134" t="s">
        <v>52</v>
      </c>
      <c r="C134">
        <v>3</v>
      </c>
      <c r="D134">
        <v>9213</v>
      </c>
      <c r="E134" s="5">
        <v>46256</v>
      </c>
      <c r="F134" t="s">
        <v>323</v>
      </c>
      <c r="G134" t="s">
        <v>91</v>
      </c>
      <c r="H134" t="s">
        <v>15</v>
      </c>
      <c r="I134" t="s">
        <v>25</v>
      </c>
      <c r="J134" t="s">
        <v>17</v>
      </c>
      <c r="K134">
        <v>27639</v>
      </c>
      <c r="L134">
        <f t="shared" si="7"/>
        <v>8013</v>
      </c>
      <c r="M134">
        <f t="shared" si="8"/>
        <v>24039</v>
      </c>
      <c r="N134">
        <f t="shared" si="9"/>
        <v>3600</v>
      </c>
    </row>
    <row r="135" spans="1:14" x14ac:dyDescent="0.3">
      <c r="A135" t="s">
        <v>324</v>
      </c>
      <c r="B135" t="s">
        <v>44</v>
      </c>
      <c r="C135">
        <v>8</v>
      </c>
      <c r="D135">
        <v>3146</v>
      </c>
      <c r="E135" s="5">
        <v>46257</v>
      </c>
      <c r="F135" t="s">
        <v>325</v>
      </c>
      <c r="G135" t="s">
        <v>166</v>
      </c>
      <c r="H135" t="s">
        <v>15</v>
      </c>
      <c r="I135" t="s">
        <v>34</v>
      </c>
      <c r="J135" t="s">
        <v>76</v>
      </c>
      <c r="K135">
        <v>25168</v>
      </c>
      <c r="L135">
        <f t="shared" si="7"/>
        <v>1946</v>
      </c>
      <c r="M135">
        <f t="shared" si="8"/>
        <v>15568</v>
      </c>
      <c r="N135">
        <f t="shared" si="9"/>
        <v>9600</v>
      </c>
    </row>
    <row r="136" spans="1:14" x14ac:dyDescent="0.3">
      <c r="A136" t="s">
        <v>326</v>
      </c>
      <c r="B136" t="s">
        <v>71</v>
      </c>
      <c r="C136">
        <v>2</v>
      </c>
      <c r="D136">
        <v>4737</v>
      </c>
      <c r="E136" s="5">
        <v>46258</v>
      </c>
      <c r="F136" t="s">
        <v>327</v>
      </c>
      <c r="G136" t="s">
        <v>166</v>
      </c>
      <c r="H136" t="s">
        <v>15</v>
      </c>
      <c r="I136" t="s">
        <v>16</v>
      </c>
      <c r="J136" t="s">
        <v>76</v>
      </c>
      <c r="K136">
        <v>9474</v>
      </c>
      <c r="L136">
        <f t="shared" si="7"/>
        <v>3537</v>
      </c>
      <c r="M136">
        <f t="shared" si="8"/>
        <v>7074</v>
      </c>
      <c r="N136">
        <f t="shared" si="9"/>
        <v>2400</v>
      </c>
    </row>
    <row r="137" spans="1:14" x14ac:dyDescent="0.3">
      <c r="A137" t="s">
        <v>328</v>
      </c>
      <c r="B137" t="s">
        <v>52</v>
      </c>
      <c r="C137">
        <v>7</v>
      </c>
      <c r="D137">
        <v>17708</v>
      </c>
      <c r="E137" s="5">
        <v>46259</v>
      </c>
      <c r="F137" t="s">
        <v>329</v>
      </c>
      <c r="G137" t="s">
        <v>57</v>
      </c>
      <c r="H137" t="s">
        <v>15</v>
      </c>
      <c r="I137" t="s">
        <v>34</v>
      </c>
      <c r="J137" t="s">
        <v>50</v>
      </c>
      <c r="K137">
        <v>123956</v>
      </c>
      <c r="L137">
        <f t="shared" si="7"/>
        <v>16508</v>
      </c>
      <c r="M137">
        <f t="shared" si="8"/>
        <v>115556</v>
      </c>
      <c r="N137">
        <f t="shared" si="9"/>
        <v>8400</v>
      </c>
    </row>
    <row r="138" spans="1:14" x14ac:dyDescent="0.3">
      <c r="A138" t="s">
        <v>330</v>
      </c>
      <c r="B138" t="s">
        <v>27</v>
      </c>
      <c r="C138">
        <v>6</v>
      </c>
      <c r="D138">
        <v>19729</v>
      </c>
      <c r="E138" s="5">
        <v>46260</v>
      </c>
      <c r="F138" t="s">
        <v>331</v>
      </c>
      <c r="G138" t="s">
        <v>199</v>
      </c>
      <c r="H138" t="s">
        <v>15</v>
      </c>
      <c r="I138" t="s">
        <v>16</v>
      </c>
      <c r="J138" t="s">
        <v>47</v>
      </c>
      <c r="K138">
        <v>118374</v>
      </c>
      <c r="L138">
        <f t="shared" si="7"/>
        <v>18529</v>
      </c>
      <c r="M138">
        <f t="shared" si="8"/>
        <v>111174</v>
      </c>
      <c r="N138">
        <f t="shared" si="9"/>
        <v>7200</v>
      </c>
    </row>
    <row r="139" spans="1:14" x14ac:dyDescent="0.3">
      <c r="A139" t="s">
        <v>332</v>
      </c>
      <c r="B139" t="s">
        <v>71</v>
      </c>
      <c r="C139">
        <v>1</v>
      </c>
      <c r="D139">
        <v>3365</v>
      </c>
      <c r="E139" s="5">
        <v>46261</v>
      </c>
      <c r="F139" t="s">
        <v>333</v>
      </c>
      <c r="G139" t="s">
        <v>94</v>
      </c>
      <c r="H139" t="s">
        <v>15</v>
      </c>
      <c r="I139" t="s">
        <v>25</v>
      </c>
      <c r="J139" t="s">
        <v>50</v>
      </c>
      <c r="K139">
        <v>3365</v>
      </c>
      <c r="L139">
        <f t="shared" si="7"/>
        <v>2165</v>
      </c>
      <c r="M139">
        <f t="shared" si="8"/>
        <v>2165</v>
      </c>
      <c r="N139">
        <f t="shared" si="9"/>
        <v>1200</v>
      </c>
    </row>
    <row r="140" spans="1:14" x14ac:dyDescent="0.3">
      <c r="A140" t="s">
        <v>334</v>
      </c>
      <c r="B140" t="s">
        <v>40</v>
      </c>
      <c r="C140">
        <v>1</v>
      </c>
      <c r="D140">
        <v>15856</v>
      </c>
      <c r="E140" s="5">
        <v>46262</v>
      </c>
      <c r="F140" t="s">
        <v>335</v>
      </c>
      <c r="G140" t="s">
        <v>194</v>
      </c>
      <c r="H140" t="s">
        <v>15</v>
      </c>
      <c r="I140" t="s">
        <v>34</v>
      </c>
      <c r="J140" t="s">
        <v>35</v>
      </c>
      <c r="K140">
        <v>15856</v>
      </c>
      <c r="L140">
        <f t="shared" si="7"/>
        <v>14656</v>
      </c>
      <c r="M140">
        <f t="shared" si="8"/>
        <v>14656</v>
      </c>
      <c r="N140">
        <f t="shared" si="9"/>
        <v>1200</v>
      </c>
    </row>
    <row r="141" spans="1:14" x14ac:dyDescent="0.3">
      <c r="A141" t="s">
        <v>336</v>
      </c>
      <c r="B141" t="s">
        <v>59</v>
      </c>
      <c r="C141">
        <v>4</v>
      </c>
      <c r="D141">
        <v>18371</v>
      </c>
      <c r="E141" s="5">
        <v>46263</v>
      </c>
      <c r="F141" t="s">
        <v>337</v>
      </c>
      <c r="G141" t="s">
        <v>57</v>
      </c>
      <c r="H141" t="s">
        <v>15</v>
      </c>
      <c r="I141" t="s">
        <v>16</v>
      </c>
      <c r="J141" t="s">
        <v>35</v>
      </c>
      <c r="K141">
        <v>73484</v>
      </c>
      <c r="L141">
        <f t="shared" si="7"/>
        <v>17171</v>
      </c>
      <c r="M141">
        <f t="shared" si="8"/>
        <v>68684</v>
      </c>
      <c r="N141">
        <f t="shared" si="9"/>
        <v>4800</v>
      </c>
    </row>
    <row r="142" spans="1:14" x14ac:dyDescent="0.3">
      <c r="A142" t="s">
        <v>338</v>
      </c>
      <c r="B142" t="s">
        <v>62</v>
      </c>
      <c r="C142">
        <v>2</v>
      </c>
      <c r="D142">
        <v>4170</v>
      </c>
      <c r="E142" s="5">
        <v>46264</v>
      </c>
      <c r="F142" t="s">
        <v>339</v>
      </c>
      <c r="G142" t="s">
        <v>142</v>
      </c>
      <c r="H142" t="s">
        <v>15</v>
      </c>
      <c r="I142" t="s">
        <v>25</v>
      </c>
      <c r="J142" t="s">
        <v>17</v>
      </c>
      <c r="K142">
        <v>8340</v>
      </c>
      <c r="L142">
        <f t="shared" si="7"/>
        <v>2970</v>
      </c>
      <c r="M142">
        <f t="shared" si="8"/>
        <v>5940</v>
      </c>
      <c r="N142">
        <f t="shared" si="9"/>
        <v>2400</v>
      </c>
    </row>
    <row r="143" spans="1:14" x14ac:dyDescent="0.3">
      <c r="A143" t="s">
        <v>340</v>
      </c>
      <c r="B143" t="s">
        <v>19</v>
      </c>
      <c r="C143">
        <v>7</v>
      </c>
      <c r="D143">
        <v>7222</v>
      </c>
      <c r="E143" s="5">
        <v>46265</v>
      </c>
      <c r="F143" t="s">
        <v>341</v>
      </c>
      <c r="G143" t="s">
        <v>14</v>
      </c>
      <c r="H143" t="s">
        <v>15</v>
      </c>
      <c r="I143" t="s">
        <v>25</v>
      </c>
      <c r="J143" t="s">
        <v>76</v>
      </c>
      <c r="K143">
        <v>50554</v>
      </c>
      <c r="L143">
        <f t="shared" si="7"/>
        <v>6022</v>
      </c>
      <c r="M143">
        <f t="shared" si="8"/>
        <v>42154</v>
      </c>
      <c r="N143">
        <f t="shared" si="9"/>
        <v>8400</v>
      </c>
    </row>
    <row r="144" spans="1:14" x14ac:dyDescent="0.3">
      <c r="A144" t="s">
        <v>342</v>
      </c>
      <c r="B144" t="s">
        <v>44</v>
      </c>
      <c r="C144">
        <v>7</v>
      </c>
      <c r="D144">
        <v>18473</v>
      </c>
      <c r="E144" s="5">
        <v>46266</v>
      </c>
      <c r="F144" t="s">
        <v>343</v>
      </c>
      <c r="G144" t="s">
        <v>64</v>
      </c>
      <c r="H144" t="s">
        <v>15</v>
      </c>
      <c r="I144" t="s">
        <v>25</v>
      </c>
      <c r="J144" t="s">
        <v>76</v>
      </c>
      <c r="K144">
        <v>129311</v>
      </c>
      <c r="L144">
        <f t="shared" si="7"/>
        <v>17273</v>
      </c>
      <c r="M144">
        <f t="shared" si="8"/>
        <v>120911</v>
      </c>
      <c r="N144">
        <f t="shared" si="9"/>
        <v>8400</v>
      </c>
    </row>
    <row r="145" spans="1:14" x14ac:dyDescent="0.3">
      <c r="A145" t="s">
        <v>344</v>
      </c>
      <c r="B145" t="s">
        <v>44</v>
      </c>
      <c r="C145">
        <v>8</v>
      </c>
      <c r="D145">
        <v>5185</v>
      </c>
      <c r="E145" s="5">
        <v>46267</v>
      </c>
      <c r="F145" t="s">
        <v>345</v>
      </c>
      <c r="G145" t="s">
        <v>194</v>
      </c>
      <c r="H145" t="s">
        <v>15</v>
      </c>
      <c r="I145" t="s">
        <v>16</v>
      </c>
      <c r="J145" t="s">
        <v>50</v>
      </c>
      <c r="K145">
        <v>41480</v>
      </c>
      <c r="L145">
        <f t="shared" si="7"/>
        <v>3985</v>
      </c>
      <c r="M145">
        <f t="shared" si="8"/>
        <v>31880</v>
      </c>
      <c r="N145">
        <f t="shared" si="9"/>
        <v>9600</v>
      </c>
    </row>
    <row r="146" spans="1:14" x14ac:dyDescent="0.3">
      <c r="A146" t="s">
        <v>346</v>
      </c>
      <c r="B146" t="s">
        <v>19</v>
      </c>
      <c r="C146">
        <v>9</v>
      </c>
      <c r="D146">
        <v>10347</v>
      </c>
      <c r="E146" s="5">
        <v>46268</v>
      </c>
      <c r="F146" t="s">
        <v>347</v>
      </c>
      <c r="G146" t="s">
        <v>94</v>
      </c>
      <c r="H146" t="s">
        <v>15</v>
      </c>
      <c r="I146" t="s">
        <v>34</v>
      </c>
      <c r="J146" t="s">
        <v>17</v>
      </c>
      <c r="K146">
        <v>93123</v>
      </c>
      <c r="L146">
        <f t="shared" si="7"/>
        <v>9147</v>
      </c>
      <c r="M146">
        <f t="shared" si="8"/>
        <v>82323</v>
      </c>
      <c r="N146">
        <f t="shared" si="9"/>
        <v>10800</v>
      </c>
    </row>
    <row r="147" spans="1:14" x14ac:dyDescent="0.3">
      <c r="A147" t="s">
        <v>348</v>
      </c>
      <c r="B147" t="s">
        <v>31</v>
      </c>
      <c r="C147">
        <v>9</v>
      </c>
      <c r="D147">
        <v>3537</v>
      </c>
      <c r="E147" s="5">
        <v>46269</v>
      </c>
      <c r="F147" t="s">
        <v>349</v>
      </c>
      <c r="G147" t="s">
        <v>166</v>
      </c>
      <c r="H147" t="s">
        <v>15</v>
      </c>
      <c r="I147" t="s">
        <v>34</v>
      </c>
      <c r="J147" t="s">
        <v>76</v>
      </c>
      <c r="K147">
        <v>31833</v>
      </c>
      <c r="L147">
        <f t="shared" si="7"/>
        <v>2337</v>
      </c>
      <c r="M147">
        <f t="shared" si="8"/>
        <v>21033</v>
      </c>
      <c r="N147">
        <f t="shared" si="9"/>
        <v>10800</v>
      </c>
    </row>
    <row r="148" spans="1:14" x14ac:dyDescent="0.3">
      <c r="A148" t="s">
        <v>350</v>
      </c>
      <c r="B148" t="s">
        <v>27</v>
      </c>
      <c r="C148">
        <v>8</v>
      </c>
      <c r="D148">
        <v>4313</v>
      </c>
      <c r="E148" s="5">
        <v>46270</v>
      </c>
      <c r="F148" t="s">
        <v>351</v>
      </c>
      <c r="G148" t="s">
        <v>14</v>
      </c>
      <c r="H148" t="s">
        <v>15</v>
      </c>
      <c r="I148" t="s">
        <v>16</v>
      </c>
      <c r="J148" t="s">
        <v>50</v>
      </c>
      <c r="K148">
        <v>34504</v>
      </c>
      <c r="L148">
        <f t="shared" si="7"/>
        <v>3113</v>
      </c>
      <c r="M148">
        <f t="shared" si="8"/>
        <v>24904</v>
      </c>
      <c r="N148">
        <f t="shared" si="9"/>
        <v>9600</v>
      </c>
    </row>
    <row r="149" spans="1:14" x14ac:dyDescent="0.3">
      <c r="A149" t="s">
        <v>352</v>
      </c>
      <c r="B149" t="s">
        <v>19</v>
      </c>
      <c r="C149">
        <v>1</v>
      </c>
      <c r="D149">
        <v>14403</v>
      </c>
      <c r="E149" s="5">
        <v>46271</v>
      </c>
      <c r="F149" t="s">
        <v>353</v>
      </c>
      <c r="G149" t="s">
        <v>101</v>
      </c>
      <c r="H149" t="s">
        <v>15</v>
      </c>
      <c r="I149" t="s">
        <v>25</v>
      </c>
      <c r="J149" t="s">
        <v>50</v>
      </c>
      <c r="K149">
        <v>14403</v>
      </c>
      <c r="L149">
        <f t="shared" si="7"/>
        <v>13203</v>
      </c>
      <c r="M149">
        <f t="shared" si="8"/>
        <v>13203</v>
      </c>
      <c r="N149">
        <f t="shared" si="9"/>
        <v>1200</v>
      </c>
    </row>
    <row r="150" spans="1:14" x14ac:dyDescent="0.3">
      <c r="A150" t="s">
        <v>354</v>
      </c>
      <c r="B150" t="s">
        <v>71</v>
      </c>
      <c r="C150">
        <v>9</v>
      </c>
      <c r="D150">
        <v>3873</v>
      </c>
      <c r="E150" s="5">
        <v>46272</v>
      </c>
      <c r="F150" t="s">
        <v>355</v>
      </c>
      <c r="G150" t="s">
        <v>104</v>
      </c>
      <c r="H150" t="s">
        <v>15</v>
      </c>
      <c r="I150" t="s">
        <v>25</v>
      </c>
      <c r="J150" t="s">
        <v>47</v>
      </c>
      <c r="K150">
        <v>34857</v>
      </c>
      <c r="L150">
        <f t="shared" si="7"/>
        <v>2673</v>
      </c>
      <c r="M150">
        <f t="shared" si="8"/>
        <v>24057</v>
      </c>
      <c r="N150">
        <f t="shared" si="9"/>
        <v>10800</v>
      </c>
    </row>
    <row r="151" spans="1:14" x14ac:dyDescent="0.3">
      <c r="A151" t="s">
        <v>356</v>
      </c>
      <c r="B151" t="s">
        <v>19</v>
      </c>
      <c r="C151">
        <v>7</v>
      </c>
      <c r="D151">
        <v>14683</v>
      </c>
      <c r="E151" s="5">
        <v>46273</v>
      </c>
      <c r="F151" t="s">
        <v>357</v>
      </c>
      <c r="G151" t="s">
        <v>199</v>
      </c>
      <c r="H151" t="s">
        <v>15</v>
      </c>
      <c r="I151" t="s">
        <v>25</v>
      </c>
      <c r="J151" t="s">
        <v>47</v>
      </c>
      <c r="K151">
        <v>102781</v>
      </c>
      <c r="L151">
        <f t="shared" si="7"/>
        <v>13483</v>
      </c>
      <c r="M151">
        <f t="shared" si="8"/>
        <v>94381</v>
      </c>
      <c r="N151">
        <f t="shared" si="9"/>
        <v>8400</v>
      </c>
    </row>
    <row r="152" spans="1:14" x14ac:dyDescent="0.3">
      <c r="A152" t="s">
        <v>358</v>
      </c>
      <c r="B152" t="s">
        <v>59</v>
      </c>
      <c r="C152">
        <v>9</v>
      </c>
      <c r="D152">
        <v>4295</v>
      </c>
      <c r="E152" s="5">
        <v>46274</v>
      </c>
      <c r="F152" t="s">
        <v>359</v>
      </c>
      <c r="G152" t="s">
        <v>57</v>
      </c>
      <c r="H152" t="s">
        <v>15</v>
      </c>
      <c r="I152" t="s">
        <v>16</v>
      </c>
      <c r="J152" t="s">
        <v>50</v>
      </c>
      <c r="K152">
        <v>38655</v>
      </c>
      <c r="L152">
        <f t="shared" si="7"/>
        <v>3095</v>
      </c>
      <c r="M152">
        <f t="shared" si="8"/>
        <v>27855</v>
      </c>
      <c r="N152">
        <f t="shared" si="9"/>
        <v>10800</v>
      </c>
    </row>
    <row r="153" spans="1:14" x14ac:dyDescent="0.3">
      <c r="A153" t="s">
        <v>360</v>
      </c>
      <c r="B153" t="s">
        <v>62</v>
      </c>
      <c r="C153">
        <v>9</v>
      </c>
      <c r="D153">
        <v>7955</v>
      </c>
      <c r="E153" s="5">
        <v>46275</v>
      </c>
      <c r="F153" t="s">
        <v>361</v>
      </c>
      <c r="G153" t="s">
        <v>94</v>
      </c>
      <c r="H153" t="s">
        <v>15</v>
      </c>
      <c r="I153" t="s">
        <v>16</v>
      </c>
      <c r="J153" t="s">
        <v>50</v>
      </c>
      <c r="K153">
        <v>71595</v>
      </c>
      <c r="L153">
        <f t="shared" si="7"/>
        <v>6755</v>
      </c>
      <c r="M153">
        <f t="shared" si="8"/>
        <v>60795</v>
      </c>
      <c r="N153">
        <f t="shared" si="9"/>
        <v>10800</v>
      </c>
    </row>
    <row r="154" spans="1:14" x14ac:dyDescent="0.3">
      <c r="A154" t="s">
        <v>362</v>
      </c>
      <c r="B154" t="s">
        <v>52</v>
      </c>
      <c r="C154">
        <v>4</v>
      </c>
      <c r="D154">
        <v>19700</v>
      </c>
      <c r="E154" s="5">
        <v>46276</v>
      </c>
      <c r="F154" t="s">
        <v>363</v>
      </c>
      <c r="G154" t="s">
        <v>67</v>
      </c>
      <c r="H154" t="s">
        <v>15</v>
      </c>
      <c r="I154" t="s">
        <v>34</v>
      </c>
      <c r="J154" t="s">
        <v>50</v>
      </c>
      <c r="K154">
        <v>78800</v>
      </c>
      <c r="L154">
        <f t="shared" si="7"/>
        <v>18500</v>
      </c>
      <c r="M154">
        <f t="shared" si="8"/>
        <v>74000</v>
      </c>
      <c r="N154">
        <f t="shared" si="9"/>
        <v>4800</v>
      </c>
    </row>
    <row r="155" spans="1:14" x14ac:dyDescent="0.3">
      <c r="A155" t="s">
        <v>364</v>
      </c>
      <c r="B155" t="s">
        <v>27</v>
      </c>
      <c r="C155">
        <v>7</v>
      </c>
      <c r="D155">
        <v>10211</v>
      </c>
      <c r="E155" s="5">
        <v>46277</v>
      </c>
      <c r="F155" t="s">
        <v>365</v>
      </c>
      <c r="G155" t="s">
        <v>46</v>
      </c>
      <c r="H155" t="s">
        <v>15</v>
      </c>
      <c r="I155" t="s">
        <v>25</v>
      </c>
      <c r="J155" t="s">
        <v>76</v>
      </c>
      <c r="K155">
        <v>71477</v>
      </c>
      <c r="L155">
        <f t="shared" si="7"/>
        <v>9011</v>
      </c>
      <c r="M155">
        <f t="shared" si="8"/>
        <v>63077</v>
      </c>
      <c r="N155">
        <f t="shared" si="9"/>
        <v>8400</v>
      </c>
    </row>
    <row r="156" spans="1:14" x14ac:dyDescent="0.3">
      <c r="A156" t="s">
        <v>366</v>
      </c>
      <c r="B156" t="s">
        <v>59</v>
      </c>
      <c r="C156">
        <v>2</v>
      </c>
      <c r="D156">
        <v>3007</v>
      </c>
      <c r="E156" s="5">
        <v>46278</v>
      </c>
      <c r="F156" t="s">
        <v>367</v>
      </c>
      <c r="G156" t="s">
        <v>124</v>
      </c>
      <c r="H156" t="s">
        <v>15</v>
      </c>
      <c r="I156" t="s">
        <v>16</v>
      </c>
      <c r="J156" t="s">
        <v>17</v>
      </c>
      <c r="K156">
        <v>6014</v>
      </c>
      <c r="L156">
        <f t="shared" ref="L156:L185" si="10">D156-1200</f>
        <v>1807</v>
      </c>
      <c r="M156">
        <f t="shared" si="8"/>
        <v>3614</v>
      </c>
      <c r="N156">
        <f t="shared" si="9"/>
        <v>2400</v>
      </c>
    </row>
    <row r="157" spans="1:14" x14ac:dyDescent="0.3">
      <c r="A157" t="s">
        <v>368</v>
      </c>
      <c r="B157" t="s">
        <v>27</v>
      </c>
      <c r="C157">
        <v>8</v>
      </c>
      <c r="D157">
        <v>6820</v>
      </c>
      <c r="E157" s="5">
        <v>46279</v>
      </c>
      <c r="F157" t="s">
        <v>369</v>
      </c>
      <c r="G157" t="s">
        <v>21</v>
      </c>
      <c r="H157" t="s">
        <v>15</v>
      </c>
      <c r="I157" t="s">
        <v>25</v>
      </c>
      <c r="J157" t="s">
        <v>35</v>
      </c>
      <c r="K157">
        <v>54560</v>
      </c>
      <c r="L157">
        <f t="shared" si="10"/>
        <v>5620</v>
      </c>
      <c r="M157">
        <f t="shared" si="8"/>
        <v>44960</v>
      </c>
      <c r="N157">
        <f t="shared" si="9"/>
        <v>9600</v>
      </c>
    </row>
    <row r="158" spans="1:14" x14ac:dyDescent="0.3">
      <c r="A158" t="s">
        <v>370</v>
      </c>
      <c r="B158" t="s">
        <v>52</v>
      </c>
      <c r="C158">
        <v>5</v>
      </c>
      <c r="D158">
        <v>18062</v>
      </c>
      <c r="E158" s="5">
        <v>46280</v>
      </c>
      <c r="F158" t="s">
        <v>371</v>
      </c>
      <c r="G158" t="s">
        <v>21</v>
      </c>
      <c r="H158" t="s">
        <v>15</v>
      </c>
      <c r="I158" t="s">
        <v>34</v>
      </c>
      <c r="J158" t="s">
        <v>17</v>
      </c>
      <c r="K158">
        <v>90310</v>
      </c>
      <c r="L158">
        <f t="shared" si="10"/>
        <v>16862</v>
      </c>
      <c r="M158">
        <f t="shared" si="8"/>
        <v>84310</v>
      </c>
      <c r="N158">
        <f t="shared" si="9"/>
        <v>6000</v>
      </c>
    </row>
    <row r="159" spans="1:14" x14ac:dyDescent="0.3">
      <c r="A159" t="s">
        <v>372</v>
      </c>
      <c r="B159" t="s">
        <v>27</v>
      </c>
      <c r="C159">
        <v>3</v>
      </c>
      <c r="D159">
        <v>18592</v>
      </c>
      <c r="E159" s="5">
        <v>46281</v>
      </c>
      <c r="F159" t="s">
        <v>373</v>
      </c>
      <c r="G159" t="s">
        <v>135</v>
      </c>
      <c r="H159" t="s">
        <v>15</v>
      </c>
      <c r="I159" t="s">
        <v>34</v>
      </c>
      <c r="J159" t="s">
        <v>76</v>
      </c>
      <c r="K159">
        <v>55776</v>
      </c>
      <c r="L159">
        <f t="shared" si="10"/>
        <v>17392</v>
      </c>
      <c r="M159">
        <f t="shared" si="8"/>
        <v>52176</v>
      </c>
      <c r="N159">
        <f t="shared" si="9"/>
        <v>3600</v>
      </c>
    </row>
    <row r="160" spans="1:14" x14ac:dyDescent="0.3">
      <c r="A160" t="s">
        <v>374</v>
      </c>
      <c r="B160" t="s">
        <v>12</v>
      </c>
      <c r="C160">
        <v>1</v>
      </c>
      <c r="D160">
        <v>4233</v>
      </c>
      <c r="E160" s="5">
        <v>46282</v>
      </c>
      <c r="F160" t="s">
        <v>375</v>
      </c>
      <c r="G160" t="s">
        <v>21</v>
      </c>
      <c r="H160" t="s">
        <v>15</v>
      </c>
      <c r="I160" t="s">
        <v>16</v>
      </c>
      <c r="J160" t="s">
        <v>35</v>
      </c>
      <c r="K160">
        <v>4233</v>
      </c>
      <c r="L160">
        <f t="shared" si="10"/>
        <v>3033</v>
      </c>
      <c r="M160">
        <f t="shared" si="8"/>
        <v>3033</v>
      </c>
      <c r="N160">
        <f t="shared" si="9"/>
        <v>1200</v>
      </c>
    </row>
    <row r="161" spans="1:14" x14ac:dyDescent="0.3">
      <c r="A161" t="s">
        <v>376</v>
      </c>
      <c r="B161" t="s">
        <v>52</v>
      </c>
      <c r="C161">
        <v>9</v>
      </c>
      <c r="D161">
        <v>18005</v>
      </c>
      <c r="E161" s="5">
        <v>46283</v>
      </c>
      <c r="F161" t="s">
        <v>377</v>
      </c>
      <c r="G161" t="s">
        <v>91</v>
      </c>
      <c r="H161" t="s">
        <v>15</v>
      </c>
      <c r="I161" t="s">
        <v>25</v>
      </c>
      <c r="J161" t="s">
        <v>50</v>
      </c>
      <c r="K161">
        <v>162045</v>
      </c>
      <c r="L161">
        <f t="shared" si="10"/>
        <v>16805</v>
      </c>
      <c r="M161">
        <f t="shared" si="8"/>
        <v>151245</v>
      </c>
      <c r="N161">
        <f t="shared" si="9"/>
        <v>10800</v>
      </c>
    </row>
    <row r="162" spans="1:14" x14ac:dyDescent="0.3">
      <c r="A162" t="s">
        <v>378</v>
      </c>
      <c r="B162" t="s">
        <v>19</v>
      </c>
      <c r="C162">
        <v>3</v>
      </c>
      <c r="D162">
        <v>4326</v>
      </c>
      <c r="E162" s="5">
        <v>46284</v>
      </c>
      <c r="F162" t="s">
        <v>379</v>
      </c>
      <c r="G162" t="s">
        <v>21</v>
      </c>
      <c r="H162" t="s">
        <v>15</v>
      </c>
      <c r="I162" t="s">
        <v>16</v>
      </c>
      <c r="J162" t="s">
        <v>17</v>
      </c>
      <c r="K162">
        <v>12978</v>
      </c>
      <c r="L162">
        <f t="shared" si="10"/>
        <v>3126</v>
      </c>
      <c r="M162">
        <f t="shared" si="8"/>
        <v>9378</v>
      </c>
      <c r="N162">
        <f t="shared" si="9"/>
        <v>3600</v>
      </c>
    </row>
    <row r="163" spans="1:14" x14ac:dyDescent="0.3">
      <c r="A163" t="s">
        <v>380</v>
      </c>
      <c r="B163" t="s">
        <v>71</v>
      </c>
      <c r="C163">
        <v>8</v>
      </c>
      <c r="D163">
        <v>19800</v>
      </c>
      <c r="E163" s="5">
        <v>46285</v>
      </c>
      <c r="F163" t="s">
        <v>381</v>
      </c>
      <c r="G163" t="s">
        <v>42</v>
      </c>
      <c r="H163" t="s">
        <v>15</v>
      </c>
      <c r="I163" t="s">
        <v>16</v>
      </c>
      <c r="J163" t="s">
        <v>76</v>
      </c>
      <c r="K163">
        <v>158400</v>
      </c>
      <c r="L163">
        <f t="shared" si="10"/>
        <v>18600</v>
      </c>
      <c r="M163">
        <f t="shared" si="8"/>
        <v>148800</v>
      </c>
      <c r="N163">
        <f t="shared" si="9"/>
        <v>9600</v>
      </c>
    </row>
    <row r="164" spans="1:14" x14ac:dyDescent="0.3">
      <c r="A164" t="s">
        <v>382</v>
      </c>
      <c r="B164" t="s">
        <v>19</v>
      </c>
      <c r="C164">
        <v>9</v>
      </c>
      <c r="D164">
        <v>3193</v>
      </c>
      <c r="E164" s="5">
        <v>46286</v>
      </c>
      <c r="F164" t="s">
        <v>383</v>
      </c>
      <c r="G164" t="s">
        <v>46</v>
      </c>
      <c r="H164" t="s">
        <v>15</v>
      </c>
      <c r="I164" t="s">
        <v>25</v>
      </c>
      <c r="J164" t="s">
        <v>50</v>
      </c>
      <c r="K164">
        <v>28737</v>
      </c>
      <c r="L164">
        <f t="shared" si="10"/>
        <v>1993</v>
      </c>
      <c r="M164">
        <f t="shared" si="8"/>
        <v>17937</v>
      </c>
      <c r="N164">
        <f t="shared" si="9"/>
        <v>10800</v>
      </c>
    </row>
    <row r="165" spans="1:14" x14ac:dyDescent="0.3">
      <c r="A165" t="s">
        <v>384</v>
      </c>
      <c r="B165" t="s">
        <v>44</v>
      </c>
      <c r="C165">
        <v>5</v>
      </c>
      <c r="D165">
        <v>12058</v>
      </c>
      <c r="E165" s="5">
        <v>46287</v>
      </c>
      <c r="F165" t="s">
        <v>385</v>
      </c>
      <c r="G165" t="s">
        <v>42</v>
      </c>
      <c r="H165" t="s">
        <v>15</v>
      </c>
      <c r="I165" t="s">
        <v>16</v>
      </c>
      <c r="J165" t="s">
        <v>50</v>
      </c>
      <c r="K165">
        <v>60290</v>
      </c>
      <c r="L165">
        <f t="shared" si="10"/>
        <v>10858</v>
      </c>
      <c r="M165">
        <f t="shared" si="8"/>
        <v>54290</v>
      </c>
      <c r="N165">
        <f t="shared" si="9"/>
        <v>6000</v>
      </c>
    </row>
    <row r="166" spans="1:14" x14ac:dyDescent="0.3">
      <c r="A166" t="s">
        <v>386</v>
      </c>
      <c r="B166" t="s">
        <v>31</v>
      </c>
      <c r="C166">
        <v>5</v>
      </c>
      <c r="D166">
        <v>11820</v>
      </c>
      <c r="E166" s="5">
        <v>46288</v>
      </c>
      <c r="F166" t="s">
        <v>387</v>
      </c>
      <c r="G166" t="s">
        <v>14</v>
      </c>
      <c r="H166" t="s">
        <v>15</v>
      </c>
      <c r="I166" t="s">
        <v>34</v>
      </c>
      <c r="J166" t="s">
        <v>47</v>
      </c>
      <c r="K166">
        <v>59100</v>
      </c>
      <c r="L166">
        <f t="shared" si="10"/>
        <v>10620</v>
      </c>
      <c r="M166">
        <f t="shared" si="8"/>
        <v>53100</v>
      </c>
      <c r="N166">
        <f t="shared" si="9"/>
        <v>6000</v>
      </c>
    </row>
    <row r="167" spans="1:14" x14ac:dyDescent="0.3">
      <c r="A167" t="s">
        <v>388</v>
      </c>
      <c r="B167" t="s">
        <v>44</v>
      </c>
      <c r="C167">
        <v>2</v>
      </c>
      <c r="D167">
        <v>17455</v>
      </c>
      <c r="E167" s="5">
        <v>46289</v>
      </c>
      <c r="F167" t="s">
        <v>389</v>
      </c>
      <c r="G167" t="s">
        <v>54</v>
      </c>
      <c r="H167" t="s">
        <v>15</v>
      </c>
      <c r="I167" t="s">
        <v>16</v>
      </c>
      <c r="J167" t="s">
        <v>76</v>
      </c>
      <c r="K167">
        <v>34910</v>
      </c>
      <c r="L167">
        <f t="shared" si="10"/>
        <v>16255</v>
      </c>
      <c r="M167">
        <f t="shared" si="8"/>
        <v>32510</v>
      </c>
      <c r="N167">
        <f t="shared" si="9"/>
        <v>2400</v>
      </c>
    </row>
    <row r="168" spans="1:14" x14ac:dyDescent="0.3">
      <c r="A168" t="s">
        <v>390</v>
      </c>
      <c r="B168" t="s">
        <v>71</v>
      </c>
      <c r="C168">
        <v>8</v>
      </c>
      <c r="D168">
        <v>2907</v>
      </c>
      <c r="E168" s="5">
        <v>46290</v>
      </c>
      <c r="F168" t="s">
        <v>391</v>
      </c>
      <c r="G168" t="s">
        <v>67</v>
      </c>
      <c r="H168" t="s">
        <v>15</v>
      </c>
      <c r="I168" t="s">
        <v>25</v>
      </c>
      <c r="J168" t="s">
        <v>76</v>
      </c>
      <c r="K168">
        <v>23256</v>
      </c>
      <c r="L168">
        <f t="shared" si="10"/>
        <v>1707</v>
      </c>
      <c r="M168">
        <f t="shared" si="8"/>
        <v>13656</v>
      </c>
      <c r="N168">
        <f t="shared" si="9"/>
        <v>9600</v>
      </c>
    </row>
    <row r="169" spans="1:14" x14ac:dyDescent="0.3">
      <c r="A169" t="s">
        <v>392</v>
      </c>
      <c r="B169" t="s">
        <v>52</v>
      </c>
      <c r="C169">
        <v>7</v>
      </c>
      <c r="D169">
        <v>18475</v>
      </c>
      <c r="E169" s="5">
        <v>46291</v>
      </c>
      <c r="F169" t="s">
        <v>393</v>
      </c>
      <c r="G169" t="s">
        <v>91</v>
      </c>
      <c r="H169" t="s">
        <v>15</v>
      </c>
      <c r="I169" t="s">
        <v>25</v>
      </c>
      <c r="J169" t="s">
        <v>17</v>
      </c>
      <c r="K169">
        <v>129325</v>
      </c>
      <c r="L169">
        <f t="shared" si="10"/>
        <v>17275</v>
      </c>
      <c r="M169">
        <f t="shared" si="8"/>
        <v>120925</v>
      </c>
      <c r="N169">
        <f t="shared" si="9"/>
        <v>8400</v>
      </c>
    </row>
    <row r="170" spans="1:14" x14ac:dyDescent="0.3">
      <c r="A170" t="s">
        <v>394</v>
      </c>
      <c r="B170" t="s">
        <v>44</v>
      </c>
      <c r="C170">
        <v>5</v>
      </c>
      <c r="D170">
        <v>14871</v>
      </c>
      <c r="E170" s="5">
        <v>46292</v>
      </c>
      <c r="F170" t="s">
        <v>395</v>
      </c>
      <c r="G170" t="s">
        <v>67</v>
      </c>
      <c r="H170" t="s">
        <v>15</v>
      </c>
      <c r="I170" t="s">
        <v>25</v>
      </c>
      <c r="J170" t="s">
        <v>35</v>
      </c>
      <c r="K170">
        <v>74355</v>
      </c>
      <c r="L170">
        <f t="shared" si="10"/>
        <v>13671</v>
      </c>
      <c r="M170">
        <f t="shared" si="8"/>
        <v>68355</v>
      </c>
      <c r="N170">
        <f t="shared" si="9"/>
        <v>6000</v>
      </c>
    </row>
    <row r="171" spans="1:14" x14ac:dyDescent="0.3">
      <c r="A171" t="s">
        <v>396</v>
      </c>
      <c r="B171" t="s">
        <v>62</v>
      </c>
      <c r="C171">
        <v>2</v>
      </c>
      <c r="D171">
        <v>17223</v>
      </c>
      <c r="E171" s="5">
        <v>46293</v>
      </c>
      <c r="F171" t="s">
        <v>397</v>
      </c>
      <c r="G171" t="s">
        <v>46</v>
      </c>
      <c r="H171" t="s">
        <v>15</v>
      </c>
      <c r="I171" t="s">
        <v>34</v>
      </c>
      <c r="J171" t="s">
        <v>17</v>
      </c>
      <c r="K171">
        <v>34446</v>
      </c>
      <c r="L171">
        <f t="shared" si="10"/>
        <v>16023</v>
      </c>
      <c r="M171">
        <f t="shared" si="8"/>
        <v>32046</v>
      </c>
      <c r="N171">
        <f t="shared" si="9"/>
        <v>2400</v>
      </c>
    </row>
    <row r="172" spans="1:14" x14ac:dyDescent="0.3">
      <c r="A172" t="s">
        <v>398</v>
      </c>
      <c r="B172" t="s">
        <v>59</v>
      </c>
      <c r="C172">
        <v>6</v>
      </c>
      <c r="D172">
        <v>3097</v>
      </c>
      <c r="E172" s="5">
        <v>46294</v>
      </c>
      <c r="F172" t="s">
        <v>399</v>
      </c>
      <c r="G172" t="s">
        <v>46</v>
      </c>
      <c r="H172" t="s">
        <v>15</v>
      </c>
      <c r="I172" t="s">
        <v>25</v>
      </c>
      <c r="J172" t="s">
        <v>47</v>
      </c>
      <c r="K172">
        <v>18582</v>
      </c>
      <c r="L172">
        <f t="shared" si="10"/>
        <v>1897</v>
      </c>
      <c r="M172">
        <f t="shared" si="8"/>
        <v>11382</v>
      </c>
      <c r="N172">
        <f t="shared" si="9"/>
        <v>7200</v>
      </c>
    </row>
    <row r="173" spans="1:14" x14ac:dyDescent="0.3">
      <c r="A173" t="s">
        <v>400</v>
      </c>
      <c r="B173" t="s">
        <v>19</v>
      </c>
      <c r="C173">
        <v>8</v>
      </c>
      <c r="D173">
        <v>14428</v>
      </c>
      <c r="E173" s="5">
        <v>46295</v>
      </c>
      <c r="F173" t="s">
        <v>401</v>
      </c>
      <c r="G173" t="s">
        <v>101</v>
      </c>
      <c r="H173" t="s">
        <v>15</v>
      </c>
      <c r="I173" t="s">
        <v>25</v>
      </c>
      <c r="J173" t="s">
        <v>35</v>
      </c>
      <c r="K173">
        <v>115424</v>
      </c>
      <c r="L173">
        <f t="shared" si="10"/>
        <v>13228</v>
      </c>
      <c r="M173">
        <f t="shared" si="8"/>
        <v>105824</v>
      </c>
      <c r="N173">
        <f t="shared" si="9"/>
        <v>9600</v>
      </c>
    </row>
    <row r="174" spans="1:14" x14ac:dyDescent="0.3">
      <c r="A174" t="s">
        <v>402</v>
      </c>
      <c r="B174" t="s">
        <v>40</v>
      </c>
      <c r="C174">
        <v>2</v>
      </c>
      <c r="D174">
        <v>4792</v>
      </c>
      <c r="E174" s="5">
        <v>46296</v>
      </c>
      <c r="F174" t="s">
        <v>403</v>
      </c>
      <c r="G174" t="s">
        <v>64</v>
      </c>
      <c r="H174" t="s">
        <v>15</v>
      </c>
      <c r="I174" t="s">
        <v>34</v>
      </c>
      <c r="J174" t="s">
        <v>76</v>
      </c>
      <c r="K174">
        <v>9584</v>
      </c>
      <c r="L174">
        <f t="shared" si="10"/>
        <v>3592</v>
      </c>
      <c r="M174">
        <f t="shared" si="8"/>
        <v>7184</v>
      </c>
      <c r="N174">
        <f t="shared" si="9"/>
        <v>2400</v>
      </c>
    </row>
    <row r="175" spans="1:14" x14ac:dyDescent="0.3">
      <c r="A175" t="s">
        <v>404</v>
      </c>
      <c r="B175" t="s">
        <v>59</v>
      </c>
      <c r="C175">
        <v>4</v>
      </c>
      <c r="D175">
        <v>16317</v>
      </c>
      <c r="E175" s="5">
        <v>45932</v>
      </c>
      <c r="F175" t="s">
        <v>405</v>
      </c>
      <c r="G175" t="s">
        <v>91</v>
      </c>
      <c r="H175" t="s">
        <v>15</v>
      </c>
      <c r="I175" t="s">
        <v>16</v>
      </c>
      <c r="J175" t="s">
        <v>17</v>
      </c>
      <c r="K175">
        <v>65268</v>
      </c>
      <c r="L175">
        <f t="shared" si="10"/>
        <v>15117</v>
      </c>
      <c r="M175">
        <f t="shared" si="8"/>
        <v>60468</v>
      </c>
      <c r="N175">
        <f t="shared" si="9"/>
        <v>4800</v>
      </c>
    </row>
    <row r="176" spans="1:14" x14ac:dyDescent="0.3">
      <c r="A176" t="s">
        <v>406</v>
      </c>
      <c r="B176" t="s">
        <v>44</v>
      </c>
      <c r="C176">
        <v>6</v>
      </c>
      <c r="D176">
        <v>13791</v>
      </c>
      <c r="E176" s="5">
        <v>45933</v>
      </c>
      <c r="F176" t="s">
        <v>407</v>
      </c>
      <c r="G176" t="s">
        <v>54</v>
      </c>
      <c r="H176" t="s">
        <v>15</v>
      </c>
      <c r="I176" t="s">
        <v>16</v>
      </c>
      <c r="J176" t="s">
        <v>47</v>
      </c>
      <c r="K176">
        <v>82746</v>
      </c>
      <c r="L176">
        <f t="shared" si="10"/>
        <v>12591</v>
      </c>
      <c r="M176">
        <f t="shared" si="8"/>
        <v>75546</v>
      </c>
      <c r="N176">
        <f t="shared" si="9"/>
        <v>7200</v>
      </c>
    </row>
    <row r="177" spans="1:14" x14ac:dyDescent="0.3">
      <c r="A177" t="s">
        <v>408</v>
      </c>
      <c r="B177" t="s">
        <v>62</v>
      </c>
      <c r="C177">
        <v>8</v>
      </c>
      <c r="D177">
        <v>11220</v>
      </c>
      <c r="E177" s="5">
        <v>45934</v>
      </c>
      <c r="F177" t="s">
        <v>409</v>
      </c>
      <c r="G177" t="s">
        <v>29</v>
      </c>
      <c r="H177" t="s">
        <v>15</v>
      </c>
      <c r="I177" t="s">
        <v>16</v>
      </c>
      <c r="J177" t="s">
        <v>17</v>
      </c>
      <c r="K177">
        <v>89760</v>
      </c>
      <c r="L177">
        <f t="shared" si="10"/>
        <v>10020</v>
      </c>
      <c r="M177">
        <f t="shared" si="8"/>
        <v>80160</v>
      </c>
      <c r="N177">
        <f t="shared" si="9"/>
        <v>9600</v>
      </c>
    </row>
    <row r="178" spans="1:14" x14ac:dyDescent="0.3">
      <c r="A178" t="s">
        <v>410</v>
      </c>
      <c r="B178" t="s">
        <v>40</v>
      </c>
      <c r="C178">
        <v>4</v>
      </c>
      <c r="D178">
        <v>3716</v>
      </c>
      <c r="E178" s="5">
        <v>45935</v>
      </c>
      <c r="F178" t="s">
        <v>411</v>
      </c>
      <c r="G178" t="s">
        <v>57</v>
      </c>
      <c r="H178" t="s">
        <v>15</v>
      </c>
      <c r="I178" t="s">
        <v>25</v>
      </c>
      <c r="J178" t="s">
        <v>35</v>
      </c>
      <c r="K178">
        <v>14864</v>
      </c>
      <c r="L178">
        <f t="shared" si="10"/>
        <v>2516</v>
      </c>
      <c r="M178">
        <f t="shared" si="8"/>
        <v>10064</v>
      </c>
      <c r="N178">
        <f t="shared" si="9"/>
        <v>4800</v>
      </c>
    </row>
    <row r="179" spans="1:14" x14ac:dyDescent="0.3">
      <c r="A179" t="s">
        <v>412</v>
      </c>
      <c r="B179" t="s">
        <v>44</v>
      </c>
      <c r="C179">
        <v>7</v>
      </c>
      <c r="D179">
        <v>16402</v>
      </c>
      <c r="E179" s="5">
        <v>45936</v>
      </c>
      <c r="F179" t="s">
        <v>413</v>
      </c>
      <c r="G179" t="s">
        <v>194</v>
      </c>
      <c r="H179" t="s">
        <v>15</v>
      </c>
      <c r="I179" t="s">
        <v>16</v>
      </c>
      <c r="J179" t="s">
        <v>47</v>
      </c>
      <c r="K179">
        <v>114814</v>
      </c>
      <c r="L179">
        <f t="shared" si="10"/>
        <v>15202</v>
      </c>
      <c r="M179">
        <f t="shared" si="8"/>
        <v>106414</v>
      </c>
      <c r="N179">
        <f t="shared" si="9"/>
        <v>8400</v>
      </c>
    </row>
    <row r="180" spans="1:14" x14ac:dyDescent="0.3">
      <c r="A180" t="s">
        <v>414</v>
      </c>
      <c r="B180" t="s">
        <v>19</v>
      </c>
      <c r="C180">
        <v>7</v>
      </c>
      <c r="D180">
        <v>9533</v>
      </c>
      <c r="E180" s="5">
        <v>45937</v>
      </c>
      <c r="F180" t="s">
        <v>415</v>
      </c>
      <c r="G180" t="s">
        <v>135</v>
      </c>
      <c r="H180" t="s">
        <v>15</v>
      </c>
      <c r="I180" t="s">
        <v>16</v>
      </c>
      <c r="J180" t="s">
        <v>17</v>
      </c>
      <c r="K180">
        <v>66731</v>
      </c>
      <c r="L180">
        <f t="shared" si="10"/>
        <v>8333</v>
      </c>
      <c r="M180">
        <f t="shared" si="8"/>
        <v>58331</v>
      </c>
      <c r="N180">
        <f t="shared" si="9"/>
        <v>8400</v>
      </c>
    </row>
    <row r="181" spans="1:14" x14ac:dyDescent="0.3">
      <c r="A181" t="s">
        <v>416</v>
      </c>
      <c r="B181" t="s">
        <v>62</v>
      </c>
      <c r="C181">
        <v>8</v>
      </c>
      <c r="D181">
        <v>5333</v>
      </c>
      <c r="E181" s="5">
        <v>45938</v>
      </c>
      <c r="F181" t="s">
        <v>417</v>
      </c>
      <c r="G181" t="s">
        <v>166</v>
      </c>
      <c r="H181" t="s">
        <v>15</v>
      </c>
      <c r="I181" t="s">
        <v>34</v>
      </c>
      <c r="J181" t="s">
        <v>17</v>
      </c>
      <c r="K181">
        <v>42664</v>
      </c>
      <c r="L181">
        <f t="shared" si="10"/>
        <v>4133</v>
      </c>
      <c r="M181">
        <f t="shared" si="8"/>
        <v>33064</v>
      </c>
      <c r="N181">
        <f t="shared" si="9"/>
        <v>9600</v>
      </c>
    </row>
    <row r="182" spans="1:14" x14ac:dyDescent="0.3">
      <c r="A182" t="s">
        <v>418</v>
      </c>
      <c r="B182" t="s">
        <v>62</v>
      </c>
      <c r="C182">
        <v>2</v>
      </c>
      <c r="D182">
        <v>10527</v>
      </c>
      <c r="E182" s="5">
        <v>45939</v>
      </c>
      <c r="F182" t="s">
        <v>419</v>
      </c>
      <c r="G182" t="s">
        <v>111</v>
      </c>
      <c r="H182" t="s">
        <v>15</v>
      </c>
      <c r="I182" t="s">
        <v>34</v>
      </c>
      <c r="J182" t="s">
        <v>76</v>
      </c>
      <c r="K182">
        <v>21054</v>
      </c>
      <c r="L182">
        <f t="shared" si="10"/>
        <v>9327</v>
      </c>
      <c r="M182">
        <f t="shared" si="8"/>
        <v>18654</v>
      </c>
      <c r="N182">
        <f t="shared" si="9"/>
        <v>2400</v>
      </c>
    </row>
    <row r="183" spans="1:14" x14ac:dyDescent="0.3">
      <c r="A183" t="s">
        <v>420</v>
      </c>
      <c r="B183" t="s">
        <v>52</v>
      </c>
      <c r="C183">
        <v>7</v>
      </c>
      <c r="D183">
        <v>14111</v>
      </c>
      <c r="E183" s="5">
        <v>45940</v>
      </c>
      <c r="F183" t="s">
        <v>421</v>
      </c>
      <c r="G183" t="s">
        <v>24</v>
      </c>
      <c r="H183" t="s">
        <v>15</v>
      </c>
      <c r="I183" t="s">
        <v>34</v>
      </c>
      <c r="J183" t="s">
        <v>47</v>
      </c>
      <c r="K183">
        <v>98777</v>
      </c>
      <c r="L183">
        <f t="shared" si="10"/>
        <v>12911</v>
      </c>
      <c r="M183">
        <f t="shared" si="8"/>
        <v>90377</v>
      </c>
      <c r="N183">
        <f t="shared" si="9"/>
        <v>8400</v>
      </c>
    </row>
    <row r="184" spans="1:14" x14ac:dyDescent="0.3">
      <c r="A184" t="s">
        <v>422</v>
      </c>
      <c r="B184" t="s">
        <v>19</v>
      </c>
      <c r="C184">
        <v>1</v>
      </c>
      <c r="D184">
        <v>17321</v>
      </c>
      <c r="E184" s="5">
        <v>45941</v>
      </c>
      <c r="F184" t="s">
        <v>423</v>
      </c>
      <c r="G184" t="s">
        <v>14</v>
      </c>
      <c r="H184" t="s">
        <v>15</v>
      </c>
      <c r="I184" t="s">
        <v>25</v>
      </c>
      <c r="J184" t="s">
        <v>50</v>
      </c>
      <c r="K184">
        <v>17321</v>
      </c>
      <c r="L184">
        <f t="shared" si="10"/>
        <v>16121</v>
      </c>
      <c r="M184">
        <f t="shared" si="8"/>
        <v>16121</v>
      </c>
      <c r="N184">
        <f t="shared" si="9"/>
        <v>1200</v>
      </c>
    </row>
    <row r="185" spans="1:14" x14ac:dyDescent="0.3">
      <c r="A185" t="s">
        <v>424</v>
      </c>
      <c r="B185" t="s">
        <v>52</v>
      </c>
      <c r="C185">
        <v>4</v>
      </c>
      <c r="D185">
        <v>2662</v>
      </c>
      <c r="E185" s="5">
        <v>45942</v>
      </c>
      <c r="F185" t="s">
        <v>425</v>
      </c>
      <c r="G185" t="s">
        <v>199</v>
      </c>
      <c r="H185" t="s">
        <v>15</v>
      </c>
      <c r="I185" t="s">
        <v>25</v>
      </c>
      <c r="J185" t="s">
        <v>35</v>
      </c>
      <c r="K185">
        <v>10648</v>
      </c>
      <c r="L185">
        <f t="shared" si="10"/>
        <v>1462</v>
      </c>
      <c r="M185">
        <f t="shared" si="8"/>
        <v>5848</v>
      </c>
      <c r="N185">
        <f t="shared" si="9"/>
        <v>4800</v>
      </c>
    </row>
    <row r="186" spans="1:14" x14ac:dyDescent="0.3">
      <c r="A186" t="s">
        <v>426</v>
      </c>
      <c r="B186" t="s">
        <v>31</v>
      </c>
      <c r="C186">
        <v>9</v>
      </c>
      <c r="D186">
        <v>16809</v>
      </c>
      <c r="E186" s="5">
        <v>45943</v>
      </c>
      <c r="F186" t="s">
        <v>427</v>
      </c>
      <c r="G186" t="s">
        <v>124</v>
      </c>
      <c r="H186" t="s">
        <v>15</v>
      </c>
      <c r="I186" t="s">
        <v>34</v>
      </c>
      <c r="J186" t="s">
        <v>35</v>
      </c>
      <c r="K186">
        <v>151281</v>
      </c>
      <c r="L186">
        <f>D186-2000</f>
        <v>14809</v>
      </c>
      <c r="M186">
        <f t="shared" si="8"/>
        <v>133281</v>
      </c>
      <c r="N186">
        <f t="shared" si="9"/>
        <v>18000</v>
      </c>
    </row>
    <row r="187" spans="1:14" x14ac:dyDescent="0.3">
      <c r="A187" t="s">
        <v>428</v>
      </c>
      <c r="B187" t="s">
        <v>27</v>
      </c>
      <c r="C187">
        <v>5</v>
      </c>
      <c r="D187">
        <v>11433</v>
      </c>
      <c r="E187" s="5">
        <v>45944</v>
      </c>
      <c r="F187" t="s">
        <v>429</v>
      </c>
      <c r="G187" t="s">
        <v>142</v>
      </c>
      <c r="H187" t="s">
        <v>15</v>
      </c>
      <c r="I187" t="s">
        <v>16</v>
      </c>
      <c r="J187" t="s">
        <v>47</v>
      </c>
      <c r="K187">
        <v>57165</v>
      </c>
      <c r="L187">
        <f t="shared" ref="L187:L220" si="11">D187-2000</f>
        <v>9433</v>
      </c>
      <c r="M187">
        <f t="shared" si="8"/>
        <v>47165</v>
      </c>
      <c r="N187">
        <f t="shared" si="9"/>
        <v>10000</v>
      </c>
    </row>
    <row r="188" spans="1:14" x14ac:dyDescent="0.3">
      <c r="A188" t="s">
        <v>430</v>
      </c>
      <c r="B188" t="s">
        <v>40</v>
      </c>
      <c r="C188">
        <v>2</v>
      </c>
      <c r="D188">
        <v>9998</v>
      </c>
      <c r="E188" s="5">
        <v>45945</v>
      </c>
      <c r="F188" t="s">
        <v>431</v>
      </c>
      <c r="G188" t="s">
        <v>159</v>
      </c>
      <c r="H188" t="s">
        <v>15</v>
      </c>
      <c r="I188" t="s">
        <v>25</v>
      </c>
      <c r="J188" t="s">
        <v>35</v>
      </c>
      <c r="K188">
        <v>19996</v>
      </c>
      <c r="L188">
        <f t="shared" si="11"/>
        <v>7998</v>
      </c>
      <c r="M188">
        <f t="shared" si="8"/>
        <v>15996</v>
      </c>
      <c r="N188">
        <f t="shared" si="9"/>
        <v>4000</v>
      </c>
    </row>
    <row r="189" spans="1:14" x14ac:dyDescent="0.3">
      <c r="A189" t="s">
        <v>432</v>
      </c>
      <c r="B189" t="s">
        <v>31</v>
      </c>
      <c r="C189">
        <v>5</v>
      </c>
      <c r="D189">
        <v>10989</v>
      </c>
      <c r="E189" s="5">
        <v>45946</v>
      </c>
      <c r="F189" t="s">
        <v>433</v>
      </c>
      <c r="G189" t="s">
        <v>38</v>
      </c>
      <c r="H189" t="s">
        <v>15</v>
      </c>
      <c r="I189" t="s">
        <v>16</v>
      </c>
      <c r="J189" t="s">
        <v>50</v>
      </c>
      <c r="K189">
        <v>54945</v>
      </c>
      <c r="L189">
        <f t="shared" si="11"/>
        <v>8989</v>
      </c>
      <c r="M189">
        <f t="shared" si="8"/>
        <v>44945</v>
      </c>
      <c r="N189">
        <f t="shared" si="9"/>
        <v>10000</v>
      </c>
    </row>
    <row r="190" spans="1:14" x14ac:dyDescent="0.3">
      <c r="A190" t="s">
        <v>434</v>
      </c>
      <c r="B190" t="s">
        <v>40</v>
      </c>
      <c r="C190">
        <v>6</v>
      </c>
      <c r="D190">
        <v>11993</v>
      </c>
      <c r="E190" s="5">
        <v>45947</v>
      </c>
      <c r="F190" t="s">
        <v>435</v>
      </c>
      <c r="G190" t="s">
        <v>79</v>
      </c>
      <c r="H190" t="s">
        <v>15</v>
      </c>
      <c r="I190" t="s">
        <v>16</v>
      </c>
      <c r="J190" t="s">
        <v>76</v>
      </c>
      <c r="K190">
        <v>71958</v>
      </c>
      <c r="L190">
        <f t="shared" si="11"/>
        <v>9993</v>
      </c>
      <c r="M190">
        <f t="shared" si="8"/>
        <v>59958</v>
      </c>
      <c r="N190">
        <f t="shared" si="9"/>
        <v>12000</v>
      </c>
    </row>
    <row r="191" spans="1:14" x14ac:dyDescent="0.3">
      <c r="A191" t="s">
        <v>436</v>
      </c>
      <c r="B191" t="s">
        <v>62</v>
      </c>
      <c r="C191">
        <v>1</v>
      </c>
      <c r="D191">
        <v>13133</v>
      </c>
      <c r="E191" s="5">
        <v>45948</v>
      </c>
      <c r="F191" t="s">
        <v>437</v>
      </c>
      <c r="G191" t="s">
        <v>21</v>
      </c>
      <c r="H191" t="s">
        <v>15</v>
      </c>
      <c r="I191" t="s">
        <v>16</v>
      </c>
      <c r="J191" t="s">
        <v>76</v>
      </c>
      <c r="K191">
        <v>13133</v>
      </c>
      <c r="L191">
        <f t="shared" si="11"/>
        <v>11133</v>
      </c>
      <c r="M191">
        <f t="shared" si="8"/>
        <v>11133</v>
      </c>
      <c r="N191">
        <f t="shared" si="9"/>
        <v>2000</v>
      </c>
    </row>
    <row r="192" spans="1:14" x14ac:dyDescent="0.3">
      <c r="A192" t="s">
        <v>438</v>
      </c>
      <c r="B192" t="s">
        <v>44</v>
      </c>
      <c r="C192">
        <v>4</v>
      </c>
      <c r="D192">
        <v>13111</v>
      </c>
      <c r="E192" s="5">
        <v>45949</v>
      </c>
      <c r="F192" t="s">
        <v>439</v>
      </c>
      <c r="G192" t="s">
        <v>159</v>
      </c>
      <c r="H192" t="s">
        <v>15</v>
      </c>
      <c r="I192" t="s">
        <v>16</v>
      </c>
      <c r="J192" t="s">
        <v>50</v>
      </c>
      <c r="K192">
        <v>52444</v>
      </c>
      <c r="L192">
        <f t="shared" si="11"/>
        <v>11111</v>
      </c>
      <c r="M192">
        <f t="shared" si="8"/>
        <v>44444</v>
      </c>
      <c r="N192">
        <f t="shared" si="9"/>
        <v>8000</v>
      </c>
    </row>
    <row r="193" spans="1:14" x14ac:dyDescent="0.3">
      <c r="A193" t="s">
        <v>440</v>
      </c>
      <c r="B193" t="s">
        <v>62</v>
      </c>
      <c r="C193">
        <v>2</v>
      </c>
      <c r="D193">
        <v>5794</v>
      </c>
      <c r="E193" s="5">
        <v>45950</v>
      </c>
      <c r="F193" t="s">
        <v>441</v>
      </c>
      <c r="G193" t="s">
        <v>142</v>
      </c>
      <c r="H193" t="s">
        <v>15</v>
      </c>
      <c r="I193" t="s">
        <v>25</v>
      </c>
      <c r="J193" t="s">
        <v>50</v>
      </c>
      <c r="K193">
        <v>11588</v>
      </c>
      <c r="L193">
        <f t="shared" si="11"/>
        <v>3794</v>
      </c>
      <c r="M193">
        <f t="shared" si="8"/>
        <v>7588</v>
      </c>
      <c r="N193">
        <f t="shared" si="9"/>
        <v>4000</v>
      </c>
    </row>
    <row r="194" spans="1:14" x14ac:dyDescent="0.3">
      <c r="A194" t="s">
        <v>442</v>
      </c>
      <c r="B194" t="s">
        <v>62</v>
      </c>
      <c r="C194">
        <v>5</v>
      </c>
      <c r="D194">
        <v>9752</v>
      </c>
      <c r="E194" s="5">
        <v>45951</v>
      </c>
      <c r="F194" t="s">
        <v>443</v>
      </c>
      <c r="G194" t="s">
        <v>111</v>
      </c>
      <c r="H194" t="s">
        <v>15</v>
      </c>
      <c r="I194" t="s">
        <v>34</v>
      </c>
      <c r="J194" t="s">
        <v>17</v>
      </c>
      <c r="K194">
        <v>48760</v>
      </c>
      <c r="L194">
        <f t="shared" si="11"/>
        <v>7752</v>
      </c>
      <c r="M194">
        <f t="shared" si="8"/>
        <v>38760</v>
      </c>
      <c r="N194">
        <f t="shared" si="9"/>
        <v>10000</v>
      </c>
    </row>
    <row r="195" spans="1:14" x14ac:dyDescent="0.3">
      <c r="A195" t="s">
        <v>444</v>
      </c>
      <c r="B195" t="s">
        <v>19</v>
      </c>
      <c r="C195">
        <v>5</v>
      </c>
      <c r="D195">
        <v>18639</v>
      </c>
      <c r="E195" s="5">
        <v>45952</v>
      </c>
      <c r="F195" t="s">
        <v>445</v>
      </c>
      <c r="G195" t="s">
        <v>54</v>
      </c>
      <c r="H195" t="s">
        <v>15</v>
      </c>
      <c r="I195" t="s">
        <v>34</v>
      </c>
      <c r="J195" t="s">
        <v>50</v>
      </c>
      <c r="K195">
        <v>93195</v>
      </c>
      <c r="L195">
        <f t="shared" si="11"/>
        <v>16639</v>
      </c>
      <c r="M195">
        <f t="shared" ref="M195:M258" si="12">L195*C195</f>
        <v>83195</v>
      </c>
      <c r="N195">
        <f t="shared" ref="N195:N258" si="13">K195-M195</f>
        <v>10000</v>
      </c>
    </row>
    <row r="196" spans="1:14" x14ac:dyDescent="0.3">
      <c r="A196" t="s">
        <v>446</v>
      </c>
      <c r="B196" t="s">
        <v>40</v>
      </c>
      <c r="C196">
        <v>5</v>
      </c>
      <c r="D196">
        <v>8770</v>
      </c>
      <c r="E196" s="5">
        <v>45953</v>
      </c>
      <c r="F196" t="s">
        <v>447</v>
      </c>
      <c r="G196" t="s">
        <v>64</v>
      </c>
      <c r="H196" t="s">
        <v>15</v>
      </c>
      <c r="I196" t="s">
        <v>34</v>
      </c>
      <c r="J196" t="s">
        <v>17</v>
      </c>
      <c r="K196">
        <v>43850</v>
      </c>
      <c r="L196">
        <f t="shared" si="11"/>
        <v>6770</v>
      </c>
      <c r="M196">
        <f t="shared" si="12"/>
        <v>33850</v>
      </c>
      <c r="N196">
        <f t="shared" si="13"/>
        <v>10000</v>
      </c>
    </row>
    <row r="197" spans="1:14" x14ac:dyDescent="0.3">
      <c r="A197" t="s">
        <v>448</v>
      </c>
      <c r="B197" t="s">
        <v>71</v>
      </c>
      <c r="C197">
        <v>1</v>
      </c>
      <c r="D197">
        <v>8385</v>
      </c>
      <c r="E197" s="5">
        <v>45954</v>
      </c>
      <c r="F197" t="s">
        <v>449</v>
      </c>
      <c r="G197" t="s">
        <v>14</v>
      </c>
      <c r="H197" t="s">
        <v>15</v>
      </c>
      <c r="I197" t="s">
        <v>16</v>
      </c>
      <c r="J197" t="s">
        <v>35</v>
      </c>
      <c r="K197">
        <v>8385</v>
      </c>
      <c r="L197">
        <f t="shared" si="11"/>
        <v>6385</v>
      </c>
      <c r="M197">
        <f t="shared" si="12"/>
        <v>6385</v>
      </c>
      <c r="N197">
        <f t="shared" si="13"/>
        <v>2000</v>
      </c>
    </row>
    <row r="198" spans="1:14" x14ac:dyDescent="0.3">
      <c r="A198" t="s">
        <v>450</v>
      </c>
      <c r="B198" t="s">
        <v>19</v>
      </c>
      <c r="C198">
        <v>1</v>
      </c>
      <c r="D198">
        <v>11527</v>
      </c>
      <c r="E198" s="5">
        <v>45955</v>
      </c>
      <c r="F198" t="s">
        <v>451</v>
      </c>
      <c r="G198" t="s">
        <v>159</v>
      </c>
      <c r="H198" t="s">
        <v>15</v>
      </c>
      <c r="I198" t="s">
        <v>34</v>
      </c>
      <c r="J198" t="s">
        <v>35</v>
      </c>
      <c r="K198">
        <v>11527</v>
      </c>
      <c r="L198">
        <f t="shared" si="11"/>
        <v>9527</v>
      </c>
      <c r="M198">
        <f t="shared" si="12"/>
        <v>9527</v>
      </c>
      <c r="N198">
        <f t="shared" si="13"/>
        <v>2000</v>
      </c>
    </row>
    <row r="199" spans="1:14" x14ac:dyDescent="0.3">
      <c r="A199" t="s">
        <v>452</v>
      </c>
      <c r="B199" t="s">
        <v>40</v>
      </c>
      <c r="C199">
        <v>9</v>
      </c>
      <c r="D199">
        <v>18074</v>
      </c>
      <c r="E199" s="5">
        <v>45956</v>
      </c>
      <c r="F199" t="s">
        <v>453</v>
      </c>
      <c r="G199" t="s">
        <v>73</v>
      </c>
      <c r="H199" t="s">
        <v>15</v>
      </c>
      <c r="I199" t="s">
        <v>16</v>
      </c>
      <c r="J199" t="s">
        <v>76</v>
      </c>
      <c r="K199">
        <v>162666</v>
      </c>
      <c r="L199">
        <f t="shared" si="11"/>
        <v>16074</v>
      </c>
      <c r="M199">
        <f t="shared" si="12"/>
        <v>144666</v>
      </c>
      <c r="N199">
        <f t="shared" si="13"/>
        <v>18000</v>
      </c>
    </row>
    <row r="200" spans="1:14" x14ac:dyDescent="0.3">
      <c r="A200" t="s">
        <v>454</v>
      </c>
      <c r="B200" t="s">
        <v>40</v>
      </c>
      <c r="C200">
        <v>5</v>
      </c>
      <c r="D200">
        <v>7400</v>
      </c>
      <c r="E200" s="5">
        <v>45957</v>
      </c>
      <c r="F200" t="s">
        <v>455</v>
      </c>
      <c r="G200" t="s">
        <v>38</v>
      </c>
      <c r="H200" t="s">
        <v>15</v>
      </c>
      <c r="I200" t="s">
        <v>34</v>
      </c>
      <c r="J200" t="s">
        <v>35</v>
      </c>
      <c r="K200">
        <v>37000</v>
      </c>
      <c r="L200">
        <f t="shared" si="11"/>
        <v>5400</v>
      </c>
      <c r="M200">
        <f t="shared" si="12"/>
        <v>27000</v>
      </c>
      <c r="N200">
        <f t="shared" si="13"/>
        <v>10000</v>
      </c>
    </row>
    <row r="201" spans="1:14" x14ac:dyDescent="0.3">
      <c r="A201" t="s">
        <v>456</v>
      </c>
      <c r="B201" t="s">
        <v>31</v>
      </c>
      <c r="C201">
        <v>7</v>
      </c>
      <c r="D201">
        <v>3677</v>
      </c>
      <c r="E201" s="5">
        <v>45958</v>
      </c>
      <c r="F201" t="s">
        <v>457</v>
      </c>
      <c r="G201" t="s">
        <v>42</v>
      </c>
      <c r="H201" t="s">
        <v>15</v>
      </c>
      <c r="I201" t="s">
        <v>25</v>
      </c>
      <c r="J201" t="s">
        <v>17</v>
      </c>
      <c r="K201">
        <v>25739</v>
      </c>
      <c r="L201">
        <f t="shared" si="11"/>
        <v>1677</v>
      </c>
      <c r="M201">
        <f t="shared" si="12"/>
        <v>11739</v>
      </c>
      <c r="N201">
        <f t="shared" si="13"/>
        <v>14000</v>
      </c>
    </row>
    <row r="202" spans="1:14" x14ac:dyDescent="0.3">
      <c r="A202" t="s">
        <v>458</v>
      </c>
      <c r="B202" t="s">
        <v>71</v>
      </c>
      <c r="C202">
        <v>4</v>
      </c>
      <c r="D202">
        <v>8149</v>
      </c>
      <c r="E202" s="5">
        <v>45959</v>
      </c>
      <c r="F202" t="s">
        <v>459</v>
      </c>
      <c r="G202" t="s">
        <v>194</v>
      </c>
      <c r="H202" t="s">
        <v>15</v>
      </c>
      <c r="I202" t="s">
        <v>16</v>
      </c>
      <c r="J202" t="s">
        <v>50</v>
      </c>
      <c r="K202">
        <v>32596</v>
      </c>
      <c r="L202">
        <f t="shared" si="11"/>
        <v>6149</v>
      </c>
      <c r="M202">
        <f t="shared" si="12"/>
        <v>24596</v>
      </c>
      <c r="N202">
        <f t="shared" si="13"/>
        <v>8000</v>
      </c>
    </row>
    <row r="203" spans="1:14" x14ac:dyDescent="0.3">
      <c r="A203" t="s">
        <v>460</v>
      </c>
      <c r="B203" t="s">
        <v>12</v>
      </c>
      <c r="C203">
        <v>4</v>
      </c>
      <c r="D203">
        <v>7735</v>
      </c>
      <c r="E203" s="5">
        <v>45960</v>
      </c>
      <c r="F203" t="s">
        <v>461</v>
      </c>
      <c r="G203" t="s">
        <v>82</v>
      </c>
      <c r="H203" t="s">
        <v>15</v>
      </c>
      <c r="I203" t="s">
        <v>16</v>
      </c>
      <c r="J203" t="s">
        <v>35</v>
      </c>
      <c r="K203">
        <v>30940</v>
      </c>
      <c r="L203">
        <f t="shared" si="11"/>
        <v>5735</v>
      </c>
      <c r="M203">
        <f t="shared" si="12"/>
        <v>22940</v>
      </c>
      <c r="N203">
        <f t="shared" si="13"/>
        <v>8000</v>
      </c>
    </row>
    <row r="204" spans="1:14" x14ac:dyDescent="0.3">
      <c r="A204" t="s">
        <v>462</v>
      </c>
      <c r="B204" t="s">
        <v>44</v>
      </c>
      <c r="C204">
        <v>3</v>
      </c>
      <c r="D204">
        <v>17409</v>
      </c>
      <c r="E204" s="5">
        <v>45961</v>
      </c>
      <c r="F204" t="s">
        <v>463</v>
      </c>
      <c r="G204" t="s">
        <v>64</v>
      </c>
      <c r="H204" t="s">
        <v>15</v>
      </c>
      <c r="I204" t="s">
        <v>16</v>
      </c>
      <c r="J204" t="s">
        <v>35</v>
      </c>
      <c r="K204">
        <v>52227</v>
      </c>
      <c r="L204">
        <f t="shared" si="11"/>
        <v>15409</v>
      </c>
      <c r="M204">
        <f t="shared" si="12"/>
        <v>46227</v>
      </c>
      <c r="N204">
        <f t="shared" si="13"/>
        <v>6000</v>
      </c>
    </row>
    <row r="205" spans="1:14" x14ac:dyDescent="0.3">
      <c r="A205" t="s">
        <v>464</v>
      </c>
      <c r="B205" t="s">
        <v>19</v>
      </c>
      <c r="C205">
        <v>2</v>
      </c>
      <c r="D205">
        <v>19765</v>
      </c>
      <c r="E205" s="5">
        <v>45962</v>
      </c>
      <c r="F205" t="s">
        <v>465</v>
      </c>
      <c r="G205" t="s">
        <v>166</v>
      </c>
      <c r="H205" t="s">
        <v>15</v>
      </c>
      <c r="I205" t="s">
        <v>25</v>
      </c>
      <c r="J205" t="s">
        <v>35</v>
      </c>
      <c r="K205">
        <v>39530</v>
      </c>
      <c r="L205">
        <f t="shared" si="11"/>
        <v>17765</v>
      </c>
      <c r="M205">
        <f t="shared" si="12"/>
        <v>35530</v>
      </c>
      <c r="N205">
        <f t="shared" si="13"/>
        <v>4000</v>
      </c>
    </row>
    <row r="206" spans="1:14" x14ac:dyDescent="0.3">
      <c r="A206" t="s">
        <v>466</v>
      </c>
      <c r="B206" t="s">
        <v>62</v>
      </c>
      <c r="C206">
        <v>3</v>
      </c>
      <c r="D206">
        <v>6248</v>
      </c>
      <c r="E206" s="5">
        <v>45963</v>
      </c>
      <c r="F206" t="s">
        <v>467</v>
      </c>
      <c r="G206" t="s">
        <v>38</v>
      </c>
      <c r="H206" t="s">
        <v>15</v>
      </c>
      <c r="I206" t="s">
        <v>25</v>
      </c>
      <c r="J206" t="s">
        <v>47</v>
      </c>
      <c r="K206">
        <v>18744</v>
      </c>
      <c r="L206">
        <f t="shared" si="11"/>
        <v>4248</v>
      </c>
      <c r="M206">
        <f t="shared" si="12"/>
        <v>12744</v>
      </c>
      <c r="N206">
        <f t="shared" si="13"/>
        <v>6000</v>
      </c>
    </row>
    <row r="207" spans="1:14" x14ac:dyDescent="0.3">
      <c r="A207" t="s">
        <v>468</v>
      </c>
      <c r="B207" t="s">
        <v>12</v>
      </c>
      <c r="C207">
        <v>2</v>
      </c>
      <c r="D207">
        <v>14351</v>
      </c>
      <c r="E207" s="5">
        <v>45964</v>
      </c>
      <c r="F207" t="s">
        <v>469</v>
      </c>
      <c r="G207" t="s">
        <v>175</v>
      </c>
      <c r="H207" t="s">
        <v>15</v>
      </c>
      <c r="I207" t="s">
        <v>34</v>
      </c>
      <c r="J207" t="s">
        <v>50</v>
      </c>
      <c r="K207">
        <v>28702</v>
      </c>
      <c r="L207">
        <f t="shared" si="11"/>
        <v>12351</v>
      </c>
      <c r="M207">
        <f t="shared" si="12"/>
        <v>24702</v>
      </c>
      <c r="N207">
        <f t="shared" si="13"/>
        <v>4000</v>
      </c>
    </row>
    <row r="208" spans="1:14" x14ac:dyDescent="0.3">
      <c r="A208" t="s">
        <v>470</v>
      </c>
      <c r="B208" t="s">
        <v>44</v>
      </c>
      <c r="C208">
        <v>4</v>
      </c>
      <c r="D208">
        <v>3565</v>
      </c>
      <c r="E208" s="5">
        <v>45965</v>
      </c>
      <c r="F208" t="s">
        <v>471</v>
      </c>
      <c r="G208" t="s">
        <v>29</v>
      </c>
      <c r="H208" t="s">
        <v>15</v>
      </c>
      <c r="I208" t="s">
        <v>16</v>
      </c>
      <c r="J208" t="s">
        <v>76</v>
      </c>
      <c r="K208">
        <v>14260</v>
      </c>
      <c r="L208">
        <f t="shared" si="11"/>
        <v>1565</v>
      </c>
      <c r="M208">
        <f t="shared" si="12"/>
        <v>6260</v>
      </c>
      <c r="N208">
        <f t="shared" si="13"/>
        <v>8000</v>
      </c>
    </row>
    <row r="209" spans="1:14" x14ac:dyDescent="0.3">
      <c r="A209" t="s">
        <v>472</v>
      </c>
      <c r="B209" t="s">
        <v>52</v>
      </c>
      <c r="C209">
        <v>5</v>
      </c>
      <c r="D209">
        <v>6593</v>
      </c>
      <c r="E209" s="5">
        <v>45966</v>
      </c>
      <c r="F209" t="s">
        <v>473</v>
      </c>
      <c r="G209" t="s">
        <v>29</v>
      </c>
      <c r="H209" t="s">
        <v>15</v>
      </c>
      <c r="I209" t="s">
        <v>16</v>
      </c>
      <c r="J209" t="s">
        <v>50</v>
      </c>
      <c r="K209">
        <v>32965</v>
      </c>
      <c r="L209">
        <f t="shared" si="11"/>
        <v>4593</v>
      </c>
      <c r="M209">
        <f t="shared" si="12"/>
        <v>22965</v>
      </c>
      <c r="N209">
        <f t="shared" si="13"/>
        <v>10000</v>
      </c>
    </row>
    <row r="210" spans="1:14" x14ac:dyDescent="0.3">
      <c r="A210" t="s">
        <v>474</v>
      </c>
      <c r="B210" t="s">
        <v>27</v>
      </c>
      <c r="C210">
        <v>2</v>
      </c>
      <c r="D210">
        <v>12602</v>
      </c>
      <c r="E210" s="5">
        <v>45967</v>
      </c>
      <c r="F210" t="s">
        <v>475</v>
      </c>
      <c r="G210" t="s">
        <v>42</v>
      </c>
      <c r="H210" t="s">
        <v>15</v>
      </c>
      <c r="I210" t="s">
        <v>25</v>
      </c>
      <c r="J210" t="s">
        <v>35</v>
      </c>
      <c r="K210">
        <v>25204</v>
      </c>
      <c r="L210">
        <f t="shared" si="11"/>
        <v>10602</v>
      </c>
      <c r="M210">
        <f t="shared" si="12"/>
        <v>21204</v>
      </c>
      <c r="N210">
        <f t="shared" si="13"/>
        <v>4000</v>
      </c>
    </row>
    <row r="211" spans="1:14" x14ac:dyDescent="0.3">
      <c r="A211" t="s">
        <v>476</v>
      </c>
      <c r="B211" t="s">
        <v>62</v>
      </c>
      <c r="C211">
        <v>2</v>
      </c>
      <c r="D211">
        <v>5339</v>
      </c>
      <c r="E211" s="5">
        <v>45968</v>
      </c>
      <c r="F211" t="s">
        <v>477</v>
      </c>
      <c r="G211" t="s">
        <v>54</v>
      </c>
      <c r="H211" t="s">
        <v>15</v>
      </c>
      <c r="I211" t="s">
        <v>25</v>
      </c>
      <c r="J211" t="s">
        <v>17</v>
      </c>
      <c r="K211">
        <v>10678</v>
      </c>
      <c r="L211">
        <f t="shared" si="11"/>
        <v>3339</v>
      </c>
      <c r="M211">
        <f t="shared" si="12"/>
        <v>6678</v>
      </c>
      <c r="N211">
        <f t="shared" si="13"/>
        <v>4000</v>
      </c>
    </row>
    <row r="212" spans="1:14" x14ac:dyDescent="0.3">
      <c r="A212" t="s">
        <v>478</v>
      </c>
      <c r="B212" t="s">
        <v>19</v>
      </c>
      <c r="C212">
        <v>1</v>
      </c>
      <c r="D212">
        <v>9615</v>
      </c>
      <c r="E212" s="5">
        <v>45969</v>
      </c>
      <c r="F212" t="s">
        <v>479</v>
      </c>
      <c r="G212" t="s">
        <v>111</v>
      </c>
      <c r="H212" t="s">
        <v>15</v>
      </c>
      <c r="I212" t="s">
        <v>25</v>
      </c>
      <c r="J212" t="s">
        <v>76</v>
      </c>
      <c r="K212">
        <v>9615</v>
      </c>
      <c r="L212">
        <f t="shared" si="11"/>
        <v>7615</v>
      </c>
      <c r="M212">
        <f t="shared" si="12"/>
        <v>7615</v>
      </c>
      <c r="N212">
        <f t="shared" si="13"/>
        <v>2000</v>
      </c>
    </row>
    <row r="213" spans="1:14" x14ac:dyDescent="0.3">
      <c r="A213" t="s">
        <v>480</v>
      </c>
      <c r="B213" t="s">
        <v>44</v>
      </c>
      <c r="C213">
        <v>8</v>
      </c>
      <c r="D213">
        <v>11504</v>
      </c>
      <c r="E213" s="5">
        <v>45970</v>
      </c>
      <c r="F213" t="s">
        <v>481</v>
      </c>
      <c r="G213" t="s">
        <v>91</v>
      </c>
      <c r="H213" t="s">
        <v>15</v>
      </c>
      <c r="I213" t="s">
        <v>34</v>
      </c>
      <c r="J213" t="s">
        <v>35</v>
      </c>
      <c r="K213">
        <v>92032</v>
      </c>
      <c r="L213">
        <f t="shared" si="11"/>
        <v>9504</v>
      </c>
      <c r="M213">
        <f t="shared" si="12"/>
        <v>76032</v>
      </c>
      <c r="N213">
        <f t="shared" si="13"/>
        <v>16000</v>
      </c>
    </row>
    <row r="214" spans="1:14" x14ac:dyDescent="0.3">
      <c r="A214" t="s">
        <v>482</v>
      </c>
      <c r="B214" t="s">
        <v>44</v>
      </c>
      <c r="C214">
        <v>9</v>
      </c>
      <c r="D214">
        <v>8337</v>
      </c>
      <c r="E214" s="5">
        <v>45971</v>
      </c>
      <c r="F214" t="s">
        <v>483</v>
      </c>
      <c r="G214" t="s">
        <v>124</v>
      </c>
      <c r="H214" t="s">
        <v>15</v>
      </c>
      <c r="I214" t="s">
        <v>16</v>
      </c>
      <c r="J214" t="s">
        <v>17</v>
      </c>
      <c r="K214">
        <v>75033</v>
      </c>
      <c r="L214">
        <f t="shared" si="11"/>
        <v>6337</v>
      </c>
      <c r="M214">
        <f t="shared" si="12"/>
        <v>57033</v>
      </c>
      <c r="N214">
        <f t="shared" si="13"/>
        <v>18000</v>
      </c>
    </row>
    <row r="215" spans="1:14" x14ac:dyDescent="0.3">
      <c r="A215" t="s">
        <v>484</v>
      </c>
      <c r="B215" t="s">
        <v>27</v>
      </c>
      <c r="C215">
        <v>5</v>
      </c>
      <c r="D215">
        <v>7241</v>
      </c>
      <c r="E215" s="5">
        <v>45972</v>
      </c>
      <c r="F215" t="s">
        <v>485</v>
      </c>
      <c r="G215" t="s">
        <v>166</v>
      </c>
      <c r="H215" t="s">
        <v>15</v>
      </c>
      <c r="I215" t="s">
        <v>34</v>
      </c>
      <c r="J215" t="s">
        <v>76</v>
      </c>
      <c r="K215">
        <v>36205</v>
      </c>
      <c r="L215">
        <f t="shared" si="11"/>
        <v>5241</v>
      </c>
      <c r="M215">
        <f t="shared" si="12"/>
        <v>26205</v>
      </c>
      <c r="N215">
        <f t="shared" si="13"/>
        <v>10000</v>
      </c>
    </row>
    <row r="216" spans="1:14" x14ac:dyDescent="0.3">
      <c r="A216" t="s">
        <v>486</v>
      </c>
      <c r="B216" t="s">
        <v>40</v>
      </c>
      <c r="C216">
        <v>4</v>
      </c>
      <c r="D216">
        <v>18757</v>
      </c>
      <c r="E216" s="5">
        <v>45973</v>
      </c>
      <c r="F216" t="s">
        <v>487</v>
      </c>
      <c r="G216" t="s">
        <v>199</v>
      </c>
      <c r="H216" t="s">
        <v>15</v>
      </c>
      <c r="I216" t="s">
        <v>16</v>
      </c>
      <c r="J216" t="s">
        <v>35</v>
      </c>
      <c r="K216">
        <v>75028</v>
      </c>
      <c r="L216">
        <f t="shared" si="11"/>
        <v>16757</v>
      </c>
      <c r="M216">
        <f t="shared" si="12"/>
        <v>67028</v>
      </c>
      <c r="N216">
        <f t="shared" si="13"/>
        <v>8000</v>
      </c>
    </row>
    <row r="217" spans="1:14" x14ac:dyDescent="0.3">
      <c r="A217" t="s">
        <v>488</v>
      </c>
      <c r="B217" t="s">
        <v>40</v>
      </c>
      <c r="C217">
        <v>6</v>
      </c>
      <c r="D217">
        <v>2833</v>
      </c>
      <c r="E217" s="5">
        <v>45974</v>
      </c>
      <c r="F217" t="s">
        <v>489</v>
      </c>
      <c r="G217" t="s">
        <v>54</v>
      </c>
      <c r="H217" t="s">
        <v>15</v>
      </c>
      <c r="I217" t="s">
        <v>16</v>
      </c>
      <c r="J217" t="s">
        <v>17</v>
      </c>
      <c r="K217">
        <v>16998</v>
      </c>
      <c r="L217">
        <f t="shared" si="11"/>
        <v>833</v>
      </c>
      <c r="M217">
        <f t="shared" si="12"/>
        <v>4998</v>
      </c>
      <c r="N217">
        <f t="shared" si="13"/>
        <v>12000</v>
      </c>
    </row>
    <row r="218" spans="1:14" x14ac:dyDescent="0.3">
      <c r="A218" t="s">
        <v>490</v>
      </c>
      <c r="B218" t="s">
        <v>71</v>
      </c>
      <c r="C218">
        <v>7</v>
      </c>
      <c r="D218">
        <v>16074</v>
      </c>
      <c r="E218" s="5">
        <v>45975</v>
      </c>
      <c r="F218" t="s">
        <v>491</v>
      </c>
      <c r="G218" t="s">
        <v>142</v>
      </c>
      <c r="H218" t="s">
        <v>15</v>
      </c>
      <c r="I218" t="s">
        <v>25</v>
      </c>
      <c r="J218" t="s">
        <v>35</v>
      </c>
      <c r="K218">
        <v>112518</v>
      </c>
      <c r="L218">
        <f t="shared" si="11"/>
        <v>14074</v>
      </c>
      <c r="M218">
        <f t="shared" si="12"/>
        <v>98518</v>
      </c>
      <c r="N218">
        <f t="shared" si="13"/>
        <v>14000</v>
      </c>
    </row>
    <row r="219" spans="1:14" x14ac:dyDescent="0.3">
      <c r="A219" t="s">
        <v>492</v>
      </c>
      <c r="B219" t="s">
        <v>27</v>
      </c>
      <c r="C219">
        <v>4</v>
      </c>
      <c r="D219">
        <v>4073</v>
      </c>
      <c r="E219" s="5">
        <v>45976</v>
      </c>
      <c r="F219" t="s">
        <v>493</v>
      </c>
      <c r="G219" t="s">
        <v>14</v>
      </c>
      <c r="H219" t="s">
        <v>15</v>
      </c>
      <c r="I219" t="s">
        <v>34</v>
      </c>
      <c r="J219" t="s">
        <v>17</v>
      </c>
      <c r="K219">
        <v>16292</v>
      </c>
      <c r="L219">
        <f t="shared" si="11"/>
        <v>2073</v>
      </c>
      <c r="M219">
        <f t="shared" si="12"/>
        <v>8292</v>
      </c>
      <c r="N219">
        <f t="shared" si="13"/>
        <v>8000</v>
      </c>
    </row>
    <row r="220" spans="1:14" x14ac:dyDescent="0.3">
      <c r="A220" t="s">
        <v>494</v>
      </c>
      <c r="B220" t="s">
        <v>27</v>
      </c>
      <c r="C220">
        <v>3</v>
      </c>
      <c r="D220">
        <v>14236</v>
      </c>
      <c r="E220" s="5">
        <v>45977</v>
      </c>
      <c r="F220" t="s">
        <v>495</v>
      </c>
      <c r="G220" t="s">
        <v>79</v>
      </c>
      <c r="H220" t="s">
        <v>15</v>
      </c>
      <c r="I220" t="s">
        <v>25</v>
      </c>
      <c r="J220" t="s">
        <v>50</v>
      </c>
      <c r="K220">
        <v>42708</v>
      </c>
      <c r="L220">
        <f t="shared" si="11"/>
        <v>12236</v>
      </c>
      <c r="M220">
        <f t="shared" si="12"/>
        <v>36708</v>
      </c>
      <c r="N220">
        <f t="shared" si="13"/>
        <v>6000</v>
      </c>
    </row>
    <row r="221" spans="1:14" x14ac:dyDescent="0.3">
      <c r="A221" t="s">
        <v>496</v>
      </c>
      <c r="B221" t="s">
        <v>62</v>
      </c>
      <c r="C221">
        <v>9</v>
      </c>
      <c r="D221">
        <v>8216</v>
      </c>
      <c r="E221" s="5">
        <v>45978</v>
      </c>
      <c r="F221" t="s">
        <v>497</v>
      </c>
      <c r="G221" t="s">
        <v>175</v>
      </c>
      <c r="H221" t="s">
        <v>15</v>
      </c>
      <c r="I221" t="s">
        <v>34</v>
      </c>
      <c r="J221" t="s">
        <v>47</v>
      </c>
      <c r="K221">
        <v>73944</v>
      </c>
      <c r="L221">
        <f>D221-1300</f>
        <v>6916</v>
      </c>
      <c r="M221">
        <f t="shared" si="12"/>
        <v>62244</v>
      </c>
      <c r="N221">
        <f t="shared" si="13"/>
        <v>11700</v>
      </c>
    </row>
    <row r="222" spans="1:14" x14ac:dyDescent="0.3">
      <c r="A222" t="s">
        <v>498</v>
      </c>
      <c r="B222" t="s">
        <v>31</v>
      </c>
      <c r="C222">
        <v>2</v>
      </c>
      <c r="D222">
        <v>16860</v>
      </c>
      <c r="E222" s="5">
        <v>45979</v>
      </c>
      <c r="F222" t="s">
        <v>499</v>
      </c>
      <c r="G222" t="s">
        <v>135</v>
      </c>
      <c r="H222" t="s">
        <v>15</v>
      </c>
      <c r="I222" t="s">
        <v>25</v>
      </c>
      <c r="J222" t="s">
        <v>17</v>
      </c>
      <c r="K222">
        <v>33720</v>
      </c>
      <c r="L222">
        <f t="shared" ref="L222:L285" si="14">D222-1300</f>
        <v>15560</v>
      </c>
      <c r="M222">
        <f t="shared" si="12"/>
        <v>31120</v>
      </c>
      <c r="N222">
        <f t="shared" si="13"/>
        <v>2600</v>
      </c>
    </row>
    <row r="223" spans="1:14" x14ac:dyDescent="0.3">
      <c r="A223" t="s">
        <v>500</v>
      </c>
      <c r="B223" t="s">
        <v>71</v>
      </c>
      <c r="C223">
        <v>5</v>
      </c>
      <c r="D223">
        <v>4968</v>
      </c>
      <c r="E223" s="5">
        <v>45980</v>
      </c>
      <c r="F223" t="s">
        <v>501</v>
      </c>
      <c r="G223" t="s">
        <v>111</v>
      </c>
      <c r="H223" t="s">
        <v>15</v>
      </c>
      <c r="I223" t="s">
        <v>16</v>
      </c>
      <c r="J223" t="s">
        <v>35</v>
      </c>
      <c r="K223">
        <v>24840</v>
      </c>
      <c r="L223">
        <f t="shared" si="14"/>
        <v>3668</v>
      </c>
      <c r="M223">
        <f t="shared" si="12"/>
        <v>18340</v>
      </c>
      <c r="N223">
        <f t="shared" si="13"/>
        <v>6500</v>
      </c>
    </row>
    <row r="224" spans="1:14" x14ac:dyDescent="0.3">
      <c r="A224" t="s">
        <v>502</v>
      </c>
      <c r="B224" t="s">
        <v>27</v>
      </c>
      <c r="C224">
        <v>1</v>
      </c>
      <c r="D224">
        <v>14435</v>
      </c>
      <c r="E224" s="5">
        <v>45981</v>
      </c>
      <c r="F224" t="s">
        <v>503</v>
      </c>
      <c r="G224" t="s">
        <v>54</v>
      </c>
      <c r="H224" t="s">
        <v>15</v>
      </c>
      <c r="I224" t="s">
        <v>16</v>
      </c>
      <c r="J224" t="s">
        <v>35</v>
      </c>
      <c r="K224">
        <v>14435</v>
      </c>
      <c r="L224">
        <f t="shared" si="14"/>
        <v>13135</v>
      </c>
      <c r="M224">
        <f t="shared" si="12"/>
        <v>13135</v>
      </c>
      <c r="N224">
        <f t="shared" si="13"/>
        <v>1300</v>
      </c>
    </row>
    <row r="225" spans="1:14" x14ac:dyDescent="0.3">
      <c r="A225" t="s">
        <v>504</v>
      </c>
      <c r="B225" t="s">
        <v>62</v>
      </c>
      <c r="C225">
        <v>9</v>
      </c>
      <c r="D225">
        <v>19332</v>
      </c>
      <c r="E225" s="5">
        <v>45982</v>
      </c>
      <c r="F225" t="s">
        <v>505</v>
      </c>
      <c r="G225" t="s">
        <v>79</v>
      </c>
      <c r="H225" t="s">
        <v>15</v>
      </c>
      <c r="I225" t="s">
        <v>25</v>
      </c>
      <c r="J225" t="s">
        <v>35</v>
      </c>
      <c r="K225">
        <v>173988</v>
      </c>
      <c r="L225">
        <f t="shared" si="14"/>
        <v>18032</v>
      </c>
      <c r="M225">
        <f t="shared" si="12"/>
        <v>162288</v>
      </c>
      <c r="N225">
        <f t="shared" si="13"/>
        <v>11700</v>
      </c>
    </row>
    <row r="226" spans="1:14" x14ac:dyDescent="0.3">
      <c r="A226" t="s">
        <v>506</v>
      </c>
      <c r="B226" t="s">
        <v>44</v>
      </c>
      <c r="C226">
        <v>4</v>
      </c>
      <c r="D226">
        <v>17452</v>
      </c>
      <c r="E226" s="5">
        <v>45983</v>
      </c>
      <c r="F226" t="s">
        <v>507</v>
      </c>
      <c r="G226" t="s">
        <v>21</v>
      </c>
      <c r="H226" t="s">
        <v>15</v>
      </c>
      <c r="I226" t="s">
        <v>25</v>
      </c>
      <c r="J226" t="s">
        <v>76</v>
      </c>
      <c r="K226">
        <v>69808</v>
      </c>
      <c r="L226">
        <f t="shared" si="14"/>
        <v>16152</v>
      </c>
      <c r="M226">
        <f t="shared" si="12"/>
        <v>64608</v>
      </c>
      <c r="N226">
        <f t="shared" si="13"/>
        <v>5200</v>
      </c>
    </row>
    <row r="227" spans="1:14" x14ac:dyDescent="0.3">
      <c r="A227" t="s">
        <v>508</v>
      </c>
      <c r="B227" t="s">
        <v>27</v>
      </c>
      <c r="C227">
        <v>6</v>
      </c>
      <c r="D227">
        <v>7347</v>
      </c>
      <c r="E227" s="5">
        <v>45984</v>
      </c>
      <c r="F227" t="s">
        <v>509</v>
      </c>
      <c r="G227" t="s">
        <v>94</v>
      </c>
      <c r="H227" t="s">
        <v>15</v>
      </c>
      <c r="I227" t="s">
        <v>34</v>
      </c>
      <c r="J227" t="s">
        <v>17</v>
      </c>
      <c r="K227">
        <v>44082</v>
      </c>
      <c r="L227">
        <f t="shared" si="14"/>
        <v>6047</v>
      </c>
      <c r="M227">
        <f t="shared" si="12"/>
        <v>36282</v>
      </c>
      <c r="N227">
        <f t="shared" si="13"/>
        <v>7800</v>
      </c>
    </row>
    <row r="228" spans="1:14" x14ac:dyDescent="0.3">
      <c r="A228" t="s">
        <v>510</v>
      </c>
      <c r="B228" t="s">
        <v>40</v>
      </c>
      <c r="C228">
        <v>6</v>
      </c>
      <c r="D228">
        <v>14323</v>
      </c>
      <c r="E228" s="5">
        <v>45985</v>
      </c>
      <c r="F228" t="s">
        <v>511</v>
      </c>
      <c r="G228" t="s">
        <v>73</v>
      </c>
      <c r="H228" t="s">
        <v>15</v>
      </c>
      <c r="I228" t="s">
        <v>16</v>
      </c>
      <c r="J228" t="s">
        <v>50</v>
      </c>
      <c r="K228">
        <v>85938</v>
      </c>
      <c r="L228">
        <f t="shared" si="14"/>
        <v>13023</v>
      </c>
      <c r="M228">
        <f t="shared" si="12"/>
        <v>78138</v>
      </c>
      <c r="N228">
        <f t="shared" si="13"/>
        <v>7800</v>
      </c>
    </row>
    <row r="229" spans="1:14" x14ac:dyDescent="0.3">
      <c r="A229" t="s">
        <v>512</v>
      </c>
      <c r="B229" t="s">
        <v>62</v>
      </c>
      <c r="C229">
        <v>2</v>
      </c>
      <c r="D229">
        <v>4257</v>
      </c>
      <c r="E229" s="5">
        <v>45986</v>
      </c>
      <c r="F229" t="s">
        <v>513</v>
      </c>
      <c r="G229" t="s">
        <v>111</v>
      </c>
      <c r="H229" t="s">
        <v>15</v>
      </c>
      <c r="I229" t="s">
        <v>16</v>
      </c>
      <c r="J229" t="s">
        <v>35</v>
      </c>
      <c r="K229">
        <v>8514</v>
      </c>
      <c r="L229">
        <f t="shared" si="14"/>
        <v>2957</v>
      </c>
      <c r="M229">
        <f t="shared" si="12"/>
        <v>5914</v>
      </c>
      <c r="N229">
        <f t="shared" si="13"/>
        <v>2600</v>
      </c>
    </row>
    <row r="230" spans="1:14" x14ac:dyDescent="0.3">
      <c r="A230" t="s">
        <v>514</v>
      </c>
      <c r="B230" t="s">
        <v>62</v>
      </c>
      <c r="C230">
        <v>8</v>
      </c>
      <c r="D230">
        <v>3175</v>
      </c>
      <c r="E230" s="5">
        <v>45987</v>
      </c>
      <c r="F230" t="s">
        <v>515</v>
      </c>
      <c r="G230" t="s">
        <v>94</v>
      </c>
      <c r="H230" t="s">
        <v>15</v>
      </c>
      <c r="I230" t="s">
        <v>16</v>
      </c>
      <c r="J230" t="s">
        <v>76</v>
      </c>
      <c r="K230">
        <v>25400</v>
      </c>
      <c r="L230">
        <f t="shared" si="14"/>
        <v>1875</v>
      </c>
      <c r="M230">
        <f t="shared" si="12"/>
        <v>15000</v>
      </c>
      <c r="N230">
        <f t="shared" si="13"/>
        <v>10400</v>
      </c>
    </row>
    <row r="231" spans="1:14" x14ac:dyDescent="0.3">
      <c r="A231" t="s">
        <v>516</v>
      </c>
      <c r="B231" t="s">
        <v>40</v>
      </c>
      <c r="C231">
        <v>9</v>
      </c>
      <c r="D231">
        <v>12301</v>
      </c>
      <c r="E231" s="5">
        <v>45988</v>
      </c>
      <c r="F231" t="s">
        <v>517</v>
      </c>
      <c r="G231" t="s">
        <v>21</v>
      </c>
      <c r="H231" t="s">
        <v>15</v>
      </c>
      <c r="I231" t="s">
        <v>34</v>
      </c>
      <c r="J231" t="s">
        <v>76</v>
      </c>
      <c r="K231">
        <v>110709</v>
      </c>
      <c r="L231">
        <f t="shared" si="14"/>
        <v>11001</v>
      </c>
      <c r="M231">
        <f t="shared" si="12"/>
        <v>99009</v>
      </c>
      <c r="N231">
        <f t="shared" si="13"/>
        <v>11700</v>
      </c>
    </row>
    <row r="232" spans="1:14" x14ac:dyDescent="0.3">
      <c r="A232" t="s">
        <v>518</v>
      </c>
      <c r="B232" t="s">
        <v>52</v>
      </c>
      <c r="C232">
        <v>7</v>
      </c>
      <c r="D232">
        <v>19589</v>
      </c>
      <c r="E232" s="5">
        <v>45989</v>
      </c>
      <c r="F232" t="s">
        <v>519</v>
      </c>
      <c r="G232" t="s">
        <v>57</v>
      </c>
      <c r="H232" t="s">
        <v>15</v>
      </c>
      <c r="I232" t="s">
        <v>16</v>
      </c>
      <c r="J232" t="s">
        <v>76</v>
      </c>
      <c r="K232">
        <v>137123</v>
      </c>
      <c r="L232">
        <f t="shared" si="14"/>
        <v>18289</v>
      </c>
      <c r="M232">
        <f t="shared" si="12"/>
        <v>128023</v>
      </c>
      <c r="N232">
        <f t="shared" si="13"/>
        <v>9100</v>
      </c>
    </row>
    <row r="233" spans="1:14" x14ac:dyDescent="0.3">
      <c r="A233" t="s">
        <v>520</v>
      </c>
      <c r="B233" t="s">
        <v>19</v>
      </c>
      <c r="C233">
        <v>5</v>
      </c>
      <c r="D233">
        <v>7549</v>
      </c>
      <c r="E233" s="5">
        <v>45990</v>
      </c>
      <c r="F233" t="s">
        <v>521</v>
      </c>
      <c r="G233" t="s">
        <v>21</v>
      </c>
      <c r="H233" t="s">
        <v>15</v>
      </c>
      <c r="I233" t="s">
        <v>34</v>
      </c>
      <c r="J233" t="s">
        <v>50</v>
      </c>
      <c r="K233">
        <v>37745</v>
      </c>
      <c r="L233">
        <f t="shared" si="14"/>
        <v>6249</v>
      </c>
      <c r="M233">
        <f t="shared" si="12"/>
        <v>31245</v>
      </c>
      <c r="N233">
        <f t="shared" si="13"/>
        <v>6500</v>
      </c>
    </row>
    <row r="234" spans="1:14" x14ac:dyDescent="0.3">
      <c r="A234" t="s">
        <v>522</v>
      </c>
      <c r="B234" t="s">
        <v>44</v>
      </c>
      <c r="C234">
        <v>8</v>
      </c>
      <c r="D234">
        <v>12350</v>
      </c>
      <c r="E234" s="5">
        <v>45991</v>
      </c>
      <c r="F234" t="s">
        <v>523</v>
      </c>
      <c r="G234" t="s">
        <v>135</v>
      </c>
      <c r="H234" t="s">
        <v>15</v>
      </c>
      <c r="I234" t="s">
        <v>16</v>
      </c>
      <c r="J234" t="s">
        <v>76</v>
      </c>
      <c r="K234">
        <v>98800</v>
      </c>
      <c r="L234">
        <f t="shared" si="14"/>
        <v>11050</v>
      </c>
      <c r="M234">
        <f t="shared" si="12"/>
        <v>88400</v>
      </c>
      <c r="N234">
        <f t="shared" si="13"/>
        <v>10400</v>
      </c>
    </row>
    <row r="235" spans="1:14" x14ac:dyDescent="0.3">
      <c r="A235" t="s">
        <v>524</v>
      </c>
      <c r="B235" t="s">
        <v>12</v>
      </c>
      <c r="C235">
        <v>4</v>
      </c>
      <c r="D235">
        <v>7779</v>
      </c>
      <c r="E235" s="5">
        <v>45992</v>
      </c>
      <c r="F235" t="s">
        <v>525</v>
      </c>
      <c r="G235" t="s">
        <v>91</v>
      </c>
      <c r="H235" t="s">
        <v>15</v>
      </c>
      <c r="I235" t="s">
        <v>34</v>
      </c>
      <c r="J235" t="s">
        <v>47</v>
      </c>
      <c r="K235">
        <v>31116</v>
      </c>
      <c r="L235">
        <f t="shared" si="14"/>
        <v>6479</v>
      </c>
      <c r="M235">
        <f t="shared" si="12"/>
        <v>25916</v>
      </c>
      <c r="N235">
        <f t="shared" si="13"/>
        <v>5200</v>
      </c>
    </row>
    <row r="236" spans="1:14" x14ac:dyDescent="0.3">
      <c r="A236" t="s">
        <v>526</v>
      </c>
      <c r="B236" t="s">
        <v>40</v>
      </c>
      <c r="C236">
        <v>6</v>
      </c>
      <c r="D236">
        <v>3258</v>
      </c>
      <c r="E236" s="5">
        <v>45993</v>
      </c>
      <c r="F236" t="s">
        <v>527</v>
      </c>
      <c r="G236" t="s">
        <v>194</v>
      </c>
      <c r="H236" t="s">
        <v>15</v>
      </c>
      <c r="I236" t="s">
        <v>25</v>
      </c>
      <c r="J236" t="s">
        <v>76</v>
      </c>
      <c r="K236">
        <v>19548</v>
      </c>
      <c r="L236">
        <f t="shared" si="14"/>
        <v>1958</v>
      </c>
      <c r="M236">
        <f t="shared" si="12"/>
        <v>11748</v>
      </c>
      <c r="N236">
        <f t="shared" si="13"/>
        <v>7800</v>
      </c>
    </row>
    <row r="237" spans="1:14" x14ac:dyDescent="0.3">
      <c r="A237" t="s">
        <v>528</v>
      </c>
      <c r="B237" t="s">
        <v>71</v>
      </c>
      <c r="C237">
        <v>4</v>
      </c>
      <c r="D237">
        <v>3901</v>
      </c>
      <c r="E237" s="5">
        <v>45994</v>
      </c>
      <c r="F237" t="s">
        <v>529</v>
      </c>
      <c r="G237" t="s">
        <v>29</v>
      </c>
      <c r="H237" t="s">
        <v>15</v>
      </c>
      <c r="I237" t="s">
        <v>25</v>
      </c>
      <c r="J237" t="s">
        <v>17</v>
      </c>
      <c r="K237">
        <v>15604</v>
      </c>
      <c r="L237">
        <f t="shared" si="14"/>
        <v>2601</v>
      </c>
      <c r="M237">
        <f t="shared" si="12"/>
        <v>10404</v>
      </c>
      <c r="N237">
        <f t="shared" si="13"/>
        <v>5200</v>
      </c>
    </row>
    <row r="238" spans="1:14" x14ac:dyDescent="0.3">
      <c r="A238" t="s">
        <v>530</v>
      </c>
      <c r="B238" t="s">
        <v>52</v>
      </c>
      <c r="C238">
        <v>7</v>
      </c>
      <c r="D238">
        <v>7042</v>
      </c>
      <c r="E238" s="5">
        <v>45995</v>
      </c>
      <c r="F238" t="s">
        <v>531</v>
      </c>
      <c r="G238" t="s">
        <v>175</v>
      </c>
      <c r="H238" t="s">
        <v>15</v>
      </c>
      <c r="I238" t="s">
        <v>34</v>
      </c>
      <c r="J238" t="s">
        <v>47</v>
      </c>
      <c r="K238">
        <v>49294</v>
      </c>
      <c r="L238">
        <f t="shared" si="14"/>
        <v>5742</v>
      </c>
      <c r="M238">
        <f t="shared" si="12"/>
        <v>40194</v>
      </c>
      <c r="N238">
        <f t="shared" si="13"/>
        <v>9100</v>
      </c>
    </row>
    <row r="239" spans="1:14" x14ac:dyDescent="0.3">
      <c r="A239" t="s">
        <v>532</v>
      </c>
      <c r="B239" t="s">
        <v>71</v>
      </c>
      <c r="C239">
        <v>5</v>
      </c>
      <c r="D239">
        <v>17937</v>
      </c>
      <c r="E239" s="5">
        <v>45996</v>
      </c>
      <c r="F239" t="s">
        <v>533</v>
      </c>
      <c r="G239" t="s">
        <v>194</v>
      </c>
      <c r="H239" t="s">
        <v>15</v>
      </c>
      <c r="I239" t="s">
        <v>34</v>
      </c>
      <c r="J239" t="s">
        <v>35</v>
      </c>
      <c r="K239">
        <v>89685</v>
      </c>
      <c r="L239">
        <f t="shared" si="14"/>
        <v>16637</v>
      </c>
      <c r="M239">
        <f t="shared" si="12"/>
        <v>83185</v>
      </c>
      <c r="N239">
        <f t="shared" si="13"/>
        <v>6500</v>
      </c>
    </row>
    <row r="240" spans="1:14" x14ac:dyDescent="0.3">
      <c r="A240" t="s">
        <v>534</v>
      </c>
      <c r="B240" t="s">
        <v>44</v>
      </c>
      <c r="C240">
        <v>8</v>
      </c>
      <c r="D240">
        <v>18978</v>
      </c>
      <c r="E240" s="5">
        <v>45997</v>
      </c>
      <c r="F240" t="s">
        <v>535</v>
      </c>
      <c r="G240" t="s">
        <v>33</v>
      </c>
      <c r="H240" t="s">
        <v>15</v>
      </c>
      <c r="I240" t="s">
        <v>25</v>
      </c>
      <c r="J240" t="s">
        <v>35</v>
      </c>
      <c r="K240">
        <v>151824</v>
      </c>
      <c r="L240">
        <f t="shared" si="14"/>
        <v>17678</v>
      </c>
      <c r="M240">
        <f t="shared" si="12"/>
        <v>141424</v>
      </c>
      <c r="N240">
        <f t="shared" si="13"/>
        <v>10400</v>
      </c>
    </row>
    <row r="241" spans="1:14" x14ac:dyDescent="0.3">
      <c r="A241" t="s">
        <v>536</v>
      </c>
      <c r="B241" t="s">
        <v>62</v>
      </c>
      <c r="C241">
        <v>4</v>
      </c>
      <c r="D241">
        <v>19870</v>
      </c>
      <c r="E241" s="5">
        <v>45998</v>
      </c>
      <c r="F241" t="s">
        <v>537</v>
      </c>
      <c r="G241" t="s">
        <v>46</v>
      </c>
      <c r="H241" t="s">
        <v>15</v>
      </c>
      <c r="I241" t="s">
        <v>25</v>
      </c>
      <c r="J241" t="s">
        <v>47</v>
      </c>
      <c r="K241">
        <v>79480</v>
      </c>
      <c r="L241">
        <f t="shared" si="14"/>
        <v>18570</v>
      </c>
      <c r="M241">
        <f t="shared" si="12"/>
        <v>74280</v>
      </c>
      <c r="N241">
        <f t="shared" si="13"/>
        <v>5200</v>
      </c>
    </row>
    <row r="242" spans="1:14" x14ac:dyDescent="0.3">
      <c r="A242" t="s">
        <v>538</v>
      </c>
      <c r="B242" t="s">
        <v>12</v>
      </c>
      <c r="C242">
        <v>1</v>
      </c>
      <c r="D242">
        <v>2101</v>
      </c>
      <c r="E242" s="5">
        <v>45999</v>
      </c>
      <c r="F242" t="s">
        <v>539</v>
      </c>
      <c r="G242" t="s">
        <v>142</v>
      </c>
      <c r="H242" t="s">
        <v>15</v>
      </c>
      <c r="I242" t="s">
        <v>34</v>
      </c>
      <c r="J242" t="s">
        <v>76</v>
      </c>
      <c r="K242">
        <v>2101</v>
      </c>
      <c r="L242">
        <f t="shared" si="14"/>
        <v>801</v>
      </c>
      <c r="M242">
        <f t="shared" si="12"/>
        <v>801</v>
      </c>
      <c r="N242">
        <f t="shared" si="13"/>
        <v>1300</v>
      </c>
    </row>
    <row r="243" spans="1:14" x14ac:dyDescent="0.3">
      <c r="A243" t="s">
        <v>540</v>
      </c>
      <c r="B243" t="s">
        <v>44</v>
      </c>
      <c r="C243">
        <v>6</v>
      </c>
      <c r="D243">
        <v>16920</v>
      </c>
      <c r="E243" s="5">
        <v>46000</v>
      </c>
      <c r="F243" t="s">
        <v>541</v>
      </c>
      <c r="G243" t="s">
        <v>14</v>
      </c>
      <c r="H243" t="s">
        <v>15</v>
      </c>
      <c r="I243" t="s">
        <v>34</v>
      </c>
      <c r="J243" t="s">
        <v>47</v>
      </c>
      <c r="K243">
        <v>101520</v>
      </c>
      <c r="L243">
        <f t="shared" si="14"/>
        <v>15620</v>
      </c>
      <c r="M243">
        <f t="shared" si="12"/>
        <v>93720</v>
      </c>
      <c r="N243">
        <f t="shared" si="13"/>
        <v>7800</v>
      </c>
    </row>
    <row r="244" spans="1:14" x14ac:dyDescent="0.3">
      <c r="A244" t="s">
        <v>542</v>
      </c>
      <c r="B244" t="s">
        <v>12</v>
      </c>
      <c r="C244">
        <v>4</v>
      </c>
      <c r="D244">
        <v>8834</v>
      </c>
      <c r="E244" s="5">
        <v>46001</v>
      </c>
      <c r="F244" t="s">
        <v>543</v>
      </c>
      <c r="G244" t="s">
        <v>54</v>
      </c>
      <c r="H244" t="s">
        <v>15</v>
      </c>
      <c r="I244" t="s">
        <v>16</v>
      </c>
      <c r="J244" t="s">
        <v>47</v>
      </c>
      <c r="K244">
        <v>35336</v>
      </c>
      <c r="L244">
        <f t="shared" si="14"/>
        <v>7534</v>
      </c>
      <c r="M244">
        <f t="shared" si="12"/>
        <v>30136</v>
      </c>
      <c r="N244">
        <f t="shared" si="13"/>
        <v>5200</v>
      </c>
    </row>
    <row r="245" spans="1:14" x14ac:dyDescent="0.3">
      <c r="A245" t="s">
        <v>544</v>
      </c>
      <c r="B245" t="s">
        <v>52</v>
      </c>
      <c r="C245">
        <v>8</v>
      </c>
      <c r="D245">
        <v>12274</v>
      </c>
      <c r="E245" s="5">
        <v>46002</v>
      </c>
      <c r="F245" t="s">
        <v>545</v>
      </c>
      <c r="G245" t="s">
        <v>124</v>
      </c>
      <c r="H245" t="s">
        <v>15</v>
      </c>
      <c r="I245" t="s">
        <v>16</v>
      </c>
      <c r="J245" t="s">
        <v>76</v>
      </c>
      <c r="K245">
        <v>98192</v>
      </c>
      <c r="L245">
        <f t="shared" si="14"/>
        <v>10974</v>
      </c>
      <c r="M245">
        <f t="shared" si="12"/>
        <v>87792</v>
      </c>
      <c r="N245">
        <f t="shared" si="13"/>
        <v>10400</v>
      </c>
    </row>
    <row r="246" spans="1:14" x14ac:dyDescent="0.3">
      <c r="A246" t="s">
        <v>546</v>
      </c>
      <c r="B246" t="s">
        <v>31</v>
      </c>
      <c r="C246">
        <v>6</v>
      </c>
      <c r="D246">
        <v>19370</v>
      </c>
      <c r="E246" s="5">
        <v>46003</v>
      </c>
      <c r="F246" t="s">
        <v>547</v>
      </c>
      <c r="G246" t="s">
        <v>94</v>
      </c>
      <c r="H246" t="s">
        <v>15</v>
      </c>
      <c r="I246" t="s">
        <v>25</v>
      </c>
      <c r="J246" t="s">
        <v>17</v>
      </c>
      <c r="K246">
        <v>116220</v>
      </c>
      <c r="L246">
        <f t="shared" si="14"/>
        <v>18070</v>
      </c>
      <c r="M246">
        <f t="shared" si="12"/>
        <v>108420</v>
      </c>
      <c r="N246">
        <f t="shared" si="13"/>
        <v>7800</v>
      </c>
    </row>
    <row r="247" spans="1:14" x14ac:dyDescent="0.3">
      <c r="A247" t="s">
        <v>548</v>
      </c>
      <c r="B247" t="s">
        <v>59</v>
      </c>
      <c r="C247">
        <v>6</v>
      </c>
      <c r="D247">
        <v>10715</v>
      </c>
      <c r="E247" s="5">
        <v>46004</v>
      </c>
      <c r="F247" t="s">
        <v>549</v>
      </c>
      <c r="G247" t="s">
        <v>24</v>
      </c>
      <c r="H247" t="s">
        <v>15</v>
      </c>
      <c r="I247" t="s">
        <v>25</v>
      </c>
      <c r="J247" t="s">
        <v>17</v>
      </c>
      <c r="K247">
        <v>64290</v>
      </c>
      <c r="L247">
        <f t="shared" si="14"/>
        <v>9415</v>
      </c>
      <c r="M247">
        <f t="shared" si="12"/>
        <v>56490</v>
      </c>
      <c r="N247">
        <f t="shared" si="13"/>
        <v>7800</v>
      </c>
    </row>
    <row r="248" spans="1:14" x14ac:dyDescent="0.3">
      <c r="A248" t="s">
        <v>550</v>
      </c>
      <c r="B248" t="s">
        <v>62</v>
      </c>
      <c r="C248">
        <v>9</v>
      </c>
      <c r="D248">
        <v>5211</v>
      </c>
      <c r="E248" s="5">
        <v>46005</v>
      </c>
      <c r="F248" t="s">
        <v>551</v>
      </c>
      <c r="G248" t="s">
        <v>135</v>
      </c>
      <c r="H248" t="s">
        <v>15</v>
      </c>
      <c r="I248" t="s">
        <v>34</v>
      </c>
      <c r="J248" t="s">
        <v>47</v>
      </c>
      <c r="K248">
        <v>46899</v>
      </c>
      <c r="L248">
        <f t="shared" si="14"/>
        <v>3911</v>
      </c>
      <c r="M248">
        <f t="shared" si="12"/>
        <v>35199</v>
      </c>
      <c r="N248">
        <f t="shared" si="13"/>
        <v>11700</v>
      </c>
    </row>
    <row r="249" spans="1:14" x14ac:dyDescent="0.3">
      <c r="A249" t="s">
        <v>552</v>
      </c>
      <c r="B249" t="s">
        <v>27</v>
      </c>
      <c r="C249">
        <v>1</v>
      </c>
      <c r="D249">
        <v>12600</v>
      </c>
      <c r="E249" s="5">
        <v>46006</v>
      </c>
      <c r="F249" t="s">
        <v>553</v>
      </c>
      <c r="G249" t="s">
        <v>57</v>
      </c>
      <c r="H249" t="s">
        <v>15</v>
      </c>
      <c r="I249" t="s">
        <v>25</v>
      </c>
      <c r="J249" t="s">
        <v>50</v>
      </c>
      <c r="K249">
        <v>12600</v>
      </c>
      <c r="L249">
        <f t="shared" si="14"/>
        <v>11300</v>
      </c>
      <c r="M249">
        <f t="shared" si="12"/>
        <v>11300</v>
      </c>
      <c r="N249">
        <f t="shared" si="13"/>
        <v>1300</v>
      </c>
    </row>
    <row r="250" spans="1:14" x14ac:dyDescent="0.3">
      <c r="A250" t="s">
        <v>554</v>
      </c>
      <c r="B250" t="s">
        <v>44</v>
      </c>
      <c r="C250">
        <v>9</v>
      </c>
      <c r="D250">
        <v>8564</v>
      </c>
      <c r="E250" s="5">
        <v>46007</v>
      </c>
      <c r="F250" t="s">
        <v>555</v>
      </c>
      <c r="G250" t="s">
        <v>166</v>
      </c>
      <c r="H250" t="s">
        <v>15</v>
      </c>
      <c r="I250" t="s">
        <v>34</v>
      </c>
      <c r="J250" t="s">
        <v>35</v>
      </c>
      <c r="K250">
        <v>77076</v>
      </c>
      <c r="L250">
        <f t="shared" si="14"/>
        <v>7264</v>
      </c>
      <c r="M250">
        <f t="shared" si="12"/>
        <v>65376</v>
      </c>
      <c r="N250">
        <f t="shared" si="13"/>
        <v>11700</v>
      </c>
    </row>
    <row r="251" spans="1:14" x14ac:dyDescent="0.3">
      <c r="A251" t="s">
        <v>556</v>
      </c>
      <c r="B251" t="s">
        <v>44</v>
      </c>
      <c r="C251">
        <v>4</v>
      </c>
      <c r="D251">
        <v>7936</v>
      </c>
      <c r="E251" s="5">
        <v>46008</v>
      </c>
      <c r="F251" t="s">
        <v>557</v>
      </c>
      <c r="G251" t="s">
        <v>175</v>
      </c>
      <c r="H251" t="s">
        <v>15</v>
      </c>
      <c r="I251" t="s">
        <v>16</v>
      </c>
      <c r="J251" t="s">
        <v>47</v>
      </c>
      <c r="K251">
        <v>31744</v>
      </c>
      <c r="L251">
        <f t="shared" si="14"/>
        <v>6636</v>
      </c>
      <c r="M251">
        <f t="shared" si="12"/>
        <v>26544</v>
      </c>
      <c r="N251">
        <f t="shared" si="13"/>
        <v>5200</v>
      </c>
    </row>
    <row r="252" spans="1:14" x14ac:dyDescent="0.3">
      <c r="A252" t="s">
        <v>558</v>
      </c>
      <c r="B252" t="s">
        <v>52</v>
      </c>
      <c r="C252">
        <v>7</v>
      </c>
      <c r="D252">
        <v>16941</v>
      </c>
      <c r="E252" s="5">
        <v>46009</v>
      </c>
      <c r="F252" t="s">
        <v>559</v>
      </c>
      <c r="G252" t="s">
        <v>29</v>
      </c>
      <c r="H252" t="s">
        <v>15</v>
      </c>
      <c r="I252" t="s">
        <v>16</v>
      </c>
      <c r="J252" t="s">
        <v>17</v>
      </c>
      <c r="K252">
        <v>118587</v>
      </c>
      <c r="L252">
        <f t="shared" si="14"/>
        <v>15641</v>
      </c>
      <c r="M252">
        <f t="shared" si="12"/>
        <v>109487</v>
      </c>
      <c r="N252">
        <f t="shared" si="13"/>
        <v>9100</v>
      </c>
    </row>
    <row r="253" spans="1:14" x14ac:dyDescent="0.3">
      <c r="A253" t="s">
        <v>560</v>
      </c>
      <c r="B253" t="s">
        <v>40</v>
      </c>
      <c r="C253">
        <v>4</v>
      </c>
      <c r="D253">
        <v>7666</v>
      </c>
      <c r="E253" s="5">
        <v>46010</v>
      </c>
      <c r="F253" t="s">
        <v>561</v>
      </c>
      <c r="G253" t="s">
        <v>46</v>
      </c>
      <c r="H253" t="s">
        <v>15</v>
      </c>
      <c r="I253" t="s">
        <v>16</v>
      </c>
      <c r="J253" t="s">
        <v>76</v>
      </c>
      <c r="K253">
        <v>30664</v>
      </c>
      <c r="L253">
        <f t="shared" si="14"/>
        <v>6366</v>
      </c>
      <c r="M253">
        <f t="shared" si="12"/>
        <v>25464</v>
      </c>
      <c r="N253">
        <f t="shared" si="13"/>
        <v>5200</v>
      </c>
    </row>
    <row r="254" spans="1:14" x14ac:dyDescent="0.3">
      <c r="A254" t="s">
        <v>562</v>
      </c>
      <c r="B254" t="s">
        <v>44</v>
      </c>
      <c r="C254">
        <v>3</v>
      </c>
      <c r="D254">
        <v>15002</v>
      </c>
      <c r="E254" s="5">
        <v>46011</v>
      </c>
      <c r="F254" t="s">
        <v>563</v>
      </c>
      <c r="G254" t="s">
        <v>159</v>
      </c>
      <c r="H254" t="s">
        <v>15</v>
      </c>
      <c r="I254" t="s">
        <v>34</v>
      </c>
      <c r="J254" t="s">
        <v>76</v>
      </c>
      <c r="K254">
        <v>45006</v>
      </c>
      <c r="L254">
        <f t="shared" si="14"/>
        <v>13702</v>
      </c>
      <c r="M254">
        <f t="shared" si="12"/>
        <v>41106</v>
      </c>
      <c r="N254">
        <f t="shared" si="13"/>
        <v>3900</v>
      </c>
    </row>
    <row r="255" spans="1:14" x14ac:dyDescent="0.3">
      <c r="A255" t="s">
        <v>564</v>
      </c>
      <c r="B255" t="s">
        <v>62</v>
      </c>
      <c r="C255">
        <v>8</v>
      </c>
      <c r="D255">
        <v>5532</v>
      </c>
      <c r="E255" s="5">
        <v>46012</v>
      </c>
      <c r="F255" t="s">
        <v>565</v>
      </c>
      <c r="G255" t="s">
        <v>21</v>
      </c>
      <c r="H255" t="s">
        <v>15</v>
      </c>
      <c r="I255" t="s">
        <v>34</v>
      </c>
      <c r="J255" t="s">
        <v>50</v>
      </c>
      <c r="K255">
        <v>44256</v>
      </c>
      <c r="L255">
        <f t="shared" si="14"/>
        <v>4232</v>
      </c>
      <c r="M255">
        <f t="shared" si="12"/>
        <v>33856</v>
      </c>
      <c r="N255">
        <f t="shared" si="13"/>
        <v>10400</v>
      </c>
    </row>
    <row r="256" spans="1:14" x14ac:dyDescent="0.3">
      <c r="A256" t="s">
        <v>566</v>
      </c>
      <c r="B256" t="s">
        <v>12</v>
      </c>
      <c r="C256">
        <v>1</v>
      </c>
      <c r="D256">
        <v>4801</v>
      </c>
      <c r="E256" s="5">
        <v>46013</v>
      </c>
      <c r="F256" t="s">
        <v>567</v>
      </c>
      <c r="G256" t="s">
        <v>142</v>
      </c>
      <c r="H256" t="s">
        <v>15</v>
      </c>
      <c r="I256" t="s">
        <v>25</v>
      </c>
      <c r="J256" t="s">
        <v>47</v>
      </c>
      <c r="K256">
        <v>4801</v>
      </c>
      <c r="L256">
        <f t="shared" si="14"/>
        <v>3501</v>
      </c>
      <c r="M256">
        <f t="shared" si="12"/>
        <v>3501</v>
      </c>
      <c r="N256">
        <f t="shared" si="13"/>
        <v>1300</v>
      </c>
    </row>
    <row r="257" spans="1:14" x14ac:dyDescent="0.3">
      <c r="A257" t="s">
        <v>568</v>
      </c>
      <c r="B257" t="s">
        <v>71</v>
      </c>
      <c r="C257">
        <v>4</v>
      </c>
      <c r="D257">
        <v>9463</v>
      </c>
      <c r="E257" s="5">
        <v>46014</v>
      </c>
      <c r="F257" t="s">
        <v>569</v>
      </c>
      <c r="G257" t="s">
        <v>38</v>
      </c>
      <c r="H257" t="s">
        <v>15</v>
      </c>
      <c r="I257" t="s">
        <v>25</v>
      </c>
      <c r="J257" t="s">
        <v>76</v>
      </c>
      <c r="K257">
        <v>37852</v>
      </c>
      <c r="L257">
        <f t="shared" si="14"/>
        <v>8163</v>
      </c>
      <c r="M257">
        <f t="shared" si="12"/>
        <v>32652</v>
      </c>
      <c r="N257">
        <f t="shared" si="13"/>
        <v>5200</v>
      </c>
    </row>
    <row r="258" spans="1:14" x14ac:dyDescent="0.3">
      <c r="A258" t="s">
        <v>570</v>
      </c>
      <c r="B258" t="s">
        <v>71</v>
      </c>
      <c r="C258">
        <v>1</v>
      </c>
      <c r="D258">
        <v>7103</v>
      </c>
      <c r="E258" s="5">
        <v>46015</v>
      </c>
      <c r="F258" t="s">
        <v>571</v>
      </c>
      <c r="G258" t="s">
        <v>175</v>
      </c>
      <c r="H258" t="s">
        <v>15</v>
      </c>
      <c r="I258" t="s">
        <v>34</v>
      </c>
      <c r="J258" t="s">
        <v>47</v>
      </c>
      <c r="K258">
        <v>7103</v>
      </c>
      <c r="L258">
        <f t="shared" si="14"/>
        <v>5803</v>
      </c>
      <c r="M258">
        <f t="shared" si="12"/>
        <v>5803</v>
      </c>
      <c r="N258">
        <f t="shared" si="13"/>
        <v>1300</v>
      </c>
    </row>
    <row r="259" spans="1:14" x14ac:dyDescent="0.3">
      <c r="A259" t="s">
        <v>572</v>
      </c>
      <c r="B259" t="s">
        <v>27</v>
      </c>
      <c r="C259">
        <v>4</v>
      </c>
      <c r="D259">
        <v>2075</v>
      </c>
      <c r="E259" s="5">
        <v>46016</v>
      </c>
      <c r="F259" t="s">
        <v>573</v>
      </c>
      <c r="G259" t="s">
        <v>24</v>
      </c>
      <c r="H259" t="s">
        <v>15</v>
      </c>
      <c r="I259" t="s">
        <v>34</v>
      </c>
      <c r="J259" t="s">
        <v>35</v>
      </c>
      <c r="K259">
        <v>8300</v>
      </c>
      <c r="L259">
        <f t="shared" si="14"/>
        <v>775</v>
      </c>
      <c r="M259">
        <f t="shared" ref="M259:M322" si="15">L259*C259</f>
        <v>3100</v>
      </c>
      <c r="N259">
        <f t="shared" ref="N259:N322" si="16">K259-M259</f>
        <v>5200</v>
      </c>
    </row>
    <row r="260" spans="1:14" x14ac:dyDescent="0.3">
      <c r="A260" t="s">
        <v>574</v>
      </c>
      <c r="B260" t="s">
        <v>62</v>
      </c>
      <c r="C260">
        <v>7</v>
      </c>
      <c r="D260">
        <v>3966</v>
      </c>
      <c r="E260" s="5">
        <v>46017</v>
      </c>
      <c r="F260" t="s">
        <v>575</v>
      </c>
      <c r="G260" t="s">
        <v>54</v>
      </c>
      <c r="H260" t="s">
        <v>15</v>
      </c>
      <c r="I260" t="s">
        <v>25</v>
      </c>
      <c r="J260" t="s">
        <v>17</v>
      </c>
      <c r="K260">
        <v>27762</v>
      </c>
      <c r="L260">
        <f t="shared" si="14"/>
        <v>2666</v>
      </c>
      <c r="M260">
        <f t="shared" si="15"/>
        <v>18662</v>
      </c>
      <c r="N260">
        <f t="shared" si="16"/>
        <v>9100</v>
      </c>
    </row>
    <row r="261" spans="1:14" x14ac:dyDescent="0.3">
      <c r="A261" t="s">
        <v>576</v>
      </c>
      <c r="B261" t="s">
        <v>40</v>
      </c>
      <c r="C261">
        <v>2</v>
      </c>
      <c r="D261">
        <v>14201</v>
      </c>
      <c r="E261" s="5">
        <v>46018</v>
      </c>
      <c r="F261" t="s">
        <v>577</v>
      </c>
      <c r="G261" t="s">
        <v>79</v>
      </c>
      <c r="H261" t="s">
        <v>15</v>
      </c>
      <c r="I261" t="s">
        <v>16</v>
      </c>
      <c r="J261" t="s">
        <v>17</v>
      </c>
      <c r="K261">
        <v>28402</v>
      </c>
      <c r="L261">
        <f t="shared" si="14"/>
        <v>12901</v>
      </c>
      <c r="M261">
        <f t="shared" si="15"/>
        <v>25802</v>
      </c>
      <c r="N261">
        <f t="shared" si="16"/>
        <v>2600</v>
      </c>
    </row>
    <row r="262" spans="1:14" x14ac:dyDescent="0.3">
      <c r="A262" t="s">
        <v>578</v>
      </c>
      <c r="B262" t="s">
        <v>71</v>
      </c>
      <c r="C262">
        <v>3</v>
      </c>
      <c r="D262">
        <v>6090</v>
      </c>
      <c r="E262" s="5">
        <v>46019</v>
      </c>
      <c r="F262" t="s">
        <v>579</v>
      </c>
      <c r="G262" t="s">
        <v>42</v>
      </c>
      <c r="H262" t="s">
        <v>15</v>
      </c>
      <c r="I262" t="s">
        <v>16</v>
      </c>
      <c r="J262" t="s">
        <v>35</v>
      </c>
      <c r="K262">
        <v>18270</v>
      </c>
      <c r="L262">
        <f t="shared" si="14"/>
        <v>4790</v>
      </c>
      <c r="M262">
        <f t="shared" si="15"/>
        <v>14370</v>
      </c>
      <c r="N262">
        <f t="shared" si="16"/>
        <v>3900</v>
      </c>
    </row>
    <row r="263" spans="1:14" x14ac:dyDescent="0.3">
      <c r="A263" t="s">
        <v>580</v>
      </c>
      <c r="B263" t="s">
        <v>71</v>
      </c>
      <c r="C263">
        <v>5</v>
      </c>
      <c r="D263">
        <v>5715</v>
      </c>
      <c r="E263" s="5">
        <v>46020</v>
      </c>
      <c r="F263" t="s">
        <v>581</v>
      </c>
      <c r="G263" t="s">
        <v>166</v>
      </c>
      <c r="H263" t="s">
        <v>15</v>
      </c>
      <c r="I263" t="s">
        <v>16</v>
      </c>
      <c r="J263" t="s">
        <v>76</v>
      </c>
      <c r="K263">
        <v>28575</v>
      </c>
      <c r="L263">
        <f t="shared" si="14"/>
        <v>4415</v>
      </c>
      <c r="M263">
        <f t="shared" si="15"/>
        <v>22075</v>
      </c>
      <c r="N263">
        <f t="shared" si="16"/>
        <v>6500</v>
      </c>
    </row>
    <row r="264" spans="1:14" x14ac:dyDescent="0.3">
      <c r="A264" t="s">
        <v>582</v>
      </c>
      <c r="B264" t="s">
        <v>62</v>
      </c>
      <c r="C264">
        <v>2</v>
      </c>
      <c r="D264">
        <v>17679</v>
      </c>
      <c r="E264" s="5">
        <v>46021</v>
      </c>
      <c r="F264" t="s">
        <v>583</v>
      </c>
      <c r="G264" t="s">
        <v>21</v>
      </c>
      <c r="H264" t="s">
        <v>15</v>
      </c>
      <c r="I264" t="s">
        <v>16</v>
      </c>
      <c r="J264" t="s">
        <v>47</v>
      </c>
      <c r="K264">
        <v>35358</v>
      </c>
      <c r="L264">
        <f t="shared" si="14"/>
        <v>16379</v>
      </c>
      <c r="M264">
        <f t="shared" si="15"/>
        <v>32758</v>
      </c>
      <c r="N264">
        <f t="shared" si="16"/>
        <v>2600</v>
      </c>
    </row>
    <row r="265" spans="1:14" x14ac:dyDescent="0.3">
      <c r="A265" t="s">
        <v>584</v>
      </c>
      <c r="B265" t="s">
        <v>12</v>
      </c>
      <c r="C265">
        <v>4</v>
      </c>
      <c r="D265">
        <v>17168</v>
      </c>
      <c r="E265" s="5">
        <v>46022</v>
      </c>
      <c r="F265" t="s">
        <v>585</v>
      </c>
      <c r="G265" t="s">
        <v>194</v>
      </c>
      <c r="H265" t="s">
        <v>15</v>
      </c>
      <c r="I265" t="s">
        <v>34</v>
      </c>
      <c r="J265" t="s">
        <v>35</v>
      </c>
      <c r="K265">
        <v>68672</v>
      </c>
      <c r="L265">
        <f t="shared" si="14"/>
        <v>15868</v>
      </c>
      <c r="M265">
        <f t="shared" si="15"/>
        <v>63472</v>
      </c>
      <c r="N265">
        <f t="shared" si="16"/>
        <v>5200</v>
      </c>
    </row>
    <row r="266" spans="1:14" x14ac:dyDescent="0.3">
      <c r="A266" t="s">
        <v>586</v>
      </c>
      <c r="B266" t="s">
        <v>31</v>
      </c>
      <c r="C266">
        <v>3</v>
      </c>
      <c r="D266">
        <v>9949</v>
      </c>
      <c r="E266" s="5">
        <v>45658</v>
      </c>
      <c r="F266" t="s">
        <v>587</v>
      </c>
      <c r="G266" t="s">
        <v>94</v>
      </c>
      <c r="H266" t="s">
        <v>15</v>
      </c>
      <c r="I266" t="s">
        <v>25</v>
      </c>
      <c r="J266" t="s">
        <v>17</v>
      </c>
      <c r="K266">
        <v>29847</v>
      </c>
      <c r="L266">
        <f t="shared" si="14"/>
        <v>8649</v>
      </c>
      <c r="M266">
        <f t="shared" si="15"/>
        <v>25947</v>
      </c>
      <c r="N266">
        <f t="shared" si="16"/>
        <v>3900</v>
      </c>
    </row>
    <row r="267" spans="1:14" x14ac:dyDescent="0.3">
      <c r="A267" t="s">
        <v>588</v>
      </c>
      <c r="B267" t="s">
        <v>71</v>
      </c>
      <c r="C267">
        <v>5</v>
      </c>
      <c r="D267">
        <v>5878</v>
      </c>
      <c r="E267" s="5">
        <v>45659</v>
      </c>
      <c r="F267" t="s">
        <v>589</v>
      </c>
      <c r="G267" t="s">
        <v>111</v>
      </c>
      <c r="H267" t="s">
        <v>15</v>
      </c>
      <c r="I267" t="s">
        <v>34</v>
      </c>
      <c r="J267" t="s">
        <v>35</v>
      </c>
      <c r="K267">
        <v>29390</v>
      </c>
      <c r="L267">
        <f t="shared" si="14"/>
        <v>4578</v>
      </c>
      <c r="M267">
        <f t="shared" si="15"/>
        <v>22890</v>
      </c>
      <c r="N267">
        <f t="shared" si="16"/>
        <v>6500</v>
      </c>
    </row>
    <row r="268" spans="1:14" x14ac:dyDescent="0.3">
      <c r="A268" t="s">
        <v>590</v>
      </c>
      <c r="B268" t="s">
        <v>31</v>
      </c>
      <c r="C268">
        <v>8</v>
      </c>
      <c r="D268">
        <v>6356</v>
      </c>
      <c r="E268" s="5">
        <v>45660</v>
      </c>
      <c r="F268" t="s">
        <v>591</v>
      </c>
      <c r="G268" t="s">
        <v>38</v>
      </c>
      <c r="H268" t="s">
        <v>15</v>
      </c>
      <c r="I268" t="s">
        <v>34</v>
      </c>
      <c r="J268" t="s">
        <v>17</v>
      </c>
      <c r="K268">
        <v>50848</v>
      </c>
      <c r="L268">
        <f t="shared" si="14"/>
        <v>5056</v>
      </c>
      <c r="M268">
        <f t="shared" si="15"/>
        <v>40448</v>
      </c>
      <c r="N268">
        <f t="shared" si="16"/>
        <v>10400</v>
      </c>
    </row>
    <row r="269" spans="1:14" x14ac:dyDescent="0.3">
      <c r="A269" t="s">
        <v>592</v>
      </c>
      <c r="B269" t="s">
        <v>59</v>
      </c>
      <c r="C269">
        <v>5</v>
      </c>
      <c r="D269">
        <v>16851</v>
      </c>
      <c r="E269" s="5">
        <v>45661</v>
      </c>
      <c r="F269" t="s">
        <v>593</v>
      </c>
      <c r="G269" t="s">
        <v>101</v>
      </c>
      <c r="H269" t="s">
        <v>15</v>
      </c>
      <c r="I269" t="s">
        <v>25</v>
      </c>
      <c r="J269" t="s">
        <v>17</v>
      </c>
      <c r="K269">
        <v>84255</v>
      </c>
      <c r="L269">
        <f t="shared" si="14"/>
        <v>15551</v>
      </c>
      <c r="M269">
        <f t="shared" si="15"/>
        <v>77755</v>
      </c>
      <c r="N269">
        <f t="shared" si="16"/>
        <v>6500</v>
      </c>
    </row>
    <row r="270" spans="1:14" x14ac:dyDescent="0.3">
      <c r="A270" t="s">
        <v>594</v>
      </c>
      <c r="B270" t="s">
        <v>44</v>
      </c>
      <c r="C270">
        <v>5</v>
      </c>
      <c r="D270">
        <v>5216</v>
      </c>
      <c r="E270" s="5">
        <v>45662</v>
      </c>
      <c r="F270" t="s">
        <v>595</v>
      </c>
      <c r="G270" t="s">
        <v>135</v>
      </c>
      <c r="H270" t="s">
        <v>15</v>
      </c>
      <c r="I270" t="s">
        <v>16</v>
      </c>
      <c r="J270" t="s">
        <v>17</v>
      </c>
      <c r="K270">
        <v>26080</v>
      </c>
      <c r="L270">
        <f t="shared" si="14"/>
        <v>3916</v>
      </c>
      <c r="M270">
        <f t="shared" si="15"/>
        <v>19580</v>
      </c>
      <c r="N270">
        <f t="shared" si="16"/>
        <v>6500</v>
      </c>
    </row>
    <row r="271" spans="1:14" x14ac:dyDescent="0.3">
      <c r="A271" t="s">
        <v>596</v>
      </c>
      <c r="B271" t="s">
        <v>52</v>
      </c>
      <c r="C271">
        <v>2</v>
      </c>
      <c r="D271">
        <v>4430</v>
      </c>
      <c r="E271" s="5">
        <v>45663</v>
      </c>
      <c r="F271" t="s">
        <v>597</v>
      </c>
      <c r="G271" t="s">
        <v>104</v>
      </c>
      <c r="H271" t="s">
        <v>15</v>
      </c>
      <c r="I271" t="s">
        <v>16</v>
      </c>
      <c r="J271" t="s">
        <v>50</v>
      </c>
      <c r="K271">
        <v>8860</v>
      </c>
      <c r="L271">
        <f t="shared" si="14"/>
        <v>3130</v>
      </c>
      <c r="M271">
        <f t="shared" si="15"/>
        <v>6260</v>
      </c>
      <c r="N271">
        <f t="shared" si="16"/>
        <v>2600</v>
      </c>
    </row>
    <row r="272" spans="1:14" x14ac:dyDescent="0.3">
      <c r="A272" t="s">
        <v>598</v>
      </c>
      <c r="B272" t="s">
        <v>52</v>
      </c>
      <c r="C272">
        <v>3</v>
      </c>
      <c r="D272">
        <v>10856</v>
      </c>
      <c r="E272" s="5">
        <v>45664</v>
      </c>
      <c r="F272" t="s">
        <v>599</v>
      </c>
      <c r="G272" t="s">
        <v>46</v>
      </c>
      <c r="H272" t="s">
        <v>15</v>
      </c>
      <c r="I272" t="s">
        <v>25</v>
      </c>
      <c r="J272" t="s">
        <v>47</v>
      </c>
      <c r="K272">
        <v>32568</v>
      </c>
      <c r="L272">
        <f t="shared" si="14"/>
        <v>9556</v>
      </c>
      <c r="M272">
        <f t="shared" si="15"/>
        <v>28668</v>
      </c>
      <c r="N272">
        <f t="shared" si="16"/>
        <v>3900</v>
      </c>
    </row>
    <row r="273" spans="1:14" x14ac:dyDescent="0.3">
      <c r="A273" t="s">
        <v>600</v>
      </c>
      <c r="B273" t="s">
        <v>52</v>
      </c>
      <c r="C273">
        <v>8</v>
      </c>
      <c r="D273">
        <v>11483</v>
      </c>
      <c r="E273" s="5">
        <v>45665</v>
      </c>
      <c r="F273" t="s">
        <v>601</v>
      </c>
      <c r="G273" t="s">
        <v>82</v>
      </c>
      <c r="H273" t="s">
        <v>15</v>
      </c>
      <c r="I273" t="s">
        <v>34</v>
      </c>
      <c r="J273" t="s">
        <v>50</v>
      </c>
      <c r="K273">
        <v>91864</v>
      </c>
      <c r="L273">
        <f t="shared" si="14"/>
        <v>10183</v>
      </c>
      <c r="M273">
        <f t="shared" si="15"/>
        <v>81464</v>
      </c>
      <c r="N273">
        <f t="shared" si="16"/>
        <v>10400</v>
      </c>
    </row>
    <row r="274" spans="1:14" x14ac:dyDescent="0.3">
      <c r="A274" t="s">
        <v>602</v>
      </c>
      <c r="B274" t="s">
        <v>19</v>
      </c>
      <c r="C274">
        <v>3</v>
      </c>
      <c r="D274">
        <v>11435</v>
      </c>
      <c r="E274" s="5">
        <v>45666</v>
      </c>
      <c r="F274" t="s">
        <v>603</v>
      </c>
      <c r="G274" t="s">
        <v>79</v>
      </c>
      <c r="H274" t="s">
        <v>15</v>
      </c>
      <c r="I274" t="s">
        <v>16</v>
      </c>
      <c r="J274" t="s">
        <v>17</v>
      </c>
      <c r="K274">
        <v>34305</v>
      </c>
      <c r="L274">
        <f t="shared" si="14"/>
        <v>10135</v>
      </c>
      <c r="M274">
        <f t="shared" si="15"/>
        <v>30405</v>
      </c>
      <c r="N274">
        <f t="shared" si="16"/>
        <v>3900</v>
      </c>
    </row>
    <row r="275" spans="1:14" x14ac:dyDescent="0.3">
      <c r="A275" t="s">
        <v>604</v>
      </c>
      <c r="B275" t="s">
        <v>52</v>
      </c>
      <c r="C275">
        <v>4</v>
      </c>
      <c r="D275">
        <v>7000</v>
      </c>
      <c r="E275" s="5">
        <v>45667</v>
      </c>
      <c r="F275" t="s">
        <v>605</v>
      </c>
      <c r="G275" t="s">
        <v>194</v>
      </c>
      <c r="H275" t="s">
        <v>15</v>
      </c>
      <c r="I275" t="s">
        <v>25</v>
      </c>
      <c r="J275" t="s">
        <v>35</v>
      </c>
      <c r="K275">
        <v>28000</v>
      </c>
      <c r="L275">
        <f t="shared" si="14"/>
        <v>5700</v>
      </c>
      <c r="M275">
        <f t="shared" si="15"/>
        <v>22800</v>
      </c>
      <c r="N275">
        <f t="shared" si="16"/>
        <v>5200</v>
      </c>
    </row>
    <row r="276" spans="1:14" x14ac:dyDescent="0.3">
      <c r="A276" t="s">
        <v>606</v>
      </c>
      <c r="B276" t="s">
        <v>40</v>
      </c>
      <c r="C276">
        <v>8</v>
      </c>
      <c r="D276">
        <v>8438</v>
      </c>
      <c r="E276" s="5">
        <v>45668</v>
      </c>
      <c r="F276" t="s">
        <v>607</v>
      </c>
      <c r="G276" t="s">
        <v>64</v>
      </c>
      <c r="H276" t="s">
        <v>15</v>
      </c>
      <c r="I276" t="s">
        <v>25</v>
      </c>
      <c r="J276" t="s">
        <v>47</v>
      </c>
      <c r="K276">
        <v>67504</v>
      </c>
      <c r="L276">
        <f t="shared" si="14"/>
        <v>7138</v>
      </c>
      <c r="M276">
        <f t="shared" si="15"/>
        <v>57104</v>
      </c>
      <c r="N276">
        <f t="shared" si="16"/>
        <v>10400</v>
      </c>
    </row>
    <row r="277" spans="1:14" x14ac:dyDescent="0.3">
      <c r="A277" t="s">
        <v>608</v>
      </c>
      <c r="B277" t="s">
        <v>19</v>
      </c>
      <c r="C277">
        <v>7</v>
      </c>
      <c r="D277">
        <v>3588</v>
      </c>
      <c r="E277" s="5">
        <v>45669</v>
      </c>
      <c r="F277" t="s">
        <v>609</v>
      </c>
      <c r="G277" t="s">
        <v>79</v>
      </c>
      <c r="H277" t="s">
        <v>15</v>
      </c>
      <c r="I277" t="s">
        <v>16</v>
      </c>
      <c r="J277" t="s">
        <v>76</v>
      </c>
      <c r="K277">
        <v>25116</v>
      </c>
      <c r="L277">
        <f t="shared" si="14"/>
        <v>2288</v>
      </c>
      <c r="M277">
        <f t="shared" si="15"/>
        <v>16016</v>
      </c>
      <c r="N277">
        <f t="shared" si="16"/>
        <v>9100</v>
      </c>
    </row>
    <row r="278" spans="1:14" x14ac:dyDescent="0.3">
      <c r="A278" t="s">
        <v>610</v>
      </c>
      <c r="B278" t="s">
        <v>19</v>
      </c>
      <c r="C278">
        <v>7</v>
      </c>
      <c r="D278">
        <v>17679</v>
      </c>
      <c r="E278" s="5">
        <v>45670</v>
      </c>
      <c r="F278" t="s">
        <v>611</v>
      </c>
      <c r="G278" t="s">
        <v>33</v>
      </c>
      <c r="H278" t="s">
        <v>15</v>
      </c>
      <c r="I278" t="s">
        <v>25</v>
      </c>
      <c r="J278" t="s">
        <v>76</v>
      </c>
      <c r="K278">
        <v>123753</v>
      </c>
      <c r="L278">
        <f t="shared" si="14"/>
        <v>16379</v>
      </c>
      <c r="M278">
        <f t="shared" si="15"/>
        <v>114653</v>
      </c>
      <c r="N278">
        <f t="shared" si="16"/>
        <v>9100</v>
      </c>
    </row>
    <row r="279" spans="1:14" x14ac:dyDescent="0.3">
      <c r="A279" t="s">
        <v>612</v>
      </c>
      <c r="B279" t="s">
        <v>40</v>
      </c>
      <c r="C279">
        <v>3</v>
      </c>
      <c r="D279">
        <v>13157</v>
      </c>
      <c r="E279" s="5">
        <v>45671</v>
      </c>
      <c r="F279" t="s">
        <v>613</v>
      </c>
      <c r="G279" t="s">
        <v>14</v>
      </c>
      <c r="H279" t="s">
        <v>15</v>
      </c>
      <c r="I279" t="s">
        <v>34</v>
      </c>
      <c r="J279" t="s">
        <v>35</v>
      </c>
      <c r="K279">
        <v>39471</v>
      </c>
      <c r="L279">
        <f t="shared" si="14"/>
        <v>11857</v>
      </c>
      <c r="M279">
        <f t="shared" si="15"/>
        <v>35571</v>
      </c>
      <c r="N279">
        <f t="shared" si="16"/>
        <v>3900</v>
      </c>
    </row>
    <row r="280" spans="1:14" x14ac:dyDescent="0.3">
      <c r="A280" t="s">
        <v>614</v>
      </c>
      <c r="B280" t="s">
        <v>71</v>
      </c>
      <c r="C280">
        <v>4</v>
      </c>
      <c r="D280">
        <v>10947</v>
      </c>
      <c r="E280" s="5">
        <v>45672</v>
      </c>
      <c r="F280" t="s">
        <v>615</v>
      </c>
      <c r="G280" t="s">
        <v>29</v>
      </c>
      <c r="H280" t="s">
        <v>15</v>
      </c>
      <c r="I280" t="s">
        <v>34</v>
      </c>
      <c r="J280" t="s">
        <v>35</v>
      </c>
      <c r="K280">
        <v>43788</v>
      </c>
      <c r="L280">
        <f t="shared" si="14"/>
        <v>9647</v>
      </c>
      <c r="M280">
        <f t="shared" si="15"/>
        <v>38588</v>
      </c>
      <c r="N280">
        <f t="shared" si="16"/>
        <v>5200</v>
      </c>
    </row>
    <row r="281" spans="1:14" x14ac:dyDescent="0.3">
      <c r="A281" t="s">
        <v>616</v>
      </c>
      <c r="B281" t="s">
        <v>59</v>
      </c>
      <c r="C281">
        <v>7</v>
      </c>
      <c r="D281">
        <v>16539</v>
      </c>
      <c r="E281" s="5">
        <v>45673</v>
      </c>
      <c r="F281" t="s">
        <v>617</v>
      </c>
      <c r="G281" t="s">
        <v>82</v>
      </c>
      <c r="H281" t="s">
        <v>15</v>
      </c>
      <c r="I281" t="s">
        <v>25</v>
      </c>
      <c r="J281" t="s">
        <v>50</v>
      </c>
      <c r="K281">
        <v>115773</v>
      </c>
      <c r="L281">
        <f t="shared" si="14"/>
        <v>15239</v>
      </c>
      <c r="M281">
        <f t="shared" si="15"/>
        <v>106673</v>
      </c>
      <c r="N281">
        <f t="shared" si="16"/>
        <v>9100</v>
      </c>
    </row>
    <row r="282" spans="1:14" x14ac:dyDescent="0.3">
      <c r="A282" t="s">
        <v>618</v>
      </c>
      <c r="B282" t="s">
        <v>12</v>
      </c>
      <c r="C282">
        <v>1</v>
      </c>
      <c r="D282">
        <v>12975</v>
      </c>
      <c r="E282" s="5">
        <v>45674</v>
      </c>
      <c r="F282" t="s">
        <v>619</v>
      </c>
      <c r="G282" t="s">
        <v>142</v>
      </c>
      <c r="H282" t="s">
        <v>15</v>
      </c>
      <c r="I282" t="s">
        <v>16</v>
      </c>
      <c r="J282" t="s">
        <v>17</v>
      </c>
      <c r="K282">
        <v>12975</v>
      </c>
      <c r="L282">
        <f t="shared" si="14"/>
        <v>11675</v>
      </c>
      <c r="M282">
        <f t="shared" si="15"/>
        <v>11675</v>
      </c>
      <c r="N282">
        <f t="shared" si="16"/>
        <v>1300</v>
      </c>
    </row>
    <row r="283" spans="1:14" x14ac:dyDescent="0.3">
      <c r="A283" t="s">
        <v>620</v>
      </c>
      <c r="B283" t="s">
        <v>12</v>
      </c>
      <c r="C283">
        <v>9</v>
      </c>
      <c r="D283">
        <v>18694</v>
      </c>
      <c r="E283" s="5">
        <v>45675</v>
      </c>
      <c r="F283" t="s">
        <v>621</v>
      </c>
      <c r="G283" t="s">
        <v>82</v>
      </c>
      <c r="H283" t="s">
        <v>15</v>
      </c>
      <c r="I283" t="s">
        <v>16</v>
      </c>
      <c r="J283" t="s">
        <v>35</v>
      </c>
      <c r="K283">
        <v>168246</v>
      </c>
      <c r="L283">
        <f t="shared" si="14"/>
        <v>17394</v>
      </c>
      <c r="M283">
        <f t="shared" si="15"/>
        <v>156546</v>
      </c>
      <c r="N283">
        <f t="shared" si="16"/>
        <v>11700</v>
      </c>
    </row>
    <row r="284" spans="1:14" x14ac:dyDescent="0.3">
      <c r="A284" t="s">
        <v>622</v>
      </c>
      <c r="B284" t="s">
        <v>31</v>
      </c>
      <c r="C284">
        <v>1</v>
      </c>
      <c r="D284">
        <v>18243</v>
      </c>
      <c r="E284" s="5">
        <v>45676</v>
      </c>
      <c r="F284" t="s">
        <v>623</v>
      </c>
      <c r="G284" t="s">
        <v>124</v>
      </c>
      <c r="H284" t="s">
        <v>15</v>
      </c>
      <c r="I284" t="s">
        <v>16</v>
      </c>
      <c r="J284" t="s">
        <v>76</v>
      </c>
      <c r="K284">
        <v>18243</v>
      </c>
      <c r="L284">
        <f t="shared" si="14"/>
        <v>16943</v>
      </c>
      <c r="M284">
        <f t="shared" si="15"/>
        <v>16943</v>
      </c>
      <c r="N284">
        <f t="shared" si="16"/>
        <v>1300</v>
      </c>
    </row>
    <row r="285" spans="1:14" x14ac:dyDescent="0.3">
      <c r="A285" t="s">
        <v>624</v>
      </c>
      <c r="B285" t="s">
        <v>52</v>
      </c>
      <c r="C285">
        <v>8</v>
      </c>
      <c r="D285">
        <v>15747</v>
      </c>
      <c r="E285" s="5">
        <v>45677</v>
      </c>
      <c r="F285" t="s">
        <v>625</v>
      </c>
      <c r="G285" t="s">
        <v>67</v>
      </c>
      <c r="H285" t="s">
        <v>15</v>
      </c>
      <c r="I285" t="s">
        <v>34</v>
      </c>
      <c r="J285" t="s">
        <v>76</v>
      </c>
      <c r="K285">
        <v>125976</v>
      </c>
      <c r="L285">
        <f t="shared" si="14"/>
        <v>14447</v>
      </c>
      <c r="M285">
        <f t="shared" si="15"/>
        <v>115576</v>
      </c>
      <c r="N285">
        <f t="shared" si="16"/>
        <v>10400</v>
      </c>
    </row>
    <row r="286" spans="1:14" x14ac:dyDescent="0.3">
      <c r="A286" t="s">
        <v>626</v>
      </c>
      <c r="B286" t="s">
        <v>52</v>
      </c>
      <c r="C286">
        <v>7</v>
      </c>
      <c r="D286">
        <v>17443</v>
      </c>
      <c r="E286" s="5">
        <v>45678</v>
      </c>
      <c r="F286" t="s">
        <v>627</v>
      </c>
      <c r="G286" t="s">
        <v>14</v>
      </c>
      <c r="H286" t="s">
        <v>15</v>
      </c>
      <c r="I286" t="s">
        <v>16</v>
      </c>
      <c r="J286" t="s">
        <v>47</v>
      </c>
      <c r="K286">
        <v>122101</v>
      </c>
      <c r="L286">
        <f t="shared" ref="L286:L349" si="17">D286-1300</f>
        <v>16143</v>
      </c>
      <c r="M286">
        <f t="shared" si="15"/>
        <v>113001</v>
      </c>
      <c r="N286">
        <f t="shared" si="16"/>
        <v>9100</v>
      </c>
    </row>
    <row r="287" spans="1:14" x14ac:dyDescent="0.3">
      <c r="A287" t="s">
        <v>628</v>
      </c>
      <c r="B287" t="s">
        <v>44</v>
      </c>
      <c r="C287">
        <v>6</v>
      </c>
      <c r="D287">
        <v>18685</v>
      </c>
      <c r="E287" s="5">
        <v>45679</v>
      </c>
      <c r="F287" t="s">
        <v>629</v>
      </c>
      <c r="G287" t="s">
        <v>104</v>
      </c>
      <c r="H287" t="s">
        <v>15</v>
      </c>
      <c r="I287" t="s">
        <v>16</v>
      </c>
      <c r="J287" t="s">
        <v>47</v>
      </c>
      <c r="K287">
        <v>112110</v>
      </c>
      <c r="L287">
        <f t="shared" si="17"/>
        <v>17385</v>
      </c>
      <c r="M287">
        <f t="shared" si="15"/>
        <v>104310</v>
      </c>
      <c r="N287">
        <f t="shared" si="16"/>
        <v>7800</v>
      </c>
    </row>
    <row r="288" spans="1:14" x14ac:dyDescent="0.3">
      <c r="A288" t="s">
        <v>630</v>
      </c>
      <c r="B288" t="s">
        <v>27</v>
      </c>
      <c r="C288">
        <v>7</v>
      </c>
      <c r="D288">
        <v>17727</v>
      </c>
      <c r="E288" s="5">
        <v>45680</v>
      </c>
      <c r="F288" t="s">
        <v>631</v>
      </c>
      <c r="G288" t="s">
        <v>124</v>
      </c>
      <c r="H288" t="s">
        <v>15</v>
      </c>
      <c r="I288" t="s">
        <v>16</v>
      </c>
      <c r="J288" t="s">
        <v>17</v>
      </c>
      <c r="K288">
        <v>124089</v>
      </c>
      <c r="L288">
        <f t="shared" si="17"/>
        <v>16427</v>
      </c>
      <c r="M288">
        <f t="shared" si="15"/>
        <v>114989</v>
      </c>
      <c r="N288">
        <f t="shared" si="16"/>
        <v>9100</v>
      </c>
    </row>
    <row r="289" spans="1:14" x14ac:dyDescent="0.3">
      <c r="A289" t="s">
        <v>632</v>
      </c>
      <c r="B289" t="s">
        <v>27</v>
      </c>
      <c r="C289">
        <v>6</v>
      </c>
      <c r="D289">
        <v>3339</v>
      </c>
      <c r="E289" s="5">
        <v>45681</v>
      </c>
      <c r="F289" t="s">
        <v>633</v>
      </c>
      <c r="G289" t="s">
        <v>194</v>
      </c>
      <c r="H289" t="s">
        <v>15</v>
      </c>
      <c r="I289" t="s">
        <v>16</v>
      </c>
      <c r="J289" t="s">
        <v>35</v>
      </c>
      <c r="K289">
        <v>20034</v>
      </c>
      <c r="L289">
        <f t="shared" si="17"/>
        <v>2039</v>
      </c>
      <c r="M289">
        <f t="shared" si="15"/>
        <v>12234</v>
      </c>
      <c r="N289">
        <f t="shared" si="16"/>
        <v>7800</v>
      </c>
    </row>
    <row r="290" spans="1:14" x14ac:dyDescent="0.3">
      <c r="A290" t="s">
        <v>634</v>
      </c>
      <c r="B290" t="s">
        <v>40</v>
      </c>
      <c r="C290">
        <v>3</v>
      </c>
      <c r="D290">
        <v>19562</v>
      </c>
      <c r="E290" s="5">
        <v>45682</v>
      </c>
      <c r="F290" t="s">
        <v>635</v>
      </c>
      <c r="G290" t="s">
        <v>166</v>
      </c>
      <c r="H290" t="s">
        <v>15</v>
      </c>
      <c r="I290" t="s">
        <v>16</v>
      </c>
      <c r="J290" t="s">
        <v>35</v>
      </c>
      <c r="K290">
        <v>58686</v>
      </c>
      <c r="L290">
        <f t="shared" si="17"/>
        <v>18262</v>
      </c>
      <c r="M290">
        <f t="shared" si="15"/>
        <v>54786</v>
      </c>
      <c r="N290">
        <f t="shared" si="16"/>
        <v>3900</v>
      </c>
    </row>
    <row r="291" spans="1:14" x14ac:dyDescent="0.3">
      <c r="A291" t="s">
        <v>636</v>
      </c>
      <c r="B291" t="s">
        <v>31</v>
      </c>
      <c r="C291">
        <v>8</v>
      </c>
      <c r="D291">
        <v>5704</v>
      </c>
      <c r="E291" s="5">
        <v>45683</v>
      </c>
      <c r="F291" t="s">
        <v>637</v>
      </c>
      <c r="G291" t="s">
        <v>79</v>
      </c>
      <c r="H291" t="s">
        <v>15</v>
      </c>
      <c r="I291" t="s">
        <v>16</v>
      </c>
      <c r="J291" t="s">
        <v>76</v>
      </c>
      <c r="K291">
        <v>45632</v>
      </c>
      <c r="L291">
        <f t="shared" si="17"/>
        <v>4404</v>
      </c>
      <c r="M291">
        <f t="shared" si="15"/>
        <v>35232</v>
      </c>
      <c r="N291">
        <f t="shared" si="16"/>
        <v>10400</v>
      </c>
    </row>
    <row r="292" spans="1:14" x14ac:dyDescent="0.3">
      <c r="A292" t="s">
        <v>638</v>
      </c>
      <c r="B292" t="s">
        <v>62</v>
      </c>
      <c r="C292">
        <v>2</v>
      </c>
      <c r="D292">
        <v>7774</v>
      </c>
      <c r="E292" s="5">
        <v>45684</v>
      </c>
      <c r="F292" t="s">
        <v>639</v>
      </c>
      <c r="G292" t="s">
        <v>94</v>
      </c>
      <c r="H292" t="s">
        <v>15</v>
      </c>
      <c r="I292" t="s">
        <v>16</v>
      </c>
      <c r="J292" t="s">
        <v>50</v>
      </c>
      <c r="K292">
        <v>15548</v>
      </c>
      <c r="L292">
        <f t="shared" si="17"/>
        <v>6474</v>
      </c>
      <c r="M292">
        <f t="shared" si="15"/>
        <v>12948</v>
      </c>
      <c r="N292">
        <f t="shared" si="16"/>
        <v>2600</v>
      </c>
    </row>
    <row r="293" spans="1:14" x14ac:dyDescent="0.3">
      <c r="A293" t="s">
        <v>640</v>
      </c>
      <c r="B293" t="s">
        <v>52</v>
      </c>
      <c r="C293">
        <v>3</v>
      </c>
      <c r="D293">
        <v>2513</v>
      </c>
      <c r="E293" s="5">
        <v>45685</v>
      </c>
      <c r="F293" t="s">
        <v>641</v>
      </c>
      <c r="G293" t="s">
        <v>14</v>
      </c>
      <c r="H293" t="s">
        <v>15</v>
      </c>
      <c r="I293" t="s">
        <v>16</v>
      </c>
      <c r="J293" t="s">
        <v>50</v>
      </c>
      <c r="K293">
        <v>7539</v>
      </c>
      <c r="L293">
        <f t="shared" si="17"/>
        <v>1213</v>
      </c>
      <c r="M293">
        <f t="shared" si="15"/>
        <v>3639</v>
      </c>
      <c r="N293">
        <f t="shared" si="16"/>
        <v>3900</v>
      </c>
    </row>
    <row r="294" spans="1:14" x14ac:dyDescent="0.3">
      <c r="A294" t="s">
        <v>642</v>
      </c>
      <c r="B294" t="s">
        <v>71</v>
      </c>
      <c r="C294">
        <v>3</v>
      </c>
      <c r="D294">
        <v>5574</v>
      </c>
      <c r="E294" s="5">
        <v>45686</v>
      </c>
      <c r="F294" t="s">
        <v>643</v>
      </c>
      <c r="G294" t="s">
        <v>29</v>
      </c>
      <c r="H294" t="s">
        <v>15</v>
      </c>
      <c r="I294" t="s">
        <v>34</v>
      </c>
      <c r="J294" t="s">
        <v>47</v>
      </c>
      <c r="K294">
        <v>16722</v>
      </c>
      <c r="L294">
        <f t="shared" si="17"/>
        <v>4274</v>
      </c>
      <c r="M294">
        <f t="shared" si="15"/>
        <v>12822</v>
      </c>
      <c r="N294">
        <f t="shared" si="16"/>
        <v>3900</v>
      </c>
    </row>
    <row r="295" spans="1:14" x14ac:dyDescent="0.3">
      <c r="A295" t="s">
        <v>644</v>
      </c>
      <c r="B295" t="s">
        <v>71</v>
      </c>
      <c r="C295">
        <v>6</v>
      </c>
      <c r="D295">
        <v>16767</v>
      </c>
      <c r="E295" s="5">
        <v>45687</v>
      </c>
      <c r="F295" t="s">
        <v>645</v>
      </c>
      <c r="G295" t="s">
        <v>91</v>
      </c>
      <c r="H295" t="s">
        <v>15</v>
      </c>
      <c r="I295" t="s">
        <v>34</v>
      </c>
      <c r="J295" t="s">
        <v>50</v>
      </c>
      <c r="K295">
        <v>100602</v>
      </c>
      <c r="L295">
        <f t="shared" si="17"/>
        <v>15467</v>
      </c>
      <c r="M295">
        <f t="shared" si="15"/>
        <v>92802</v>
      </c>
      <c r="N295">
        <f t="shared" si="16"/>
        <v>7800</v>
      </c>
    </row>
    <row r="296" spans="1:14" x14ac:dyDescent="0.3">
      <c r="A296" t="s">
        <v>646</v>
      </c>
      <c r="B296" t="s">
        <v>44</v>
      </c>
      <c r="C296">
        <v>7</v>
      </c>
      <c r="D296">
        <v>9548</v>
      </c>
      <c r="E296" s="5">
        <v>45688</v>
      </c>
      <c r="F296" t="s">
        <v>647</v>
      </c>
      <c r="G296" t="s">
        <v>54</v>
      </c>
      <c r="H296" t="s">
        <v>15</v>
      </c>
      <c r="I296" t="s">
        <v>16</v>
      </c>
      <c r="J296" t="s">
        <v>47</v>
      </c>
      <c r="K296">
        <v>66836</v>
      </c>
      <c r="L296">
        <f t="shared" si="17"/>
        <v>8248</v>
      </c>
      <c r="M296">
        <f t="shared" si="15"/>
        <v>57736</v>
      </c>
      <c r="N296">
        <f t="shared" si="16"/>
        <v>9100</v>
      </c>
    </row>
    <row r="297" spans="1:14" x14ac:dyDescent="0.3">
      <c r="A297" t="s">
        <v>648</v>
      </c>
      <c r="B297" t="s">
        <v>59</v>
      </c>
      <c r="C297">
        <v>5</v>
      </c>
      <c r="D297">
        <v>13382</v>
      </c>
      <c r="E297" s="5">
        <v>45689</v>
      </c>
      <c r="F297" t="s">
        <v>649</v>
      </c>
      <c r="G297" t="s">
        <v>124</v>
      </c>
      <c r="H297" t="s">
        <v>15</v>
      </c>
      <c r="I297" t="s">
        <v>34</v>
      </c>
      <c r="J297" t="s">
        <v>50</v>
      </c>
      <c r="K297">
        <v>66910</v>
      </c>
      <c r="L297">
        <f t="shared" si="17"/>
        <v>12082</v>
      </c>
      <c r="M297">
        <f t="shared" si="15"/>
        <v>60410</v>
      </c>
      <c r="N297">
        <f t="shared" si="16"/>
        <v>6500</v>
      </c>
    </row>
    <row r="298" spans="1:14" x14ac:dyDescent="0.3">
      <c r="A298" t="s">
        <v>650</v>
      </c>
      <c r="B298" t="s">
        <v>31</v>
      </c>
      <c r="C298">
        <v>3</v>
      </c>
      <c r="D298">
        <v>10004</v>
      </c>
      <c r="E298" s="5">
        <v>45690</v>
      </c>
      <c r="F298" t="s">
        <v>651</v>
      </c>
      <c r="G298" t="s">
        <v>104</v>
      </c>
      <c r="H298" t="s">
        <v>15</v>
      </c>
      <c r="I298" t="s">
        <v>34</v>
      </c>
      <c r="J298" t="s">
        <v>17</v>
      </c>
      <c r="K298">
        <v>30012</v>
      </c>
      <c r="L298">
        <f t="shared" si="17"/>
        <v>8704</v>
      </c>
      <c r="M298">
        <f t="shared" si="15"/>
        <v>26112</v>
      </c>
      <c r="N298">
        <f t="shared" si="16"/>
        <v>3900</v>
      </c>
    </row>
    <row r="299" spans="1:14" x14ac:dyDescent="0.3">
      <c r="A299" t="s">
        <v>652</v>
      </c>
      <c r="B299" t="s">
        <v>62</v>
      </c>
      <c r="C299">
        <v>3</v>
      </c>
      <c r="D299">
        <v>19610</v>
      </c>
      <c r="E299" s="5">
        <v>45691</v>
      </c>
      <c r="F299" t="s">
        <v>653</v>
      </c>
      <c r="G299" t="s">
        <v>142</v>
      </c>
      <c r="H299" t="s">
        <v>15</v>
      </c>
      <c r="I299" t="s">
        <v>34</v>
      </c>
      <c r="J299" t="s">
        <v>76</v>
      </c>
      <c r="K299">
        <v>58830</v>
      </c>
      <c r="L299">
        <f t="shared" si="17"/>
        <v>18310</v>
      </c>
      <c r="M299">
        <f t="shared" si="15"/>
        <v>54930</v>
      </c>
      <c r="N299">
        <f t="shared" si="16"/>
        <v>3900</v>
      </c>
    </row>
    <row r="300" spans="1:14" x14ac:dyDescent="0.3">
      <c r="A300" t="s">
        <v>654</v>
      </c>
      <c r="B300" t="s">
        <v>52</v>
      </c>
      <c r="C300">
        <v>2</v>
      </c>
      <c r="D300">
        <v>2106</v>
      </c>
      <c r="E300" s="5">
        <v>45692</v>
      </c>
      <c r="F300" t="s">
        <v>655</v>
      </c>
      <c r="G300" t="s">
        <v>79</v>
      </c>
      <c r="H300" t="s">
        <v>15</v>
      </c>
      <c r="I300" t="s">
        <v>16</v>
      </c>
      <c r="J300" t="s">
        <v>35</v>
      </c>
      <c r="K300">
        <v>4212</v>
      </c>
      <c r="L300">
        <f t="shared" si="17"/>
        <v>806</v>
      </c>
      <c r="M300">
        <f t="shared" si="15"/>
        <v>1612</v>
      </c>
      <c r="N300">
        <f t="shared" si="16"/>
        <v>2600</v>
      </c>
    </row>
    <row r="301" spans="1:14" x14ac:dyDescent="0.3">
      <c r="A301" t="s">
        <v>656</v>
      </c>
      <c r="B301" t="s">
        <v>27</v>
      </c>
      <c r="C301">
        <v>1</v>
      </c>
      <c r="D301">
        <v>9659</v>
      </c>
      <c r="E301" s="5">
        <v>45693</v>
      </c>
      <c r="F301" t="s">
        <v>657</v>
      </c>
      <c r="G301" t="s">
        <v>175</v>
      </c>
      <c r="H301" t="s">
        <v>15</v>
      </c>
      <c r="I301" t="s">
        <v>34</v>
      </c>
      <c r="J301" t="s">
        <v>76</v>
      </c>
      <c r="K301">
        <v>9659</v>
      </c>
      <c r="L301">
        <f t="shared" si="17"/>
        <v>8359</v>
      </c>
      <c r="M301">
        <f t="shared" si="15"/>
        <v>8359</v>
      </c>
      <c r="N301">
        <f t="shared" si="16"/>
        <v>1300</v>
      </c>
    </row>
    <row r="302" spans="1:14" x14ac:dyDescent="0.3">
      <c r="A302" t="s">
        <v>658</v>
      </c>
      <c r="B302" t="s">
        <v>31</v>
      </c>
      <c r="C302">
        <v>1</v>
      </c>
      <c r="D302">
        <v>15918</v>
      </c>
      <c r="E302" s="5">
        <v>45694</v>
      </c>
      <c r="F302" t="s">
        <v>659</v>
      </c>
      <c r="G302" t="s">
        <v>21</v>
      </c>
      <c r="H302" t="s">
        <v>15</v>
      </c>
      <c r="I302" t="s">
        <v>34</v>
      </c>
      <c r="J302" t="s">
        <v>35</v>
      </c>
      <c r="K302">
        <v>15918</v>
      </c>
      <c r="L302">
        <f t="shared" si="17"/>
        <v>14618</v>
      </c>
      <c r="M302">
        <f t="shared" si="15"/>
        <v>14618</v>
      </c>
      <c r="N302">
        <f t="shared" si="16"/>
        <v>1300</v>
      </c>
    </row>
    <row r="303" spans="1:14" x14ac:dyDescent="0.3">
      <c r="A303" t="s">
        <v>660</v>
      </c>
      <c r="B303" t="s">
        <v>12</v>
      </c>
      <c r="C303">
        <v>3</v>
      </c>
      <c r="D303">
        <v>6352</v>
      </c>
      <c r="E303" s="5">
        <v>45695</v>
      </c>
      <c r="F303" t="s">
        <v>661</v>
      </c>
      <c r="G303" t="s">
        <v>82</v>
      </c>
      <c r="H303" t="s">
        <v>15</v>
      </c>
      <c r="I303" t="s">
        <v>34</v>
      </c>
      <c r="J303" t="s">
        <v>17</v>
      </c>
      <c r="K303">
        <v>19056</v>
      </c>
      <c r="L303">
        <f t="shared" si="17"/>
        <v>5052</v>
      </c>
      <c r="M303">
        <f t="shared" si="15"/>
        <v>15156</v>
      </c>
      <c r="N303">
        <f t="shared" si="16"/>
        <v>3900</v>
      </c>
    </row>
    <row r="304" spans="1:14" x14ac:dyDescent="0.3">
      <c r="A304" t="s">
        <v>662</v>
      </c>
      <c r="B304" t="s">
        <v>31</v>
      </c>
      <c r="C304">
        <v>9</v>
      </c>
      <c r="D304">
        <v>11809</v>
      </c>
      <c r="E304" s="5">
        <v>45696</v>
      </c>
      <c r="F304" t="s">
        <v>663</v>
      </c>
      <c r="G304" t="s">
        <v>91</v>
      </c>
      <c r="H304" t="s">
        <v>15</v>
      </c>
      <c r="I304" t="s">
        <v>34</v>
      </c>
      <c r="J304" t="s">
        <v>50</v>
      </c>
      <c r="K304">
        <v>106281</v>
      </c>
      <c r="L304">
        <f t="shared" si="17"/>
        <v>10509</v>
      </c>
      <c r="M304">
        <f t="shared" si="15"/>
        <v>94581</v>
      </c>
      <c r="N304">
        <f t="shared" si="16"/>
        <v>11700</v>
      </c>
    </row>
    <row r="305" spans="1:14" x14ac:dyDescent="0.3">
      <c r="A305" t="s">
        <v>664</v>
      </c>
      <c r="B305" t="s">
        <v>12</v>
      </c>
      <c r="C305">
        <v>4</v>
      </c>
      <c r="D305">
        <v>17147</v>
      </c>
      <c r="E305" s="5">
        <v>45697</v>
      </c>
      <c r="F305" t="s">
        <v>665</v>
      </c>
      <c r="G305" t="s">
        <v>142</v>
      </c>
      <c r="H305" t="s">
        <v>15</v>
      </c>
      <c r="I305" t="s">
        <v>16</v>
      </c>
      <c r="J305" t="s">
        <v>17</v>
      </c>
      <c r="K305">
        <v>68588</v>
      </c>
      <c r="L305">
        <f t="shared" si="17"/>
        <v>15847</v>
      </c>
      <c r="M305">
        <f t="shared" si="15"/>
        <v>63388</v>
      </c>
      <c r="N305">
        <f t="shared" si="16"/>
        <v>5200</v>
      </c>
    </row>
    <row r="306" spans="1:14" x14ac:dyDescent="0.3">
      <c r="A306" t="s">
        <v>666</v>
      </c>
      <c r="B306" t="s">
        <v>40</v>
      </c>
      <c r="C306">
        <v>1</v>
      </c>
      <c r="D306">
        <v>7046</v>
      </c>
      <c r="E306" s="5">
        <v>45698</v>
      </c>
      <c r="F306" t="s">
        <v>667</v>
      </c>
      <c r="G306" t="s">
        <v>135</v>
      </c>
      <c r="H306" t="s">
        <v>15</v>
      </c>
      <c r="I306" t="s">
        <v>34</v>
      </c>
      <c r="J306" t="s">
        <v>17</v>
      </c>
      <c r="K306">
        <v>7046</v>
      </c>
      <c r="L306">
        <f t="shared" si="17"/>
        <v>5746</v>
      </c>
      <c r="M306">
        <f t="shared" si="15"/>
        <v>5746</v>
      </c>
      <c r="N306">
        <f t="shared" si="16"/>
        <v>1300</v>
      </c>
    </row>
    <row r="307" spans="1:14" x14ac:dyDescent="0.3">
      <c r="A307" t="s">
        <v>668</v>
      </c>
      <c r="B307" t="s">
        <v>59</v>
      </c>
      <c r="C307">
        <v>9</v>
      </c>
      <c r="D307">
        <v>10982</v>
      </c>
      <c r="E307" s="5">
        <v>45699</v>
      </c>
      <c r="F307" t="s">
        <v>669</v>
      </c>
      <c r="G307" t="s">
        <v>175</v>
      </c>
      <c r="H307" t="s">
        <v>15</v>
      </c>
      <c r="I307" t="s">
        <v>25</v>
      </c>
      <c r="J307" t="s">
        <v>76</v>
      </c>
      <c r="K307">
        <v>98838</v>
      </c>
      <c r="L307">
        <f t="shared" si="17"/>
        <v>9682</v>
      </c>
      <c r="M307">
        <f t="shared" si="15"/>
        <v>87138</v>
      </c>
      <c r="N307">
        <f t="shared" si="16"/>
        <v>11700</v>
      </c>
    </row>
    <row r="308" spans="1:14" x14ac:dyDescent="0.3">
      <c r="A308" t="s">
        <v>670</v>
      </c>
      <c r="B308" t="s">
        <v>71</v>
      </c>
      <c r="C308">
        <v>9</v>
      </c>
      <c r="D308">
        <v>17135</v>
      </c>
      <c r="E308" s="5">
        <v>45700</v>
      </c>
      <c r="F308" t="s">
        <v>671</v>
      </c>
      <c r="G308" t="s">
        <v>104</v>
      </c>
      <c r="H308" t="s">
        <v>15</v>
      </c>
      <c r="I308" t="s">
        <v>25</v>
      </c>
      <c r="J308" t="s">
        <v>17</v>
      </c>
      <c r="K308">
        <v>154215</v>
      </c>
      <c r="L308">
        <f t="shared" si="17"/>
        <v>15835</v>
      </c>
      <c r="M308">
        <f t="shared" si="15"/>
        <v>142515</v>
      </c>
      <c r="N308">
        <f t="shared" si="16"/>
        <v>11700</v>
      </c>
    </row>
    <row r="309" spans="1:14" x14ac:dyDescent="0.3">
      <c r="A309" t="s">
        <v>672</v>
      </c>
      <c r="B309" t="s">
        <v>40</v>
      </c>
      <c r="C309">
        <v>2</v>
      </c>
      <c r="D309">
        <v>14660</v>
      </c>
      <c r="E309" s="5">
        <v>45701</v>
      </c>
      <c r="F309" t="s">
        <v>673</v>
      </c>
      <c r="G309" t="s">
        <v>38</v>
      </c>
      <c r="H309" t="s">
        <v>15</v>
      </c>
      <c r="I309" t="s">
        <v>25</v>
      </c>
      <c r="J309" t="s">
        <v>76</v>
      </c>
      <c r="K309">
        <v>29320</v>
      </c>
      <c r="L309">
        <f t="shared" si="17"/>
        <v>13360</v>
      </c>
      <c r="M309">
        <f t="shared" si="15"/>
        <v>26720</v>
      </c>
      <c r="N309">
        <f t="shared" si="16"/>
        <v>2600</v>
      </c>
    </row>
    <row r="310" spans="1:14" x14ac:dyDescent="0.3">
      <c r="A310" t="s">
        <v>674</v>
      </c>
      <c r="B310" t="s">
        <v>59</v>
      </c>
      <c r="C310">
        <v>1</v>
      </c>
      <c r="D310">
        <v>17394</v>
      </c>
      <c r="E310" s="5">
        <v>45702</v>
      </c>
      <c r="F310" t="s">
        <v>675</v>
      </c>
      <c r="G310" t="s">
        <v>46</v>
      </c>
      <c r="H310" t="s">
        <v>15</v>
      </c>
      <c r="I310" t="s">
        <v>25</v>
      </c>
      <c r="J310" t="s">
        <v>47</v>
      </c>
      <c r="K310">
        <v>17394</v>
      </c>
      <c r="L310">
        <f t="shared" si="17"/>
        <v>16094</v>
      </c>
      <c r="M310">
        <f t="shared" si="15"/>
        <v>16094</v>
      </c>
      <c r="N310">
        <f t="shared" si="16"/>
        <v>1300</v>
      </c>
    </row>
    <row r="311" spans="1:14" x14ac:dyDescent="0.3">
      <c r="A311" t="s">
        <v>676</v>
      </c>
      <c r="B311" t="s">
        <v>71</v>
      </c>
      <c r="C311">
        <v>6</v>
      </c>
      <c r="D311">
        <v>5396</v>
      </c>
      <c r="E311" s="5">
        <v>45703</v>
      </c>
      <c r="F311" t="s">
        <v>677</v>
      </c>
      <c r="G311" t="s">
        <v>82</v>
      </c>
      <c r="H311" t="s">
        <v>15</v>
      </c>
      <c r="I311" t="s">
        <v>34</v>
      </c>
      <c r="J311" t="s">
        <v>76</v>
      </c>
      <c r="K311">
        <v>32376</v>
      </c>
      <c r="L311">
        <f t="shared" si="17"/>
        <v>4096</v>
      </c>
      <c r="M311">
        <f t="shared" si="15"/>
        <v>24576</v>
      </c>
      <c r="N311">
        <f t="shared" si="16"/>
        <v>7800</v>
      </c>
    </row>
    <row r="312" spans="1:14" x14ac:dyDescent="0.3">
      <c r="A312" t="s">
        <v>678</v>
      </c>
      <c r="B312" t="s">
        <v>40</v>
      </c>
      <c r="C312">
        <v>9</v>
      </c>
      <c r="D312">
        <v>5962</v>
      </c>
      <c r="E312" s="5">
        <v>45704</v>
      </c>
      <c r="F312" t="s">
        <v>679</v>
      </c>
      <c r="G312" t="s">
        <v>38</v>
      </c>
      <c r="H312" t="s">
        <v>15</v>
      </c>
      <c r="I312" t="s">
        <v>16</v>
      </c>
      <c r="J312" t="s">
        <v>76</v>
      </c>
      <c r="K312">
        <v>53658</v>
      </c>
      <c r="L312">
        <f t="shared" si="17"/>
        <v>4662</v>
      </c>
      <c r="M312">
        <f t="shared" si="15"/>
        <v>41958</v>
      </c>
      <c r="N312">
        <f t="shared" si="16"/>
        <v>11700</v>
      </c>
    </row>
    <row r="313" spans="1:14" x14ac:dyDescent="0.3">
      <c r="A313" t="s">
        <v>680</v>
      </c>
      <c r="B313" t="s">
        <v>44</v>
      </c>
      <c r="C313">
        <v>3</v>
      </c>
      <c r="D313">
        <v>19214</v>
      </c>
      <c r="E313" s="5">
        <v>45705</v>
      </c>
      <c r="F313" t="s">
        <v>681</v>
      </c>
      <c r="G313" t="s">
        <v>82</v>
      </c>
      <c r="H313" t="s">
        <v>15</v>
      </c>
      <c r="I313" t="s">
        <v>25</v>
      </c>
      <c r="J313" t="s">
        <v>35</v>
      </c>
      <c r="K313">
        <v>57642</v>
      </c>
      <c r="L313">
        <f t="shared" si="17"/>
        <v>17914</v>
      </c>
      <c r="M313">
        <f t="shared" si="15"/>
        <v>53742</v>
      </c>
      <c r="N313">
        <f t="shared" si="16"/>
        <v>3900</v>
      </c>
    </row>
    <row r="314" spans="1:14" x14ac:dyDescent="0.3">
      <c r="A314" t="s">
        <v>682</v>
      </c>
      <c r="B314" t="s">
        <v>44</v>
      </c>
      <c r="C314">
        <v>4</v>
      </c>
      <c r="D314">
        <v>5876</v>
      </c>
      <c r="E314" s="5">
        <v>45706</v>
      </c>
      <c r="F314" t="s">
        <v>683</v>
      </c>
      <c r="G314" t="s">
        <v>42</v>
      </c>
      <c r="H314" t="s">
        <v>15</v>
      </c>
      <c r="I314" t="s">
        <v>25</v>
      </c>
      <c r="J314" t="s">
        <v>35</v>
      </c>
      <c r="K314">
        <v>23504</v>
      </c>
      <c r="L314">
        <f t="shared" si="17"/>
        <v>4576</v>
      </c>
      <c r="M314">
        <f t="shared" si="15"/>
        <v>18304</v>
      </c>
      <c r="N314">
        <f t="shared" si="16"/>
        <v>5200</v>
      </c>
    </row>
    <row r="315" spans="1:14" x14ac:dyDescent="0.3">
      <c r="A315" t="s">
        <v>684</v>
      </c>
      <c r="B315" t="s">
        <v>44</v>
      </c>
      <c r="C315">
        <v>6</v>
      </c>
      <c r="D315">
        <v>10913</v>
      </c>
      <c r="E315" s="5">
        <v>45707</v>
      </c>
      <c r="F315" t="s">
        <v>685</v>
      </c>
      <c r="G315" t="s">
        <v>24</v>
      </c>
      <c r="H315" t="s">
        <v>15</v>
      </c>
      <c r="I315" t="s">
        <v>25</v>
      </c>
      <c r="J315" t="s">
        <v>50</v>
      </c>
      <c r="K315">
        <v>65478</v>
      </c>
      <c r="L315">
        <f t="shared" si="17"/>
        <v>9613</v>
      </c>
      <c r="M315">
        <f t="shared" si="15"/>
        <v>57678</v>
      </c>
      <c r="N315">
        <f t="shared" si="16"/>
        <v>7800</v>
      </c>
    </row>
    <row r="316" spans="1:14" x14ac:dyDescent="0.3">
      <c r="A316" t="s">
        <v>686</v>
      </c>
      <c r="B316" t="s">
        <v>40</v>
      </c>
      <c r="C316">
        <v>4</v>
      </c>
      <c r="D316">
        <v>12480</v>
      </c>
      <c r="E316" s="5">
        <v>45708</v>
      </c>
      <c r="F316" t="s">
        <v>687</v>
      </c>
      <c r="G316" t="s">
        <v>29</v>
      </c>
      <c r="H316" t="s">
        <v>15</v>
      </c>
      <c r="I316" t="s">
        <v>34</v>
      </c>
      <c r="J316" t="s">
        <v>35</v>
      </c>
      <c r="K316">
        <v>49920</v>
      </c>
      <c r="L316">
        <f t="shared" si="17"/>
        <v>11180</v>
      </c>
      <c r="M316">
        <f t="shared" si="15"/>
        <v>44720</v>
      </c>
      <c r="N316">
        <f t="shared" si="16"/>
        <v>5200</v>
      </c>
    </row>
    <row r="317" spans="1:14" x14ac:dyDescent="0.3">
      <c r="A317" t="s">
        <v>688</v>
      </c>
      <c r="B317" t="s">
        <v>31</v>
      </c>
      <c r="C317">
        <v>9</v>
      </c>
      <c r="D317">
        <v>17727</v>
      </c>
      <c r="E317" s="5">
        <v>45709</v>
      </c>
      <c r="F317" t="s">
        <v>689</v>
      </c>
      <c r="G317" t="s">
        <v>64</v>
      </c>
      <c r="H317" t="s">
        <v>15</v>
      </c>
      <c r="I317" t="s">
        <v>16</v>
      </c>
      <c r="J317" t="s">
        <v>76</v>
      </c>
      <c r="K317">
        <v>159543</v>
      </c>
      <c r="L317">
        <f t="shared" si="17"/>
        <v>16427</v>
      </c>
      <c r="M317">
        <f t="shared" si="15"/>
        <v>147843</v>
      </c>
      <c r="N317">
        <f t="shared" si="16"/>
        <v>11700</v>
      </c>
    </row>
    <row r="318" spans="1:14" x14ac:dyDescent="0.3">
      <c r="A318" t="s">
        <v>690</v>
      </c>
      <c r="B318" t="s">
        <v>31</v>
      </c>
      <c r="C318">
        <v>7</v>
      </c>
      <c r="D318">
        <v>10390</v>
      </c>
      <c r="E318" s="5">
        <v>45710</v>
      </c>
      <c r="F318" t="s">
        <v>691</v>
      </c>
      <c r="G318" t="s">
        <v>14</v>
      </c>
      <c r="H318" t="s">
        <v>15</v>
      </c>
      <c r="I318" t="s">
        <v>16</v>
      </c>
      <c r="J318" t="s">
        <v>76</v>
      </c>
      <c r="K318">
        <v>72730</v>
      </c>
      <c r="L318">
        <f t="shared" si="17"/>
        <v>9090</v>
      </c>
      <c r="M318">
        <f t="shared" si="15"/>
        <v>63630</v>
      </c>
      <c r="N318">
        <f t="shared" si="16"/>
        <v>9100</v>
      </c>
    </row>
    <row r="319" spans="1:14" x14ac:dyDescent="0.3">
      <c r="A319" t="s">
        <v>692</v>
      </c>
      <c r="B319" t="s">
        <v>71</v>
      </c>
      <c r="C319">
        <v>5</v>
      </c>
      <c r="D319">
        <v>5504</v>
      </c>
      <c r="E319" s="5">
        <v>45711</v>
      </c>
      <c r="F319" t="s">
        <v>693</v>
      </c>
      <c r="G319" t="s">
        <v>104</v>
      </c>
      <c r="H319" t="s">
        <v>15</v>
      </c>
      <c r="I319" t="s">
        <v>34</v>
      </c>
      <c r="J319" t="s">
        <v>50</v>
      </c>
      <c r="K319">
        <v>27520</v>
      </c>
      <c r="L319">
        <f t="shared" si="17"/>
        <v>4204</v>
      </c>
      <c r="M319">
        <f t="shared" si="15"/>
        <v>21020</v>
      </c>
      <c r="N319">
        <f t="shared" si="16"/>
        <v>6500</v>
      </c>
    </row>
    <row r="320" spans="1:14" x14ac:dyDescent="0.3">
      <c r="A320" t="s">
        <v>694</v>
      </c>
      <c r="B320" t="s">
        <v>31</v>
      </c>
      <c r="C320">
        <v>7</v>
      </c>
      <c r="D320">
        <v>4441</v>
      </c>
      <c r="E320" s="5">
        <v>45712</v>
      </c>
      <c r="F320" t="s">
        <v>695</v>
      </c>
      <c r="G320" t="s">
        <v>175</v>
      </c>
      <c r="H320" t="s">
        <v>15</v>
      </c>
      <c r="I320" t="s">
        <v>25</v>
      </c>
      <c r="J320" t="s">
        <v>35</v>
      </c>
      <c r="K320">
        <v>31087</v>
      </c>
      <c r="L320">
        <f t="shared" si="17"/>
        <v>3141</v>
      </c>
      <c r="M320">
        <f t="shared" si="15"/>
        <v>21987</v>
      </c>
      <c r="N320">
        <f t="shared" si="16"/>
        <v>9100</v>
      </c>
    </row>
    <row r="321" spans="1:14" x14ac:dyDescent="0.3">
      <c r="A321" t="s">
        <v>696</v>
      </c>
      <c r="B321" t="s">
        <v>52</v>
      </c>
      <c r="C321">
        <v>4</v>
      </c>
      <c r="D321">
        <v>2469</v>
      </c>
      <c r="E321" s="5">
        <v>45713</v>
      </c>
      <c r="F321" t="s">
        <v>697</v>
      </c>
      <c r="G321" t="s">
        <v>104</v>
      </c>
      <c r="H321" t="s">
        <v>15</v>
      </c>
      <c r="I321" t="s">
        <v>25</v>
      </c>
      <c r="J321" t="s">
        <v>47</v>
      </c>
      <c r="K321">
        <v>9876</v>
      </c>
      <c r="L321">
        <f t="shared" si="17"/>
        <v>1169</v>
      </c>
      <c r="M321">
        <f t="shared" si="15"/>
        <v>4676</v>
      </c>
      <c r="N321">
        <f t="shared" si="16"/>
        <v>5200</v>
      </c>
    </row>
    <row r="322" spans="1:14" x14ac:dyDescent="0.3">
      <c r="A322" t="s">
        <v>698</v>
      </c>
      <c r="B322" t="s">
        <v>12</v>
      </c>
      <c r="C322">
        <v>7</v>
      </c>
      <c r="D322">
        <v>16857</v>
      </c>
      <c r="E322" s="5">
        <v>45714</v>
      </c>
      <c r="F322" t="s">
        <v>699</v>
      </c>
      <c r="G322" t="s">
        <v>94</v>
      </c>
      <c r="H322" t="s">
        <v>15</v>
      </c>
      <c r="I322" t="s">
        <v>16</v>
      </c>
      <c r="J322" t="s">
        <v>76</v>
      </c>
      <c r="K322">
        <v>117999</v>
      </c>
      <c r="L322">
        <f t="shared" si="17"/>
        <v>15557</v>
      </c>
      <c r="M322">
        <f t="shared" si="15"/>
        <v>108899</v>
      </c>
      <c r="N322">
        <f t="shared" si="16"/>
        <v>9100</v>
      </c>
    </row>
    <row r="323" spans="1:14" x14ac:dyDescent="0.3">
      <c r="A323" t="s">
        <v>700</v>
      </c>
      <c r="B323" t="s">
        <v>62</v>
      </c>
      <c r="C323">
        <v>3</v>
      </c>
      <c r="D323">
        <v>9160</v>
      </c>
      <c r="E323" s="5">
        <v>45715</v>
      </c>
      <c r="F323" t="s">
        <v>701</v>
      </c>
      <c r="G323" t="s">
        <v>54</v>
      </c>
      <c r="H323" t="s">
        <v>15</v>
      </c>
      <c r="I323" t="s">
        <v>25</v>
      </c>
      <c r="J323" t="s">
        <v>35</v>
      </c>
      <c r="K323">
        <v>27480</v>
      </c>
      <c r="L323">
        <f t="shared" si="17"/>
        <v>7860</v>
      </c>
      <c r="M323">
        <f t="shared" ref="M323:M386" si="18">L323*C323</f>
        <v>23580</v>
      </c>
      <c r="N323">
        <f t="shared" ref="N323:N386" si="19">K323-M323</f>
        <v>3900</v>
      </c>
    </row>
    <row r="324" spans="1:14" x14ac:dyDescent="0.3">
      <c r="A324" t="s">
        <v>702</v>
      </c>
      <c r="B324" t="s">
        <v>31</v>
      </c>
      <c r="C324">
        <v>7</v>
      </c>
      <c r="D324">
        <v>3188</v>
      </c>
      <c r="E324" s="5">
        <v>45716</v>
      </c>
      <c r="F324" t="s">
        <v>703</v>
      </c>
      <c r="G324" t="s">
        <v>194</v>
      </c>
      <c r="H324" t="s">
        <v>15</v>
      </c>
      <c r="I324" t="s">
        <v>25</v>
      </c>
      <c r="J324" t="s">
        <v>35</v>
      </c>
      <c r="K324">
        <v>22316</v>
      </c>
      <c r="L324">
        <f t="shared" si="17"/>
        <v>1888</v>
      </c>
      <c r="M324">
        <f t="shared" si="18"/>
        <v>13216</v>
      </c>
      <c r="N324">
        <f t="shared" si="19"/>
        <v>9100</v>
      </c>
    </row>
    <row r="325" spans="1:14" x14ac:dyDescent="0.3">
      <c r="A325" t="s">
        <v>704</v>
      </c>
      <c r="B325" t="s">
        <v>12</v>
      </c>
      <c r="C325">
        <v>6</v>
      </c>
      <c r="D325">
        <v>10476</v>
      </c>
      <c r="E325" s="5">
        <v>45717</v>
      </c>
      <c r="F325" t="s">
        <v>705</v>
      </c>
      <c r="G325" t="s">
        <v>54</v>
      </c>
      <c r="H325" t="s">
        <v>15</v>
      </c>
      <c r="I325" t="s">
        <v>34</v>
      </c>
      <c r="J325" t="s">
        <v>35</v>
      </c>
      <c r="K325">
        <v>62856</v>
      </c>
      <c r="L325">
        <f t="shared" si="17"/>
        <v>9176</v>
      </c>
      <c r="M325">
        <f t="shared" si="18"/>
        <v>55056</v>
      </c>
      <c r="N325">
        <f t="shared" si="19"/>
        <v>7800</v>
      </c>
    </row>
    <row r="326" spans="1:14" x14ac:dyDescent="0.3">
      <c r="A326" t="s">
        <v>706</v>
      </c>
      <c r="B326" t="s">
        <v>12</v>
      </c>
      <c r="C326">
        <v>6</v>
      </c>
      <c r="D326">
        <v>17424</v>
      </c>
      <c r="E326" s="5">
        <v>45718</v>
      </c>
      <c r="F326" t="s">
        <v>707</v>
      </c>
      <c r="G326" t="s">
        <v>91</v>
      </c>
      <c r="H326" t="s">
        <v>15</v>
      </c>
      <c r="I326" t="s">
        <v>16</v>
      </c>
      <c r="J326" t="s">
        <v>50</v>
      </c>
      <c r="K326">
        <v>104544</v>
      </c>
      <c r="L326">
        <f t="shared" si="17"/>
        <v>16124</v>
      </c>
      <c r="M326">
        <f t="shared" si="18"/>
        <v>96744</v>
      </c>
      <c r="N326">
        <f t="shared" si="19"/>
        <v>7800</v>
      </c>
    </row>
    <row r="327" spans="1:14" x14ac:dyDescent="0.3">
      <c r="A327" t="s">
        <v>708</v>
      </c>
      <c r="B327" t="s">
        <v>59</v>
      </c>
      <c r="C327">
        <v>5</v>
      </c>
      <c r="D327">
        <v>19354</v>
      </c>
      <c r="E327" s="5">
        <v>45719</v>
      </c>
      <c r="F327" t="s">
        <v>709</v>
      </c>
      <c r="G327" t="s">
        <v>46</v>
      </c>
      <c r="H327" t="s">
        <v>15</v>
      </c>
      <c r="I327" t="s">
        <v>16</v>
      </c>
      <c r="J327" t="s">
        <v>76</v>
      </c>
      <c r="K327">
        <v>96770</v>
      </c>
      <c r="L327">
        <f t="shared" si="17"/>
        <v>18054</v>
      </c>
      <c r="M327">
        <f t="shared" si="18"/>
        <v>90270</v>
      </c>
      <c r="N327">
        <f t="shared" si="19"/>
        <v>6500</v>
      </c>
    </row>
    <row r="328" spans="1:14" x14ac:dyDescent="0.3">
      <c r="A328" t="s">
        <v>710</v>
      </c>
      <c r="B328" t="s">
        <v>62</v>
      </c>
      <c r="C328">
        <v>7</v>
      </c>
      <c r="D328">
        <v>15180</v>
      </c>
      <c r="E328" s="5">
        <v>45720</v>
      </c>
      <c r="F328" t="s">
        <v>711</v>
      </c>
      <c r="G328" t="s">
        <v>199</v>
      </c>
      <c r="H328" t="s">
        <v>15</v>
      </c>
      <c r="I328" t="s">
        <v>25</v>
      </c>
      <c r="J328" t="s">
        <v>35</v>
      </c>
      <c r="K328">
        <v>106260</v>
      </c>
      <c r="L328">
        <f t="shared" si="17"/>
        <v>13880</v>
      </c>
      <c r="M328">
        <f t="shared" si="18"/>
        <v>97160</v>
      </c>
      <c r="N328">
        <f t="shared" si="19"/>
        <v>9100</v>
      </c>
    </row>
    <row r="329" spans="1:14" x14ac:dyDescent="0.3">
      <c r="A329" t="s">
        <v>712</v>
      </c>
      <c r="B329" t="s">
        <v>44</v>
      </c>
      <c r="C329">
        <v>6</v>
      </c>
      <c r="D329">
        <v>4469</v>
      </c>
      <c r="E329" s="5">
        <v>45721</v>
      </c>
      <c r="F329" t="s">
        <v>713</v>
      </c>
      <c r="G329" t="s">
        <v>64</v>
      </c>
      <c r="H329" t="s">
        <v>15</v>
      </c>
      <c r="I329" t="s">
        <v>34</v>
      </c>
      <c r="J329" t="s">
        <v>47</v>
      </c>
      <c r="K329">
        <v>26814</v>
      </c>
      <c r="L329">
        <f t="shared" si="17"/>
        <v>3169</v>
      </c>
      <c r="M329">
        <f t="shared" si="18"/>
        <v>19014</v>
      </c>
      <c r="N329">
        <f t="shared" si="19"/>
        <v>7800</v>
      </c>
    </row>
    <row r="330" spans="1:14" x14ac:dyDescent="0.3">
      <c r="A330" t="s">
        <v>714</v>
      </c>
      <c r="B330" t="s">
        <v>27</v>
      </c>
      <c r="C330">
        <v>2</v>
      </c>
      <c r="D330">
        <v>9255</v>
      </c>
      <c r="E330" s="5">
        <v>45722</v>
      </c>
      <c r="F330" t="s">
        <v>715</v>
      </c>
      <c r="G330" t="s">
        <v>21</v>
      </c>
      <c r="H330" t="s">
        <v>15</v>
      </c>
      <c r="I330" t="s">
        <v>16</v>
      </c>
      <c r="J330" t="s">
        <v>50</v>
      </c>
      <c r="K330">
        <v>18510</v>
      </c>
      <c r="L330">
        <f t="shared" si="17"/>
        <v>7955</v>
      </c>
      <c r="M330">
        <f t="shared" si="18"/>
        <v>15910</v>
      </c>
      <c r="N330">
        <f t="shared" si="19"/>
        <v>2600</v>
      </c>
    </row>
    <row r="331" spans="1:14" x14ac:dyDescent="0.3">
      <c r="A331" t="s">
        <v>716</v>
      </c>
      <c r="B331" t="s">
        <v>31</v>
      </c>
      <c r="C331">
        <v>4</v>
      </c>
      <c r="D331">
        <v>3758</v>
      </c>
      <c r="E331" s="5">
        <v>45723</v>
      </c>
      <c r="F331" t="s">
        <v>717</v>
      </c>
      <c r="G331" t="s">
        <v>101</v>
      </c>
      <c r="H331" t="s">
        <v>15</v>
      </c>
      <c r="I331" t="s">
        <v>16</v>
      </c>
      <c r="J331" t="s">
        <v>76</v>
      </c>
      <c r="K331">
        <v>15032</v>
      </c>
      <c r="L331">
        <f t="shared" si="17"/>
        <v>2458</v>
      </c>
      <c r="M331">
        <f t="shared" si="18"/>
        <v>9832</v>
      </c>
      <c r="N331">
        <f t="shared" si="19"/>
        <v>5200</v>
      </c>
    </row>
    <row r="332" spans="1:14" x14ac:dyDescent="0.3">
      <c r="A332" t="s">
        <v>718</v>
      </c>
      <c r="B332" t="s">
        <v>44</v>
      </c>
      <c r="C332">
        <v>4</v>
      </c>
      <c r="D332">
        <v>6049</v>
      </c>
      <c r="E332" s="5">
        <v>45724</v>
      </c>
      <c r="F332" t="s">
        <v>719</v>
      </c>
      <c r="G332" t="s">
        <v>42</v>
      </c>
      <c r="H332" t="s">
        <v>15</v>
      </c>
      <c r="I332" t="s">
        <v>34</v>
      </c>
      <c r="J332" t="s">
        <v>50</v>
      </c>
      <c r="K332">
        <v>24196</v>
      </c>
      <c r="L332">
        <f t="shared" si="17"/>
        <v>4749</v>
      </c>
      <c r="M332">
        <f t="shared" si="18"/>
        <v>18996</v>
      </c>
      <c r="N332">
        <f t="shared" si="19"/>
        <v>5200</v>
      </c>
    </row>
    <row r="333" spans="1:14" x14ac:dyDescent="0.3">
      <c r="A333" t="s">
        <v>720</v>
      </c>
      <c r="B333" t="s">
        <v>27</v>
      </c>
      <c r="C333">
        <v>9</v>
      </c>
      <c r="D333">
        <v>18495</v>
      </c>
      <c r="E333" s="5">
        <v>45725</v>
      </c>
      <c r="F333" t="s">
        <v>721</v>
      </c>
      <c r="G333" t="s">
        <v>82</v>
      </c>
      <c r="H333" t="s">
        <v>15</v>
      </c>
      <c r="I333" t="s">
        <v>25</v>
      </c>
      <c r="J333" t="s">
        <v>50</v>
      </c>
      <c r="K333">
        <v>166455</v>
      </c>
      <c r="L333">
        <f t="shared" si="17"/>
        <v>17195</v>
      </c>
      <c r="M333">
        <f t="shared" si="18"/>
        <v>154755</v>
      </c>
      <c r="N333">
        <f t="shared" si="19"/>
        <v>11700</v>
      </c>
    </row>
    <row r="334" spans="1:14" x14ac:dyDescent="0.3">
      <c r="A334" t="s">
        <v>722</v>
      </c>
      <c r="B334" t="s">
        <v>40</v>
      </c>
      <c r="C334">
        <v>6</v>
      </c>
      <c r="D334">
        <v>16306</v>
      </c>
      <c r="E334" s="5">
        <v>45726</v>
      </c>
      <c r="F334" t="s">
        <v>723</v>
      </c>
      <c r="G334" t="s">
        <v>135</v>
      </c>
      <c r="H334" t="s">
        <v>15</v>
      </c>
      <c r="I334" t="s">
        <v>16</v>
      </c>
      <c r="J334" t="s">
        <v>50</v>
      </c>
      <c r="K334">
        <v>97836</v>
      </c>
      <c r="L334">
        <f t="shared" si="17"/>
        <v>15006</v>
      </c>
      <c r="M334">
        <f t="shared" si="18"/>
        <v>90036</v>
      </c>
      <c r="N334">
        <f t="shared" si="19"/>
        <v>7800</v>
      </c>
    </row>
    <row r="335" spans="1:14" x14ac:dyDescent="0.3">
      <c r="A335" t="s">
        <v>724</v>
      </c>
      <c r="B335" t="s">
        <v>12</v>
      </c>
      <c r="C335">
        <v>6</v>
      </c>
      <c r="D335">
        <v>8992</v>
      </c>
      <c r="E335" s="5">
        <v>45727</v>
      </c>
      <c r="F335" t="s">
        <v>725</v>
      </c>
      <c r="G335" t="s">
        <v>111</v>
      </c>
      <c r="H335" t="s">
        <v>15</v>
      </c>
      <c r="I335" t="s">
        <v>25</v>
      </c>
      <c r="J335" t="s">
        <v>35</v>
      </c>
      <c r="K335">
        <v>53952</v>
      </c>
      <c r="L335">
        <f t="shared" si="17"/>
        <v>7692</v>
      </c>
      <c r="M335">
        <f t="shared" si="18"/>
        <v>46152</v>
      </c>
      <c r="N335">
        <f t="shared" si="19"/>
        <v>7800</v>
      </c>
    </row>
    <row r="336" spans="1:14" x14ac:dyDescent="0.3">
      <c r="A336" t="s">
        <v>726</v>
      </c>
      <c r="B336" t="s">
        <v>62</v>
      </c>
      <c r="C336">
        <v>7</v>
      </c>
      <c r="D336">
        <v>3779</v>
      </c>
      <c r="E336" s="5">
        <v>45728</v>
      </c>
      <c r="F336" t="s">
        <v>727</v>
      </c>
      <c r="G336" t="s">
        <v>42</v>
      </c>
      <c r="H336" t="s">
        <v>15</v>
      </c>
      <c r="I336" t="s">
        <v>25</v>
      </c>
      <c r="J336" t="s">
        <v>35</v>
      </c>
      <c r="K336">
        <v>26453</v>
      </c>
      <c r="L336">
        <f t="shared" si="17"/>
        <v>2479</v>
      </c>
      <c r="M336">
        <f t="shared" si="18"/>
        <v>17353</v>
      </c>
      <c r="N336">
        <f t="shared" si="19"/>
        <v>9100</v>
      </c>
    </row>
    <row r="337" spans="1:14" x14ac:dyDescent="0.3">
      <c r="A337" t="s">
        <v>728</v>
      </c>
      <c r="B337" t="s">
        <v>44</v>
      </c>
      <c r="C337">
        <v>1</v>
      </c>
      <c r="D337">
        <v>6690</v>
      </c>
      <c r="E337" s="5">
        <v>45729</v>
      </c>
      <c r="F337" t="s">
        <v>729</v>
      </c>
      <c r="G337" t="s">
        <v>57</v>
      </c>
      <c r="H337" t="s">
        <v>15</v>
      </c>
      <c r="I337" t="s">
        <v>25</v>
      </c>
      <c r="J337" t="s">
        <v>35</v>
      </c>
      <c r="K337">
        <v>6690</v>
      </c>
      <c r="L337">
        <f t="shared" si="17"/>
        <v>5390</v>
      </c>
      <c r="M337">
        <f t="shared" si="18"/>
        <v>5390</v>
      </c>
      <c r="N337">
        <f t="shared" si="19"/>
        <v>1300</v>
      </c>
    </row>
    <row r="338" spans="1:14" x14ac:dyDescent="0.3">
      <c r="A338" t="s">
        <v>730</v>
      </c>
      <c r="B338" t="s">
        <v>40</v>
      </c>
      <c r="C338">
        <v>8</v>
      </c>
      <c r="D338">
        <v>4538</v>
      </c>
      <c r="E338" s="5">
        <v>45730</v>
      </c>
      <c r="F338" t="s">
        <v>731</v>
      </c>
      <c r="G338" t="s">
        <v>57</v>
      </c>
      <c r="H338" t="s">
        <v>15</v>
      </c>
      <c r="I338" t="s">
        <v>25</v>
      </c>
      <c r="J338" t="s">
        <v>50</v>
      </c>
      <c r="K338">
        <v>36304</v>
      </c>
      <c r="L338">
        <f t="shared" si="17"/>
        <v>3238</v>
      </c>
      <c r="M338">
        <f t="shared" si="18"/>
        <v>25904</v>
      </c>
      <c r="N338">
        <f t="shared" si="19"/>
        <v>10400</v>
      </c>
    </row>
    <row r="339" spans="1:14" x14ac:dyDescent="0.3">
      <c r="A339" t="s">
        <v>732</v>
      </c>
      <c r="B339" t="s">
        <v>40</v>
      </c>
      <c r="C339">
        <v>6</v>
      </c>
      <c r="D339">
        <v>14316</v>
      </c>
      <c r="E339" s="5">
        <v>45731</v>
      </c>
      <c r="F339" t="s">
        <v>587</v>
      </c>
      <c r="G339" t="s">
        <v>101</v>
      </c>
      <c r="H339" t="s">
        <v>15</v>
      </c>
      <c r="I339" t="s">
        <v>16</v>
      </c>
      <c r="J339" t="s">
        <v>17</v>
      </c>
      <c r="K339">
        <v>85896</v>
      </c>
      <c r="L339">
        <f t="shared" si="17"/>
        <v>13016</v>
      </c>
      <c r="M339">
        <f t="shared" si="18"/>
        <v>78096</v>
      </c>
      <c r="N339">
        <f t="shared" si="19"/>
        <v>7800</v>
      </c>
    </row>
    <row r="340" spans="1:14" x14ac:dyDescent="0.3">
      <c r="A340" t="s">
        <v>733</v>
      </c>
      <c r="B340" t="s">
        <v>44</v>
      </c>
      <c r="C340">
        <v>2</v>
      </c>
      <c r="D340">
        <v>3827</v>
      </c>
      <c r="E340" s="5">
        <v>45732</v>
      </c>
      <c r="F340" t="s">
        <v>734</v>
      </c>
      <c r="G340" t="s">
        <v>64</v>
      </c>
      <c r="H340" t="s">
        <v>15</v>
      </c>
      <c r="I340" t="s">
        <v>25</v>
      </c>
      <c r="J340" t="s">
        <v>47</v>
      </c>
      <c r="K340">
        <v>7654</v>
      </c>
      <c r="L340">
        <f t="shared" si="17"/>
        <v>2527</v>
      </c>
      <c r="M340">
        <f t="shared" si="18"/>
        <v>5054</v>
      </c>
      <c r="N340">
        <f t="shared" si="19"/>
        <v>2600</v>
      </c>
    </row>
    <row r="341" spans="1:14" x14ac:dyDescent="0.3">
      <c r="A341" t="s">
        <v>735</v>
      </c>
      <c r="B341" t="s">
        <v>12</v>
      </c>
      <c r="C341">
        <v>6</v>
      </c>
      <c r="D341">
        <v>14058</v>
      </c>
      <c r="E341" s="5">
        <v>45733</v>
      </c>
      <c r="F341" t="s">
        <v>736</v>
      </c>
      <c r="G341" t="s">
        <v>91</v>
      </c>
      <c r="H341" t="s">
        <v>15</v>
      </c>
      <c r="I341" t="s">
        <v>34</v>
      </c>
      <c r="J341" t="s">
        <v>50</v>
      </c>
      <c r="K341">
        <v>84348</v>
      </c>
      <c r="L341">
        <f t="shared" si="17"/>
        <v>12758</v>
      </c>
      <c r="M341">
        <f t="shared" si="18"/>
        <v>76548</v>
      </c>
      <c r="N341">
        <f t="shared" si="19"/>
        <v>7800</v>
      </c>
    </row>
    <row r="342" spans="1:14" x14ac:dyDescent="0.3">
      <c r="A342" t="s">
        <v>737</v>
      </c>
      <c r="B342" t="s">
        <v>62</v>
      </c>
      <c r="C342">
        <v>7</v>
      </c>
      <c r="D342">
        <v>5441</v>
      </c>
      <c r="E342" s="5">
        <v>45734</v>
      </c>
      <c r="F342" t="s">
        <v>738</v>
      </c>
      <c r="G342" t="s">
        <v>135</v>
      </c>
      <c r="H342" t="s">
        <v>15</v>
      </c>
      <c r="I342" t="s">
        <v>16</v>
      </c>
      <c r="J342" t="s">
        <v>76</v>
      </c>
      <c r="K342">
        <v>38087</v>
      </c>
      <c r="L342">
        <f t="shared" si="17"/>
        <v>4141</v>
      </c>
      <c r="M342">
        <f t="shared" si="18"/>
        <v>28987</v>
      </c>
      <c r="N342">
        <f t="shared" si="19"/>
        <v>9100</v>
      </c>
    </row>
    <row r="343" spans="1:14" x14ac:dyDescent="0.3">
      <c r="A343" t="s">
        <v>739</v>
      </c>
      <c r="B343" t="s">
        <v>19</v>
      </c>
      <c r="C343">
        <v>7</v>
      </c>
      <c r="D343">
        <v>7479</v>
      </c>
      <c r="E343" s="5">
        <v>45735</v>
      </c>
      <c r="F343" t="s">
        <v>740</v>
      </c>
      <c r="G343" t="s">
        <v>199</v>
      </c>
      <c r="H343" t="s">
        <v>15</v>
      </c>
      <c r="I343" t="s">
        <v>16</v>
      </c>
      <c r="J343" t="s">
        <v>76</v>
      </c>
      <c r="K343">
        <v>52353</v>
      </c>
      <c r="L343">
        <f t="shared" si="17"/>
        <v>6179</v>
      </c>
      <c r="M343">
        <f t="shared" si="18"/>
        <v>43253</v>
      </c>
      <c r="N343">
        <f t="shared" si="19"/>
        <v>9100</v>
      </c>
    </row>
    <row r="344" spans="1:14" x14ac:dyDescent="0.3">
      <c r="A344" t="s">
        <v>741</v>
      </c>
      <c r="B344" t="s">
        <v>59</v>
      </c>
      <c r="C344">
        <v>9</v>
      </c>
      <c r="D344">
        <v>7674</v>
      </c>
      <c r="E344" s="5">
        <v>45736</v>
      </c>
      <c r="F344" t="s">
        <v>742</v>
      </c>
      <c r="G344" t="s">
        <v>166</v>
      </c>
      <c r="H344" t="s">
        <v>15</v>
      </c>
      <c r="I344" t="s">
        <v>25</v>
      </c>
      <c r="J344" t="s">
        <v>76</v>
      </c>
      <c r="K344">
        <v>69066</v>
      </c>
      <c r="L344">
        <f t="shared" si="17"/>
        <v>6374</v>
      </c>
      <c r="M344">
        <f t="shared" si="18"/>
        <v>57366</v>
      </c>
      <c r="N344">
        <f t="shared" si="19"/>
        <v>11700</v>
      </c>
    </row>
    <row r="345" spans="1:14" x14ac:dyDescent="0.3">
      <c r="A345" t="s">
        <v>743</v>
      </c>
      <c r="B345" t="s">
        <v>59</v>
      </c>
      <c r="C345">
        <v>8</v>
      </c>
      <c r="D345">
        <v>11299</v>
      </c>
      <c r="E345" s="5">
        <v>45737</v>
      </c>
      <c r="F345" t="s">
        <v>744</v>
      </c>
      <c r="G345" t="s">
        <v>21</v>
      </c>
      <c r="H345" t="s">
        <v>15</v>
      </c>
      <c r="I345" t="s">
        <v>16</v>
      </c>
      <c r="J345" t="s">
        <v>17</v>
      </c>
      <c r="K345">
        <v>90392</v>
      </c>
      <c r="L345">
        <f t="shared" si="17"/>
        <v>9999</v>
      </c>
      <c r="M345">
        <f t="shared" si="18"/>
        <v>79992</v>
      </c>
      <c r="N345">
        <f t="shared" si="19"/>
        <v>10400</v>
      </c>
    </row>
    <row r="346" spans="1:14" x14ac:dyDescent="0.3">
      <c r="A346" t="s">
        <v>745</v>
      </c>
      <c r="B346" t="s">
        <v>62</v>
      </c>
      <c r="C346">
        <v>6</v>
      </c>
      <c r="D346">
        <v>13466</v>
      </c>
      <c r="E346" s="5">
        <v>45738</v>
      </c>
      <c r="F346" t="s">
        <v>746</v>
      </c>
      <c r="G346" t="s">
        <v>166</v>
      </c>
      <c r="H346" t="s">
        <v>15</v>
      </c>
      <c r="I346" t="s">
        <v>16</v>
      </c>
      <c r="J346" t="s">
        <v>50</v>
      </c>
      <c r="K346">
        <v>80796</v>
      </c>
      <c r="L346">
        <f t="shared" si="17"/>
        <v>12166</v>
      </c>
      <c r="M346">
        <f t="shared" si="18"/>
        <v>72996</v>
      </c>
      <c r="N346">
        <f t="shared" si="19"/>
        <v>7800</v>
      </c>
    </row>
    <row r="347" spans="1:14" x14ac:dyDescent="0.3">
      <c r="A347" t="s">
        <v>747</v>
      </c>
      <c r="B347" t="s">
        <v>19</v>
      </c>
      <c r="C347">
        <v>4</v>
      </c>
      <c r="D347">
        <v>19627</v>
      </c>
      <c r="E347" s="5">
        <v>45739</v>
      </c>
      <c r="F347" t="s">
        <v>748</v>
      </c>
      <c r="G347" t="s">
        <v>54</v>
      </c>
      <c r="H347" t="s">
        <v>15</v>
      </c>
      <c r="I347" t="s">
        <v>34</v>
      </c>
      <c r="J347" t="s">
        <v>76</v>
      </c>
      <c r="K347">
        <v>78508</v>
      </c>
      <c r="L347">
        <f t="shared" si="17"/>
        <v>18327</v>
      </c>
      <c r="M347">
        <f t="shared" si="18"/>
        <v>73308</v>
      </c>
      <c r="N347">
        <f t="shared" si="19"/>
        <v>5200</v>
      </c>
    </row>
    <row r="348" spans="1:14" x14ac:dyDescent="0.3">
      <c r="A348" t="s">
        <v>749</v>
      </c>
      <c r="B348" t="s">
        <v>52</v>
      </c>
      <c r="C348">
        <v>3</v>
      </c>
      <c r="D348">
        <v>6835</v>
      </c>
      <c r="E348" s="5">
        <v>45740</v>
      </c>
      <c r="F348" t="s">
        <v>750</v>
      </c>
      <c r="G348" t="s">
        <v>104</v>
      </c>
      <c r="H348" t="s">
        <v>15</v>
      </c>
      <c r="I348" t="s">
        <v>16</v>
      </c>
      <c r="J348" t="s">
        <v>47</v>
      </c>
      <c r="K348">
        <v>20505</v>
      </c>
      <c r="L348">
        <f t="shared" si="17"/>
        <v>5535</v>
      </c>
      <c r="M348">
        <f t="shared" si="18"/>
        <v>16605</v>
      </c>
      <c r="N348">
        <f t="shared" si="19"/>
        <v>3900</v>
      </c>
    </row>
    <row r="349" spans="1:14" x14ac:dyDescent="0.3">
      <c r="A349" t="s">
        <v>751</v>
      </c>
      <c r="B349" t="s">
        <v>44</v>
      </c>
      <c r="C349">
        <v>4</v>
      </c>
      <c r="D349">
        <v>17179</v>
      </c>
      <c r="E349" s="5">
        <v>45741</v>
      </c>
      <c r="F349" t="s">
        <v>752</v>
      </c>
      <c r="G349" t="s">
        <v>14</v>
      </c>
      <c r="H349" t="s">
        <v>15</v>
      </c>
      <c r="I349" t="s">
        <v>25</v>
      </c>
      <c r="J349" t="s">
        <v>76</v>
      </c>
      <c r="K349">
        <v>68716</v>
      </c>
      <c r="L349">
        <f t="shared" si="17"/>
        <v>15879</v>
      </c>
      <c r="M349">
        <f t="shared" si="18"/>
        <v>63516</v>
      </c>
      <c r="N349">
        <f t="shared" si="19"/>
        <v>5200</v>
      </c>
    </row>
    <row r="350" spans="1:14" x14ac:dyDescent="0.3">
      <c r="A350" t="s">
        <v>753</v>
      </c>
      <c r="B350" t="s">
        <v>62</v>
      </c>
      <c r="C350">
        <v>3</v>
      </c>
      <c r="D350">
        <v>14019</v>
      </c>
      <c r="E350" s="5">
        <v>45742</v>
      </c>
      <c r="F350" t="s">
        <v>754</v>
      </c>
      <c r="G350" t="s">
        <v>91</v>
      </c>
      <c r="H350" t="s">
        <v>15</v>
      </c>
      <c r="I350" t="s">
        <v>25</v>
      </c>
      <c r="J350" t="s">
        <v>76</v>
      </c>
      <c r="K350">
        <v>42057</v>
      </c>
      <c r="L350">
        <f t="shared" ref="L350:L400" si="20">D350-1300</f>
        <v>12719</v>
      </c>
      <c r="M350">
        <f t="shared" si="18"/>
        <v>38157</v>
      </c>
      <c r="N350">
        <f t="shared" si="19"/>
        <v>3900</v>
      </c>
    </row>
    <row r="351" spans="1:14" x14ac:dyDescent="0.3">
      <c r="A351" t="s">
        <v>755</v>
      </c>
      <c r="B351" t="s">
        <v>12</v>
      </c>
      <c r="C351">
        <v>6</v>
      </c>
      <c r="D351">
        <v>5454</v>
      </c>
      <c r="E351" s="5">
        <v>45743</v>
      </c>
      <c r="F351" t="s">
        <v>756</v>
      </c>
      <c r="G351" t="s">
        <v>124</v>
      </c>
      <c r="H351" t="s">
        <v>15</v>
      </c>
      <c r="I351" t="s">
        <v>25</v>
      </c>
      <c r="J351" t="s">
        <v>47</v>
      </c>
      <c r="K351">
        <v>32724</v>
      </c>
      <c r="L351">
        <f t="shared" si="20"/>
        <v>4154</v>
      </c>
      <c r="M351">
        <f t="shared" si="18"/>
        <v>24924</v>
      </c>
      <c r="N351">
        <f t="shared" si="19"/>
        <v>7800</v>
      </c>
    </row>
    <row r="352" spans="1:14" x14ac:dyDescent="0.3">
      <c r="A352" t="s">
        <v>757</v>
      </c>
      <c r="B352" t="s">
        <v>62</v>
      </c>
      <c r="C352">
        <v>5</v>
      </c>
      <c r="D352">
        <v>7945</v>
      </c>
      <c r="E352" s="5">
        <v>45744</v>
      </c>
      <c r="F352" t="s">
        <v>758</v>
      </c>
      <c r="G352" t="s">
        <v>14</v>
      </c>
      <c r="H352" t="s">
        <v>15</v>
      </c>
      <c r="I352" t="s">
        <v>34</v>
      </c>
      <c r="J352" t="s">
        <v>50</v>
      </c>
      <c r="K352">
        <v>39725</v>
      </c>
      <c r="L352">
        <f t="shared" si="20"/>
        <v>6645</v>
      </c>
      <c r="M352">
        <f t="shared" si="18"/>
        <v>33225</v>
      </c>
      <c r="N352">
        <f t="shared" si="19"/>
        <v>6500</v>
      </c>
    </row>
    <row r="353" spans="1:14" x14ac:dyDescent="0.3">
      <c r="A353" t="s">
        <v>759</v>
      </c>
      <c r="B353" t="s">
        <v>59</v>
      </c>
      <c r="C353">
        <v>2</v>
      </c>
      <c r="D353">
        <v>5901</v>
      </c>
      <c r="E353" s="5">
        <v>45745</v>
      </c>
      <c r="F353" t="s">
        <v>760</v>
      </c>
      <c r="G353" t="s">
        <v>135</v>
      </c>
      <c r="H353" t="s">
        <v>15</v>
      </c>
      <c r="I353" t="s">
        <v>25</v>
      </c>
      <c r="J353" t="s">
        <v>50</v>
      </c>
      <c r="K353">
        <v>11802</v>
      </c>
      <c r="L353">
        <f t="shared" si="20"/>
        <v>4601</v>
      </c>
      <c r="M353">
        <f t="shared" si="18"/>
        <v>9202</v>
      </c>
      <c r="N353">
        <f t="shared" si="19"/>
        <v>2600</v>
      </c>
    </row>
    <row r="354" spans="1:14" x14ac:dyDescent="0.3">
      <c r="A354" t="s">
        <v>761</v>
      </c>
      <c r="B354" t="s">
        <v>52</v>
      </c>
      <c r="C354">
        <v>6</v>
      </c>
      <c r="D354">
        <v>5881</v>
      </c>
      <c r="E354" s="5">
        <v>45746</v>
      </c>
      <c r="F354" t="s">
        <v>762</v>
      </c>
      <c r="G354" t="s">
        <v>54</v>
      </c>
      <c r="H354" t="s">
        <v>15</v>
      </c>
      <c r="I354" t="s">
        <v>34</v>
      </c>
      <c r="J354" t="s">
        <v>35</v>
      </c>
      <c r="K354">
        <v>35286</v>
      </c>
      <c r="L354">
        <f t="shared" si="20"/>
        <v>4581</v>
      </c>
      <c r="M354">
        <f t="shared" si="18"/>
        <v>27486</v>
      </c>
      <c r="N354">
        <f t="shared" si="19"/>
        <v>7800</v>
      </c>
    </row>
    <row r="355" spans="1:14" x14ac:dyDescent="0.3">
      <c r="A355" t="s">
        <v>763</v>
      </c>
      <c r="B355" t="s">
        <v>12</v>
      </c>
      <c r="C355">
        <v>9</v>
      </c>
      <c r="D355">
        <v>9831</v>
      </c>
      <c r="E355" s="5">
        <v>45747</v>
      </c>
      <c r="F355" t="s">
        <v>764</v>
      </c>
      <c r="G355" t="s">
        <v>54</v>
      </c>
      <c r="H355" t="s">
        <v>15</v>
      </c>
      <c r="I355" t="s">
        <v>16</v>
      </c>
      <c r="J355" t="s">
        <v>76</v>
      </c>
      <c r="K355">
        <v>88479</v>
      </c>
      <c r="L355">
        <f t="shared" si="20"/>
        <v>8531</v>
      </c>
      <c r="M355">
        <f t="shared" si="18"/>
        <v>76779</v>
      </c>
      <c r="N355">
        <f t="shared" si="19"/>
        <v>11700</v>
      </c>
    </row>
    <row r="356" spans="1:14" x14ac:dyDescent="0.3">
      <c r="A356" t="s">
        <v>765</v>
      </c>
      <c r="B356" t="s">
        <v>31</v>
      </c>
      <c r="C356">
        <v>4</v>
      </c>
      <c r="D356">
        <v>4792</v>
      </c>
      <c r="E356" s="5">
        <v>45748</v>
      </c>
      <c r="F356" t="s">
        <v>766</v>
      </c>
      <c r="G356" t="s">
        <v>57</v>
      </c>
      <c r="H356" t="s">
        <v>15</v>
      </c>
      <c r="I356" t="s">
        <v>16</v>
      </c>
      <c r="J356" t="s">
        <v>50</v>
      </c>
      <c r="K356">
        <v>19168</v>
      </c>
      <c r="L356">
        <f t="shared" si="20"/>
        <v>3492</v>
      </c>
      <c r="M356">
        <f t="shared" si="18"/>
        <v>13968</v>
      </c>
      <c r="N356">
        <f t="shared" si="19"/>
        <v>5200</v>
      </c>
    </row>
    <row r="357" spans="1:14" x14ac:dyDescent="0.3">
      <c r="A357" t="s">
        <v>767</v>
      </c>
      <c r="B357" t="s">
        <v>59</v>
      </c>
      <c r="C357">
        <v>6</v>
      </c>
      <c r="D357">
        <v>7940</v>
      </c>
      <c r="E357" s="5">
        <v>45749</v>
      </c>
      <c r="F357" t="s">
        <v>768</v>
      </c>
      <c r="G357" t="s">
        <v>46</v>
      </c>
      <c r="H357" t="s">
        <v>15</v>
      </c>
      <c r="I357" t="s">
        <v>34</v>
      </c>
      <c r="J357" t="s">
        <v>35</v>
      </c>
      <c r="K357">
        <v>47640</v>
      </c>
      <c r="L357">
        <f t="shared" si="20"/>
        <v>6640</v>
      </c>
      <c r="M357">
        <f t="shared" si="18"/>
        <v>39840</v>
      </c>
      <c r="N357">
        <f t="shared" si="19"/>
        <v>7800</v>
      </c>
    </row>
    <row r="358" spans="1:14" x14ac:dyDescent="0.3">
      <c r="A358" t="s">
        <v>769</v>
      </c>
      <c r="B358" t="s">
        <v>71</v>
      </c>
      <c r="C358">
        <v>9</v>
      </c>
      <c r="D358">
        <v>2279</v>
      </c>
      <c r="E358" s="5">
        <v>45750</v>
      </c>
      <c r="F358" t="s">
        <v>770</v>
      </c>
      <c r="G358" t="s">
        <v>54</v>
      </c>
      <c r="H358" t="s">
        <v>15</v>
      </c>
      <c r="I358" t="s">
        <v>34</v>
      </c>
      <c r="J358" t="s">
        <v>76</v>
      </c>
      <c r="K358">
        <v>20511</v>
      </c>
      <c r="L358">
        <f t="shared" si="20"/>
        <v>979</v>
      </c>
      <c r="M358">
        <f t="shared" si="18"/>
        <v>8811</v>
      </c>
      <c r="N358">
        <f t="shared" si="19"/>
        <v>11700</v>
      </c>
    </row>
    <row r="359" spans="1:14" x14ac:dyDescent="0.3">
      <c r="A359" t="s">
        <v>771</v>
      </c>
      <c r="B359" t="s">
        <v>62</v>
      </c>
      <c r="C359">
        <v>5</v>
      </c>
      <c r="D359">
        <v>11338</v>
      </c>
      <c r="E359" s="5">
        <v>45751</v>
      </c>
      <c r="F359" t="s">
        <v>772</v>
      </c>
      <c r="G359" t="s">
        <v>29</v>
      </c>
      <c r="H359" t="s">
        <v>15</v>
      </c>
      <c r="I359" t="s">
        <v>34</v>
      </c>
      <c r="J359" t="s">
        <v>47</v>
      </c>
      <c r="K359">
        <v>56690</v>
      </c>
      <c r="L359">
        <f t="shared" si="20"/>
        <v>10038</v>
      </c>
      <c r="M359">
        <f t="shared" si="18"/>
        <v>50190</v>
      </c>
      <c r="N359">
        <f t="shared" si="19"/>
        <v>6500</v>
      </c>
    </row>
    <row r="360" spans="1:14" x14ac:dyDescent="0.3">
      <c r="A360" t="s">
        <v>773</v>
      </c>
      <c r="B360" t="s">
        <v>19</v>
      </c>
      <c r="C360">
        <v>2</v>
      </c>
      <c r="D360">
        <v>13817</v>
      </c>
      <c r="E360" s="5">
        <v>45752</v>
      </c>
      <c r="F360" t="s">
        <v>774</v>
      </c>
      <c r="G360" t="s">
        <v>104</v>
      </c>
      <c r="H360" t="s">
        <v>15</v>
      </c>
      <c r="I360" t="s">
        <v>34</v>
      </c>
      <c r="J360" t="s">
        <v>50</v>
      </c>
      <c r="K360">
        <v>27634</v>
      </c>
      <c r="L360">
        <f t="shared" si="20"/>
        <v>12517</v>
      </c>
      <c r="M360">
        <f t="shared" si="18"/>
        <v>25034</v>
      </c>
      <c r="N360">
        <f t="shared" si="19"/>
        <v>2600</v>
      </c>
    </row>
    <row r="361" spans="1:14" x14ac:dyDescent="0.3">
      <c r="A361" t="s">
        <v>775</v>
      </c>
      <c r="B361" t="s">
        <v>59</v>
      </c>
      <c r="C361">
        <v>8</v>
      </c>
      <c r="D361">
        <v>15116</v>
      </c>
      <c r="E361" s="5">
        <v>45753</v>
      </c>
      <c r="F361" t="s">
        <v>776</v>
      </c>
      <c r="G361" t="s">
        <v>14</v>
      </c>
      <c r="H361" t="s">
        <v>15</v>
      </c>
      <c r="I361" t="s">
        <v>34</v>
      </c>
      <c r="J361" t="s">
        <v>76</v>
      </c>
      <c r="K361">
        <v>120928</v>
      </c>
      <c r="L361">
        <f t="shared" si="20"/>
        <v>13816</v>
      </c>
      <c r="M361">
        <f t="shared" si="18"/>
        <v>110528</v>
      </c>
      <c r="N361">
        <f t="shared" si="19"/>
        <v>10400</v>
      </c>
    </row>
    <row r="362" spans="1:14" x14ac:dyDescent="0.3">
      <c r="A362" t="s">
        <v>777</v>
      </c>
      <c r="B362" t="s">
        <v>31</v>
      </c>
      <c r="C362">
        <v>9</v>
      </c>
      <c r="D362">
        <v>2815</v>
      </c>
      <c r="E362" s="5">
        <v>45754</v>
      </c>
      <c r="F362" t="s">
        <v>778</v>
      </c>
      <c r="G362" t="s">
        <v>91</v>
      </c>
      <c r="H362" t="s">
        <v>15</v>
      </c>
      <c r="I362" t="s">
        <v>25</v>
      </c>
      <c r="J362" t="s">
        <v>76</v>
      </c>
      <c r="K362">
        <v>25335</v>
      </c>
      <c r="L362">
        <f t="shared" si="20"/>
        <v>1515</v>
      </c>
      <c r="M362">
        <f t="shared" si="18"/>
        <v>13635</v>
      </c>
      <c r="N362">
        <f t="shared" si="19"/>
        <v>11700</v>
      </c>
    </row>
    <row r="363" spans="1:14" x14ac:dyDescent="0.3">
      <c r="A363" t="s">
        <v>779</v>
      </c>
      <c r="B363" t="s">
        <v>40</v>
      </c>
      <c r="C363">
        <v>2</v>
      </c>
      <c r="D363">
        <v>11871</v>
      </c>
      <c r="E363" s="5">
        <v>45755</v>
      </c>
      <c r="F363" t="s">
        <v>780</v>
      </c>
      <c r="G363" t="s">
        <v>194</v>
      </c>
      <c r="H363" t="s">
        <v>15</v>
      </c>
      <c r="I363" t="s">
        <v>34</v>
      </c>
      <c r="J363" t="s">
        <v>47</v>
      </c>
      <c r="K363">
        <v>23742</v>
      </c>
      <c r="L363">
        <f t="shared" si="20"/>
        <v>10571</v>
      </c>
      <c r="M363">
        <f t="shared" si="18"/>
        <v>21142</v>
      </c>
      <c r="N363">
        <f t="shared" si="19"/>
        <v>2600</v>
      </c>
    </row>
    <row r="364" spans="1:14" x14ac:dyDescent="0.3">
      <c r="A364" t="s">
        <v>781</v>
      </c>
      <c r="B364" t="s">
        <v>59</v>
      </c>
      <c r="C364">
        <v>3</v>
      </c>
      <c r="D364">
        <v>8081</v>
      </c>
      <c r="E364" s="5">
        <v>45756</v>
      </c>
      <c r="F364" t="s">
        <v>782</v>
      </c>
      <c r="G364" t="s">
        <v>29</v>
      </c>
      <c r="H364" t="s">
        <v>15</v>
      </c>
      <c r="I364" t="s">
        <v>34</v>
      </c>
      <c r="J364" t="s">
        <v>76</v>
      </c>
      <c r="K364">
        <v>24243</v>
      </c>
      <c r="L364">
        <f t="shared" si="20"/>
        <v>6781</v>
      </c>
      <c r="M364">
        <f t="shared" si="18"/>
        <v>20343</v>
      </c>
      <c r="N364">
        <f t="shared" si="19"/>
        <v>3900</v>
      </c>
    </row>
    <row r="365" spans="1:14" x14ac:dyDescent="0.3">
      <c r="A365" t="s">
        <v>783</v>
      </c>
      <c r="B365" t="s">
        <v>62</v>
      </c>
      <c r="C365">
        <v>2</v>
      </c>
      <c r="D365">
        <v>4654</v>
      </c>
      <c r="E365" s="5">
        <v>45757</v>
      </c>
      <c r="F365" t="s">
        <v>784</v>
      </c>
      <c r="G365" t="s">
        <v>142</v>
      </c>
      <c r="H365" t="s">
        <v>15</v>
      </c>
      <c r="I365" t="s">
        <v>34</v>
      </c>
      <c r="J365" t="s">
        <v>35</v>
      </c>
      <c r="K365">
        <v>9308</v>
      </c>
      <c r="L365">
        <f t="shared" si="20"/>
        <v>3354</v>
      </c>
      <c r="M365">
        <f t="shared" si="18"/>
        <v>6708</v>
      </c>
      <c r="N365">
        <f t="shared" si="19"/>
        <v>2600</v>
      </c>
    </row>
    <row r="366" spans="1:14" x14ac:dyDescent="0.3">
      <c r="A366" t="s">
        <v>785</v>
      </c>
      <c r="B366" t="s">
        <v>71</v>
      </c>
      <c r="C366">
        <v>2</v>
      </c>
      <c r="D366">
        <v>12213</v>
      </c>
      <c r="E366" s="5">
        <v>45758</v>
      </c>
      <c r="F366" t="s">
        <v>786</v>
      </c>
      <c r="G366" t="s">
        <v>57</v>
      </c>
      <c r="H366" t="s">
        <v>15</v>
      </c>
      <c r="I366" t="s">
        <v>25</v>
      </c>
      <c r="J366" t="s">
        <v>47</v>
      </c>
      <c r="K366">
        <v>24426</v>
      </c>
      <c r="L366">
        <f t="shared" si="20"/>
        <v>10913</v>
      </c>
      <c r="M366">
        <f t="shared" si="18"/>
        <v>21826</v>
      </c>
      <c r="N366">
        <f t="shared" si="19"/>
        <v>2600</v>
      </c>
    </row>
    <row r="367" spans="1:14" x14ac:dyDescent="0.3">
      <c r="A367" t="s">
        <v>787</v>
      </c>
      <c r="B367" t="s">
        <v>44</v>
      </c>
      <c r="C367">
        <v>8</v>
      </c>
      <c r="D367">
        <v>19194</v>
      </c>
      <c r="E367" s="5">
        <v>45759</v>
      </c>
      <c r="F367" t="s">
        <v>788</v>
      </c>
      <c r="G367" t="s">
        <v>67</v>
      </c>
      <c r="H367" t="s">
        <v>15</v>
      </c>
      <c r="I367" t="s">
        <v>34</v>
      </c>
      <c r="J367" t="s">
        <v>17</v>
      </c>
      <c r="K367">
        <v>153552</v>
      </c>
      <c r="L367">
        <f t="shared" si="20"/>
        <v>17894</v>
      </c>
      <c r="M367">
        <f t="shared" si="18"/>
        <v>143152</v>
      </c>
      <c r="N367">
        <f t="shared" si="19"/>
        <v>10400</v>
      </c>
    </row>
    <row r="368" spans="1:14" x14ac:dyDescent="0.3">
      <c r="A368" t="s">
        <v>789</v>
      </c>
      <c r="B368" t="s">
        <v>31</v>
      </c>
      <c r="C368">
        <v>6</v>
      </c>
      <c r="D368">
        <v>2512</v>
      </c>
      <c r="E368" s="5">
        <v>45760</v>
      </c>
      <c r="F368" t="s">
        <v>790</v>
      </c>
      <c r="G368" t="s">
        <v>64</v>
      </c>
      <c r="H368" t="s">
        <v>15</v>
      </c>
      <c r="I368" t="s">
        <v>34</v>
      </c>
      <c r="J368" t="s">
        <v>35</v>
      </c>
      <c r="K368">
        <v>15072</v>
      </c>
      <c r="L368">
        <f t="shared" si="20"/>
        <v>1212</v>
      </c>
      <c r="M368">
        <f t="shared" si="18"/>
        <v>7272</v>
      </c>
      <c r="N368">
        <f t="shared" si="19"/>
        <v>7800</v>
      </c>
    </row>
    <row r="369" spans="1:14" x14ac:dyDescent="0.3">
      <c r="A369" t="s">
        <v>791</v>
      </c>
      <c r="B369" t="s">
        <v>12</v>
      </c>
      <c r="C369">
        <v>1</v>
      </c>
      <c r="D369">
        <v>6829</v>
      </c>
      <c r="E369" s="5">
        <v>45761</v>
      </c>
      <c r="F369" t="s">
        <v>792</v>
      </c>
      <c r="G369" t="s">
        <v>73</v>
      </c>
      <c r="H369" t="s">
        <v>15</v>
      </c>
      <c r="I369" t="s">
        <v>16</v>
      </c>
      <c r="J369" t="s">
        <v>47</v>
      </c>
      <c r="K369">
        <v>6829</v>
      </c>
      <c r="L369">
        <f t="shared" si="20"/>
        <v>5529</v>
      </c>
      <c r="M369">
        <f t="shared" si="18"/>
        <v>5529</v>
      </c>
      <c r="N369">
        <f t="shared" si="19"/>
        <v>1300</v>
      </c>
    </row>
    <row r="370" spans="1:14" x14ac:dyDescent="0.3">
      <c r="A370" t="s">
        <v>793</v>
      </c>
      <c r="B370" t="s">
        <v>12</v>
      </c>
      <c r="C370">
        <v>5</v>
      </c>
      <c r="D370">
        <v>5139</v>
      </c>
      <c r="E370" s="5">
        <v>45762</v>
      </c>
      <c r="F370" t="s">
        <v>794</v>
      </c>
      <c r="G370" t="s">
        <v>159</v>
      </c>
      <c r="H370" t="s">
        <v>15</v>
      </c>
      <c r="I370" t="s">
        <v>25</v>
      </c>
      <c r="J370" t="s">
        <v>47</v>
      </c>
      <c r="K370">
        <v>25695</v>
      </c>
      <c r="L370">
        <f t="shared" si="20"/>
        <v>3839</v>
      </c>
      <c r="M370">
        <f t="shared" si="18"/>
        <v>19195</v>
      </c>
      <c r="N370">
        <f t="shared" si="19"/>
        <v>6500</v>
      </c>
    </row>
    <row r="371" spans="1:14" x14ac:dyDescent="0.3">
      <c r="A371" t="s">
        <v>795</v>
      </c>
      <c r="B371" t="s">
        <v>44</v>
      </c>
      <c r="C371">
        <v>2</v>
      </c>
      <c r="D371">
        <v>6383</v>
      </c>
      <c r="E371" s="5">
        <v>45763</v>
      </c>
      <c r="F371" t="s">
        <v>796</v>
      </c>
      <c r="G371" t="s">
        <v>67</v>
      </c>
      <c r="H371" t="s">
        <v>15</v>
      </c>
      <c r="I371" t="s">
        <v>25</v>
      </c>
      <c r="J371" t="s">
        <v>17</v>
      </c>
      <c r="K371">
        <v>12766</v>
      </c>
      <c r="L371">
        <f t="shared" si="20"/>
        <v>5083</v>
      </c>
      <c r="M371">
        <f t="shared" si="18"/>
        <v>10166</v>
      </c>
      <c r="N371">
        <f t="shared" si="19"/>
        <v>2600</v>
      </c>
    </row>
    <row r="372" spans="1:14" x14ac:dyDescent="0.3">
      <c r="A372" t="s">
        <v>797</v>
      </c>
      <c r="B372" t="s">
        <v>31</v>
      </c>
      <c r="C372">
        <v>2</v>
      </c>
      <c r="D372">
        <v>4845</v>
      </c>
      <c r="E372" s="5">
        <v>45764</v>
      </c>
      <c r="F372" t="s">
        <v>798</v>
      </c>
      <c r="G372" t="s">
        <v>142</v>
      </c>
      <c r="H372" t="s">
        <v>15</v>
      </c>
      <c r="I372" t="s">
        <v>25</v>
      </c>
      <c r="J372" t="s">
        <v>76</v>
      </c>
      <c r="K372">
        <v>9690</v>
      </c>
      <c r="L372">
        <f t="shared" si="20"/>
        <v>3545</v>
      </c>
      <c r="M372">
        <f t="shared" si="18"/>
        <v>7090</v>
      </c>
      <c r="N372">
        <f t="shared" si="19"/>
        <v>2600</v>
      </c>
    </row>
    <row r="373" spans="1:14" x14ac:dyDescent="0.3">
      <c r="A373" t="s">
        <v>799</v>
      </c>
      <c r="B373" t="s">
        <v>59</v>
      </c>
      <c r="C373">
        <v>7</v>
      </c>
      <c r="D373">
        <v>8160</v>
      </c>
      <c r="E373" s="5">
        <v>45765</v>
      </c>
      <c r="F373" t="s">
        <v>800</v>
      </c>
      <c r="G373" t="s">
        <v>124</v>
      </c>
      <c r="H373" t="s">
        <v>15</v>
      </c>
      <c r="I373" t="s">
        <v>25</v>
      </c>
      <c r="J373" t="s">
        <v>76</v>
      </c>
      <c r="K373">
        <v>57120</v>
      </c>
      <c r="L373">
        <f t="shared" si="20"/>
        <v>6860</v>
      </c>
      <c r="M373">
        <f t="shared" si="18"/>
        <v>48020</v>
      </c>
      <c r="N373">
        <f t="shared" si="19"/>
        <v>9100</v>
      </c>
    </row>
    <row r="374" spans="1:14" x14ac:dyDescent="0.3">
      <c r="A374" t="s">
        <v>801</v>
      </c>
      <c r="B374" t="s">
        <v>71</v>
      </c>
      <c r="C374">
        <v>7</v>
      </c>
      <c r="D374">
        <v>13749</v>
      </c>
      <c r="E374" s="5">
        <v>45766</v>
      </c>
      <c r="F374" t="s">
        <v>802</v>
      </c>
      <c r="G374" t="s">
        <v>175</v>
      </c>
      <c r="H374" t="s">
        <v>15</v>
      </c>
      <c r="I374" t="s">
        <v>34</v>
      </c>
      <c r="J374" t="s">
        <v>76</v>
      </c>
      <c r="K374">
        <v>96243</v>
      </c>
      <c r="L374">
        <f t="shared" si="20"/>
        <v>12449</v>
      </c>
      <c r="M374">
        <f t="shared" si="18"/>
        <v>87143</v>
      </c>
      <c r="N374">
        <f t="shared" si="19"/>
        <v>9100</v>
      </c>
    </row>
    <row r="375" spans="1:14" x14ac:dyDescent="0.3">
      <c r="A375" t="s">
        <v>803</v>
      </c>
      <c r="B375" t="s">
        <v>59</v>
      </c>
      <c r="C375">
        <v>1</v>
      </c>
      <c r="D375">
        <v>5409</v>
      </c>
      <c r="E375" s="5">
        <v>45767</v>
      </c>
      <c r="F375" t="s">
        <v>804</v>
      </c>
      <c r="G375" t="s">
        <v>29</v>
      </c>
      <c r="H375" t="s">
        <v>15</v>
      </c>
      <c r="I375" t="s">
        <v>16</v>
      </c>
      <c r="J375" t="s">
        <v>47</v>
      </c>
      <c r="K375">
        <v>5409</v>
      </c>
      <c r="L375">
        <f t="shared" si="20"/>
        <v>4109</v>
      </c>
      <c r="M375">
        <f t="shared" si="18"/>
        <v>4109</v>
      </c>
      <c r="N375">
        <f t="shared" si="19"/>
        <v>1300</v>
      </c>
    </row>
    <row r="376" spans="1:14" x14ac:dyDescent="0.3">
      <c r="A376" t="s">
        <v>805</v>
      </c>
      <c r="B376" t="s">
        <v>19</v>
      </c>
      <c r="C376">
        <v>3</v>
      </c>
      <c r="D376">
        <v>13063</v>
      </c>
      <c r="E376" s="5">
        <v>45768</v>
      </c>
      <c r="F376" t="s">
        <v>806</v>
      </c>
      <c r="G376" t="s">
        <v>21</v>
      </c>
      <c r="H376" t="s">
        <v>15</v>
      </c>
      <c r="I376" t="s">
        <v>25</v>
      </c>
      <c r="J376" t="s">
        <v>17</v>
      </c>
      <c r="K376">
        <v>39189</v>
      </c>
      <c r="L376">
        <f t="shared" si="20"/>
        <v>11763</v>
      </c>
      <c r="M376">
        <f t="shared" si="18"/>
        <v>35289</v>
      </c>
      <c r="N376">
        <f t="shared" si="19"/>
        <v>3900</v>
      </c>
    </row>
    <row r="377" spans="1:14" x14ac:dyDescent="0.3">
      <c r="A377" t="s">
        <v>807</v>
      </c>
      <c r="B377" t="s">
        <v>31</v>
      </c>
      <c r="C377">
        <v>4</v>
      </c>
      <c r="D377">
        <v>6989</v>
      </c>
      <c r="E377" s="5">
        <v>45769</v>
      </c>
      <c r="F377" t="s">
        <v>808</v>
      </c>
      <c r="G377" t="s">
        <v>91</v>
      </c>
      <c r="H377" t="s">
        <v>15</v>
      </c>
      <c r="I377" t="s">
        <v>34</v>
      </c>
      <c r="J377" t="s">
        <v>76</v>
      </c>
      <c r="K377">
        <v>27956</v>
      </c>
      <c r="L377">
        <f t="shared" si="20"/>
        <v>5689</v>
      </c>
      <c r="M377">
        <f t="shared" si="18"/>
        <v>22756</v>
      </c>
      <c r="N377">
        <f t="shared" si="19"/>
        <v>5200</v>
      </c>
    </row>
    <row r="378" spans="1:14" x14ac:dyDescent="0.3">
      <c r="A378" t="s">
        <v>809</v>
      </c>
      <c r="B378" t="s">
        <v>44</v>
      </c>
      <c r="C378">
        <v>8</v>
      </c>
      <c r="D378">
        <v>11515</v>
      </c>
      <c r="E378" s="5">
        <v>45770</v>
      </c>
      <c r="F378" t="s">
        <v>810</v>
      </c>
      <c r="G378" t="s">
        <v>38</v>
      </c>
      <c r="H378" t="s">
        <v>15</v>
      </c>
      <c r="I378" t="s">
        <v>16</v>
      </c>
      <c r="J378" t="s">
        <v>17</v>
      </c>
      <c r="K378">
        <v>92120</v>
      </c>
      <c r="L378">
        <f t="shared" si="20"/>
        <v>10215</v>
      </c>
      <c r="M378">
        <f t="shared" si="18"/>
        <v>81720</v>
      </c>
      <c r="N378">
        <f t="shared" si="19"/>
        <v>10400</v>
      </c>
    </row>
    <row r="379" spans="1:14" x14ac:dyDescent="0.3">
      <c r="A379" t="s">
        <v>811</v>
      </c>
      <c r="B379" t="s">
        <v>71</v>
      </c>
      <c r="C379">
        <v>3</v>
      </c>
      <c r="D379">
        <v>8467</v>
      </c>
      <c r="E379" s="5">
        <v>45771</v>
      </c>
      <c r="F379" t="s">
        <v>812</v>
      </c>
      <c r="G379" t="s">
        <v>104</v>
      </c>
      <c r="H379" t="s">
        <v>15</v>
      </c>
      <c r="I379" t="s">
        <v>25</v>
      </c>
      <c r="J379" t="s">
        <v>35</v>
      </c>
      <c r="K379">
        <v>25401</v>
      </c>
      <c r="L379">
        <f t="shared" si="20"/>
        <v>7167</v>
      </c>
      <c r="M379">
        <f t="shared" si="18"/>
        <v>21501</v>
      </c>
      <c r="N379">
        <f t="shared" si="19"/>
        <v>3900</v>
      </c>
    </row>
    <row r="380" spans="1:14" x14ac:dyDescent="0.3">
      <c r="A380" t="s">
        <v>813</v>
      </c>
      <c r="B380" t="s">
        <v>62</v>
      </c>
      <c r="C380">
        <v>5</v>
      </c>
      <c r="D380">
        <v>14820</v>
      </c>
      <c r="E380" s="5">
        <v>45772</v>
      </c>
      <c r="F380" t="s">
        <v>814</v>
      </c>
      <c r="G380" t="s">
        <v>104</v>
      </c>
      <c r="H380" t="s">
        <v>15</v>
      </c>
      <c r="I380" t="s">
        <v>25</v>
      </c>
      <c r="J380" t="s">
        <v>47</v>
      </c>
      <c r="K380">
        <v>74100</v>
      </c>
      <c r="L380">
        <f t="shared" si="20"/>
        <v>13520</v>
      </c>
      <c r="M380">
        <f t="shared" si="18"/>
        <v>67600</v>
      </c>
      <c r="N380">
        <f t="shared" si="19"/>
        <v>6500</v>
      </c>
    </row>
    <row r="381" spans="1:14" x14ac:dyDescent="0.3">
      <c r="A381" t="s">
        <v>815</v>
      </c>
      <c r="B381" t="s">
        <v>59</v>
      </c>
      <c r="C381">
        <v>1</v>
      </c>
      <c r="D381">
        <v>14763</v>
      </c>
      <c r="E381" s="5">
        <v>45773</v>
      </c>
      <c r="F381" t="s">
        <v>816</v>
      </c>
      <c r="G381" t="s">
        <v>91</v>
      </c>
      <c r="H381" t="s">
        <v>15</v>
      </c>
      <c r="I381" t="s">
        <v>25</v>
      </c>
      <c r="J381" t="s">
        <v>35</v>
      </c>
      <c r="K381">
        <v>14763</v>
      </c>
      <c r="L381">
        <f t="shared" si="20"/>
        <v>13463</v>
      </c>
      <c r="M381">
        <f t="shared" si="18"/>
        <v>13463</v>
      </c>
      <c r="N381">
        <f t="shared" si="19"/>
        <v>1300</v>
      </c>
    </row>
    <row r="382" spans="1:14" x14ac:dyDescent="0.3">
      <c r="A382" t="s">
        <v>817</v>
      </c>
      <c r="B382" t="s">
        <v>52</v>
      </c>
      <c r="C382">
        <v>7</v>
      </c>
      <c r="D382">
        <v>2511</v>
      </c>
      <c r="E382" s="5">
        <v>45774</v>
      </c>
      <c r="F382" t="s">
        <v>818</v>
      </c>
      <c r="G382" t="s">
        <v>57</v>
      </c>
      <c r="H382" t="s">
        <v>15</v>
      </c>
      <c r="I382" t="s">
        <v>34</v>
      </c>
      <c r="J382" t="s">
        <v>35</v>
      </c>
      <c r="K382">
        <v>17577</v>
      </c>
      <c r="L382">
        <f t="shared" si="20"/>
        <v>1211</v>
      </c>
      <c r="M382">
        <f t="shared" si="18"/>
        <v>8477</v>
      </c>
      <c r="N382">
        <f t="shared" si="19"/>
        <v>9100</v>
      </c>
    </row>
    <row r="383" spans="1:14" x14ac:dyDescent="0.3">
      <c r="A383" t="s">
        <v>819</v>
      </c>
      <c r="B383" t="s">
        <v>40</v>
      </c>
      <c r="C383">
        <v>3</v>
      </c>
      <c r="D383">
        <v>15788</v>
      </c>
      <c r="E383" s="5">
        <v>45775</v>
      </c>
      <c r="F383" t="s">
        <v>820</v>
      </c>
      <c r="G383" t="s">
        <v>104</v>
      </c>
      <c r="H383" t="s">
        <v>15</v>
      </c>
      <c r="I383" t="s">
        <v>16</v>
      </c>
      <c r="J383" t="s">
        <v>17</v>
      </c>
      <c r="K383">
        <v>47364</v>
      </c>
      <c r="L383">
        <f t="shared" si="20"/>
        <v>14488</v>
      </c>
      <c r="M383">
        <f t="shared" si="18"/>
        <v>43464</v>
      </c>
      <c r="N383">
        <f t="shared" si="19"/>
        <v>3900</v>
      </c>
    </row>
    <row r="384" spans="1:14" x14ac:dyDescent="0.3">
      <c r="A384" t="s">
        <v>821</v>
      </c>
      <c r="B384" t="s">
        <v>19</v>
      </c>
      <c r="C384">
        <v>5</v>
      </c>
      <c r="D384">
        <v>6366</v>
      </c>
      <c r="E384" s="5">
        <v>45776</v>
      </c>
      <c r="F384" t="s">
        <v>822</v>
      </c>
      <c r="G384" t="s">
        <v>101</v>
      </c>
      <c r="H384" t="s">
        <v>15</v>
      </c>
      <c r="I384" t="s">
        <v>16</v>
      </c>
      <c r="J384" t="s">
        <v>35</v>
      </c>
      <c r="K384">
        <v>31830</v>
      </c>
      <c r="L384">
        <f t="shared" si="20"/>
        <v>5066</v>
      </c>
      <c r="M384">
        <f t="shared" si="18"/>
        <v>25330</v>
      </c>
      <c r="N384">
        <f t="shared" si="19"/>
        <v>6500</v>
      </c>
    </row>
    <row r="385" spans="1:14" x14ac:dyDescent="0.3">
      <c r="A385" t="s">
        <v>823</v>
      </c>
      <c r="B385" t="s">
        <v>31</v>
      </c>
      <c r="C385">
        <v>8</v>
      </c>
      <c r="D385">
        <v>18654</v>
      </c>
      <c r="E385" s="5">
        <v>45777</v>
      </c>
      <c r="F385" t="s">
        <v>824</v>
      </c>
      <c r="G385" t="s">
        <v>46</v>
      </c>
      <c r="H385" t="s">
        <v>15</v>
      </c>
      <c r="I385" t="s">
        <v>25</v>
      </c>
      <c r="J385" t="s">
        <v>50</v>
      </c>
      <c r="K385">
        <v>149232</v>
      </c>
      <c r="L385">
        <f t="shared" si="20"/>
        <v>17354</v>
      </c>
      <c r="M385">
        <f t="shared" si="18"/>
        <v>138832</v>
      </c>
      <c r="N385">
        <f t="shared" si="19"/>
        <v>10400</v>
      </c>
    </row>
    <row r="386" spans="1:14" x14ac:dyDescent="0.3">
      <c r="A386" t="s">
        <v>825</v>
      </c>
      <c r="B386" t="s">
        <v>19</v>
      </c>
      <c r="C386">
        <v>4</v>
      </c>
      <c r="D386">
        <v>17843</v>
      </c>
      <c r="E386" s="5">
        <v>45778</v>
      </c>
      <c r="F386" t="s">
        <v>826</v>
      </c>
      <c r="G386" t="s">
        <v>91</v>
      </c>
      <c r="H386" t="s">
        <v>15</v>
      </c>
      <c r="I386" t="s">
        <v>34</v>
      </c>
      <c r="J386" t="s">
        <v>47</v>
      </c>
      <c r="K386">
        <v>71372</v>
      </c>
      <c r="L386">
        <f t="shared" si="20"/>
        <v>16543</v>
      </c>
      <c r="M386">
        <f t="shared" si="18"/>
        <v>66172</v>
      </c>
      <c r="N386">
        <f t="shared" si="19"/>
        <v>5200</v>
      </c>
    </row>
    <row r="387" spans="1:14" x14ac:dyDescent="0.3">
      <c r="A387" t="s">
        <v>827</v>
      </c>
      <c r="B387" t="s">
        <v>12</v>
      </c>
      <c r="C387">
        <v>1</v>
      </c>
      <c r="D387">
        <v>2447</v>
      </c>
      <c r="E387" s="5">
        <v>45779</v>
      </c>
      <c r="F387" t="s">
        <v>828</v>
      </c>
      <c r="G387" t="s">
        <v>166</v>
      </c>
      <c r="H387" t="s">
        <v>15</v>
      </c>
      <c r="I387" t="s">
        <v>16</v>
      </c>
      <c r="J387" t="s">
        <v>50</v>
      </c>
      <c r="K387">
        <v>2447</v>
      </c>
      <c r="L387">
        <f t="shared" si="20"/>
        <v>1147</v>
      </c>
      <c r="M387">
        <f t="shared" ref="M387:M400" si="21">L387*C387</f>
        <v>1147</v>
      </c>
      <c r="N387">
        <f t="shared" ref="N387:N400" si="22">K387-M387</f>
        <v>1300</v>
      </c>
    </row>
    <row r="388" spans="1:14" x14ac:dyDescent="0.3">
      <c r="A388" t="s">
        <v>829</v>
      </c>
      <c r="B388" t="s">
        <v>62</v>
      </c>
      <c r="C388">
        <v>6</v>
      </c>
      <c r="D388">
        <v>6469</v>
      </c>
      <c r="E388" s="5">
        <v>45780</v>
      </c>
      <c r="F388" t="s">
        <v>830</v>
      </c>
      <c r="G388" t="s">
        <v>94</v>
      </c>
      <c r="H388" t="s">
        <v>15</v>
      </c>
      <c r="I388" t="s">
        <v>16</v>
      </c>
      <c r="J388" t="s">
        <v>50</v>
      </c>
      <c r="K388">
        <v>38814</v>
      </c>
      <c r="L388">
        <f t="shared" si="20"/>
        <v>5169</v>
      </c>
      <c r="M388">
        <f t="shared" si="21"/>
        <v>31014</v>
      </c>
      <c r="N388">
        <f t="shared" si="22"/>
        <v>7800</v>
      </c>
    </row>
    <row r="389" spans="1:14" x14ac:dyDescent="0.3">
      <c r="A389" t="s">
        <v>831</v>
      </c>
      <c r="B389" t="s">
        <v>71</v>
      </c>
      <c r="C389">
        <v>5</v>
      </c>
      <c r="D389">
        <v>18102</v>
      </c>
      <c r="E389" s="5">
        <v>45781</v>
      </c>
      <c r="F389" t="s">
        <v>832</v>
      </c>
      <c r="G389" t="s">
        <v>142</v>
      </c>
      <c r="H389" t="s">
        <v>15</v>
      </c>
      <c r="I389" t="s">
        <v>25</v>
      </c>
      <c r="J389" t="s">
        <v>47</v>
      </c>
      <c r="K389">
        <v>90510</v>
      </c>
      <c r="L389">
        <f t="shared" si="20"/>
        <v>16802</v>
      </c>
      <c r="M389">
        <f t="shared" si="21"/>
        <v>84010</v>
      </c>
      <c r="N389">
        <f t="shared" si="22"/>
        <v>6500</v>
      </c>
    </row>
    <row r="390" spans="1:14" x14ac:dyDescent="0.3">
      <c r="A390" t="s">
        <v>833</v>
      </c>
      <c r="B390" t="s">
        <v>19</v>
      </c>
      <c r="C390">
        <v>1</v>
      </c>
      <c r="D390">
        <v>2043</v>
      </c>
      <c r="E390" s="5">
        <v>45782</v>
      </c>
      <c r="F390" t="s">
        <v>834</v>
      </c>
      <c r="G390" t="s">
        <v>159</v>
      </c>
      <c r="H390" t="s">
        <v>15</v>
      </c>
      <c r="I390" t="s">
        <v>25</v>
      </c>
      <c r="J390" t="s">
        <v>76</v>
      </c>
      <c r="K390">
        <v>2043</v>
      </c>
      <c r="L390">
        <f t="shared" si="20"/>
        <v>743</v>
      </c>
      <c r="M390">
        <f t="shared" si="21"/>
        <v>743</v>
      </c>
      <c r="N390">
        <f t="shared" si="22"/>
        <v>1300</v>
      </c>
    </row>
    <row r="391" spans="1:14" x14ac:dyDescent="0.3">
      <c r="A391" t="s">
        <v>835</v>
      </c>
      <c r="B391" t="s">
        <v>71</v>
      </c>
      <c r="C391">
        <v>3</v>
      </c>
      <c r="D391">
        <v>9526</v>
      </c>
      <c r="E391" s="5">
        <v>45783</v>
      </c>
      <c r="F391" t="s">
        <v>836</v>
      </c>
      <c r="G391" t="s">
        <v>67</v>
      </c>
      <c r="H391" t="s">
        <v>15</v>
      </c>
      <c r="I391" t="s">
        <v>34</v>
      </c>
      <c r="J391" t="s">
        <v>17</v>
      </c>
      <c r="K391">
        <v>28578</v>
      </c>
      <c r="L391">
        <f t="shared" si="20"/>
        <v>8226</v>
      </c>
      <c r="M391">
        <f t="shared" si="21"/>
        <v>24678</v>
      </c>
      <c r="N391">
        <f t="shared" si="22"/>
        <v>3900</v>
      </c>
    </row>
    <row r="392" spans="1:14" x14ac:dyDescent="0.3">
      <c r="A392" t="s">
        <v>837</v>
      </c>
      <c r="B392" t="s">
        <v>27</v>
      </c>
      <c r="C392">
        <v>4</v>
      </c>
      <c r="D392">
        <v>13991</v>
      </c>
      <c r="E392" s="5">
        <v>45784</v>
      </c>
      <c r="F392" t="s">
        <v>838</v>
      </c>
      <c r="G392" t="s">
        <v>57</v>
      </c>
      <c r="H392" t="s">
        <v>15</v>
      </c>
      <c r="I392" t="s">
        <v>16</v>
      </c>
      <c r="J392" t="s">
        <v>76</v>
      </c>
      <c r="K392">
        <v>55964</v>
      </c>
      <c r="L392">
        <f t="shared" si="20"/>
        <v>12691</v>
      </c>
      <c r="M392">
        <f t="shared" si="21"/>
        <v>50764</v>
      </c>
      <c r="N392">
        <f t="shared" si="22"/>
        <v>5200</v>
      </c>
    </row>
    <row r="393" spans="1:14" x14ac:dyDescent="0.3">
      <c r="A393" t="s">
        <v>839</v>
      </c>
      <c r="B393" t="s">
        <v>19</v>
      </c>
      <c r="C393">
        <v>2</v>
      </c>
      <c r="D393">
        <v>7012</v>
      </c>
      <c r="E393" s="5">
        <v>45785</v>
      </c>
      <c r="F393" t="s">
        <v>840</v>
      </c>
      <c r="G393" t="s">
        <v>159</v>
      </c>
      <c r="H393" t="s">
        <v>15</v>
      </c>
      <c r="I393" t="s">
        <v>34</v>
      </c>
      <c r="J393" t="s">
        <v>35</v>
      </c>
      <c r="K393">
        <v>14024</v>
      </c>
      <c r="L393">
        <f t="shared" si="20"/>
        <v>5712</v>
      </c>
      <c r="M393">
        <f t="shared" si="21"/>
        <v>11424</v>
      </c>
      <c r="N393">
        <f t="shared" si="22"/>
        <v>2600</v>
      </c>
    </row>
    <row r="394" spans="1:14" x14ac:dyDescent="0.3">
      <c r="A394" t="s">
        <v>841</v>
      </c>
      <c r="B394" t="s">
        <v>40</v>
      </c>
      <c r="C394">
        <v>8</v>
      </c>
      <c r="D394">
        <v>4583</v>
      </c>
      <c r="E394" s="5">
        <v>45786</v>
      </c>
      <c r="F394" t="s">
        <v>842</v>
      </c>
      <c r="G394" t="s">
        <v>54</v>
      </c>
      <c r="H394" t="s">
        <v>15</v>
      </c>
      <c r="I394" t="s">
        <v>25</v>
      </c>
      <c r="J394" t="s">
        <v>76</v>
      </c>
      <c r="K394">
        <v>36664</v>
      </c>
      <c r="L394">
        <f t="shared" si="20"/>
        <v>3283</v>
      </c>
      <c r="M394">
        <f t="shared" si="21"/>
        <v>26264</v>
      </c>
      <c r="N394">
        <f t="shared" si="22"/>
        <v>10400</v>
      </c>
    </row>
    <row r="395" spans="1:14" x14ac:dyDescent="0.3">
      <c r="A395" t="s">
        <v>843</v>
      </c>
      <c r="B395" t="s">
        <v>19</v>
      </c>
      <c r="C395">
        <v>2</v>
      </c>
      <c r="D395">
        <v>7410</v>
      </c>
      <c r="E395" s="5">
        <v>45787</v>
      </c>
      <c r="F395" t="s">
        <v>844</v>
      </c>
      <c r="G395" t="s">
        <v>124</v>
      </c>
      <c r="H395" t="s">
        <v>15</v>
      </c>
      <c r="I395" t="s">
        <v>25</v>
      </c>
      <c r="J395" t="s">
        <v>50</v>
      </c>
      <c r="K395">
        <v>14820</v>
      </c>
      <c r="L395">
        <f t="shared" si="20"/>
        <v>6110</v>
      </c>
      <c r="M395">
        <f t="shared" si="21"/>
        <v>12220</v>
      </c>
      <c r="N395">
        <f t="shared" si="22"/>
        <v>2600</v>
      </c>
    </row>
    <row r="396" spans="1:14" x14ac:dyDescent="0.3">
      <c r="A396" t="s">
        <v>845</v>
      </c>
      <c r="B396" t="s">
        <v>59</v>
      </c>
      <c r="C396">
        <v>4</v>
      </c>
      <c r="D396">
        <v>5360</v>
      </c>
      <c r="E396" s="5">
        <v>45788</v>
      </c>
      <c r="F396" t="s">
        <v>846</v>
      </c>
      <c r="G396" t="s">
        <v>166</v>
      </c>
      <c r="H396" t="s">
        <v>15</v>
      </c>
      <c r="I396" t="s">
        <v>25</v>
      </c>
      <c r="J396" t="s">
        <v>76</v>
      </c>
      <c r="K396">
        <v>21440</v>
      </c>
      <c r="L396">
        <f t="shared" si="20"/>
        <v>4060</v>
      </c>
      <c r="M396">
        <f t="shared" si="21"/>
        <v>16240</v>
      </c>
      <c r="N396">
        <f t="shared" si="22"/>
        <v>5200</v>
      </c>
    </row>
    <row r="397" spans="1:14" x14ac:dyDescent="0.3">
      <c r="A397" t="s">
        <v>847</v>
      </c>
      <c r="B397" t="s">
        <v>59</v>
      </c>
      <c r="C397">
        <v>5</v>
      </c>
      <c r="D397">
        <v>4881</v>
      </c>
      <c r="E397" s="5">
        <v>45789</v>
      </c>
      <c r="F397" t="s">
        <v>848</v>
      </c>
      <c r="G397" t="s">
        <v>64</v>
      </c>
      <c r="H397" t="s">
        <v>15</v>
      </c>
      <c r="I397" t="s">
        <v>25</v>
      </c>
      <c r="J397" t="s">
        <v>47</v>
      </c>
      <c r="K397">
        <v>24405</v>
      </c>
      <c r="L397">
        <f t="shared" si="20"/>
        <v>3581</v>
      </c>
      <c r="M397">
        <f t="shared" si="21"/>
        <v>17905</v>
      </c>
      <c r="N397">
        <f t="shared" si="22"/>
        <v>6500</v>
      </c>
    </row>
    <row r="398" spans="1:14" x14ac:dyDescent="0.3">
      <c r="A398" t="s">
        <v>849</v>
      </c>
      <c r="B398" t="s">
        <v>44</v>
      </c>
      <c r="C398">
        <v>2</v>
      </c>
      <c r="D398">
        <v>4837</v>
      </c>
      <c r="E398" s="5">
        <v>45790</v>
      </c>
      <c r="F398" t="s">
        <v>850</v>
      </c>
      <c r="G398" t="s">
        <v>67</v>
      </c>
      <c r="H398" t="s">
        <v>15</v>
      </c>
      <c r="I398" t="s">
        <v>34</v>
      </c>
      <c r="J398" t="s">
        <v>17</v>
      </c>
      <c r="K398">
        <v>9674</v>
      </c>
      <c r="L398">
        <f t="shared" si="20"/>
        <v>3537</v>
      </c>
      <c r="M398">
        <f t="shared" si="21"/>
        <v>7074</v>
      </c>
      <c r="N398">
        <f t="shared" si="22"/>
        <v>2600</v>
      </c>
    </row>
    <row r="399" spans="1:14" x14ac:dyDescent="0.3">
      <c r="A399" t="s">
        <v>851</v>
      </c>
      <c r="B399" t="s">
        <v>52</v>
      </c>
      <c r="C399">
        <v>8</v>
      </c>
      <c r="D399">
        <v>3000</v>
      </c>
      <c r="E399" s="5">
        <v>45791</v>
      </c>
      <c r="F399" t="s">
        <v>852</v>
      </c>
      <c r="G399" t="s">
        <v>29</v>
      </c>
      <c r="H399" t="s">
        <v>15</v>
      </c>
      <c r="I399" t="s">
        <v>25</v>
      </c>
      <c r="J399" t="s">
        <v>47</v>
      </c>
      <c r="K399">
        <v>24000</v>
      </c>
      <c r="L399">
        <f t="shared" si="20"/>
        <v>1700</v>
      </c>
      <c r="M399">
        <f t="shared" si="21"/>
        <v>13600</v>
      </c>
      <c r="N399">
        <f t="shared" si="22"/>
        <v>10400</v>
      </c>
    </row>
    <row r="400" spans="1:14" x14ac:dyDescent="0.3">
      <c r="A400" t="s">
        <v>853</v>
      </c>
      <c r="B400" t="s">
        <v>27</v>
      </c>
      <c r="C400">
        <v>5</v>
      </c>
      <c r="D400">
        <v>12582</v>
      </c>
      <c r="E400" s="5">
        <v>45792</v>
      </c>
      <c r="F400" t="s">
        <v>854</v>
      </c>
      <c r="G400" t="s">
        <v>124</v>
      </c>
      <c r="H400" t="s">
        <v>15</v>
      </c>
      <c r="I400" t="s">
        <v>25</v>
      </c>
      <c r="J400" t="s">
        <v>50</v>
      </c>
      <c r="K400">
        <v>62910</v>
      </c>
      <c r="L400">
        <f t="shared" si="20"/>
        <v>11282</v>
      </c>
      <c r="M400">
        <f t="shared" si="21"/>
        <v>56410</v>
      </c>
      <c r="N400">
        <f t="shared" si="22"/>
        <v>6500</v>
      </c>
    </row>
    <row r="401" spans="5:5" x14ac:dyDescent="0.3">
      <c r="E40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919915912446</dc:creator>
  <cp:lastModifiedBy>kiranpuri541@gmail.com</cp:lastModifiedBy>
  <dcterms:created xsi:type="dcterms:W3CDTF">2026-07-21T14:18:28Z</dcterms:created>
  <dcterms:modified xsi:type="dcterms:W3CDTF">2026-07-26T15:01:05Z</dcterms:modified>
</cp:coreProperties>
</file>