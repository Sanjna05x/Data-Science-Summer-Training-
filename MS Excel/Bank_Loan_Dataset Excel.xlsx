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a42ccbff08f262c/Attachments/Desktop/"/>
    </mc:Choice>
  </mc:AlternateContent>
  <xr:revisionPtr revIDLastSave="0" documentId="8_{872C7FE6-5ED1-45E4-B2F9-DF28CCA00007}" xr6:coauthVersionLast="47" xr6:coauthVersionMax="47" xr10:uidLastSave="{00000000-0000-0000-0000-000000000000}"/>
  <bookViews>
    <workbookView xWindow="-108" yWindow="-108" windowWidth="23256" windowHeight="12456" xr2:uid="{00000000-000D-0000-FFFF-FFFF00000000}"/>
  </bookViews>
  <sheets>
    <sheet name="Dashboard" sheetId="6" r:id="rId1"/>
    <sheet name="KPI" sheetId="4" r:id="rId2"/>
    <sheet name="BankLoan Dataset" sheetId="1" r:id="rId3"/>
    <sheet name="Vlookup" sheetId="2" r:id="rId4"/>
  </sheets>
  <definedNames>
    <definedName name="_xlnm._FilterDatabase" localSheetId="2" hidden="1">'BankLoan Dataset'!$C$1:$C$1007</definedName>
    <definedName name="Slicer_Education">#N/A</definedName>
    <definedName name="Slicer_Employment_Type">#N/A</definedName>
    <definedName name="Slicer_Gender">#N/A</definedName>
    <definedName name="Slicer_Loan_Purpose">#N/A</definedName>
    <definedName name="Slicer_Property_Area">#N/A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2" i="1" l="1"/>
  <c r="U53" i="1"/>
  <c r="U54" i="1"/>
  <c r="U55" i="1"/>
  <c r="U56" i="1"/>
  <c r="U57" i="1"/>
  <c r="E2" i="2"/>
  <c r="T43" i="1"/>
  <c r="T45" i="1"/>
  <c r="T39" i="1"/>
  <c r="T34" i="1"/>
  <c r="T36" i="1"/>
  <c r="T31" i="1"/>
  <c r="T28" i="1"/>
  <c r="T26" i="1"/>
  <c r="T23" i="1"/>
  <c r="T21" i="1"/>
  <c r="T18" i="1"/>
  <c r="T16" i="1"/>
  <c r="T13" i="1"/>
  <c r="T11" i="1"/>
  <c r="T8" i="1"/>
  <c r="T5" i="1"/>
  <c r="Q3" i="1"/>
  <c r="C44" i="4"/>
  <c r="E47" i="4"/>
  <c r="G46" i="4"/>
  <c r="I47" i="4"/>
</calcChain>
</file>

<file path=xl/sharedStrings.xml><?xml version="1.0" encoding="utf-8"?>
<sst xmlns="http://schemas.openxmlformats.org/spreadsheetml/2006/main" count="7638" uniqueCount="1062">
  <si>
    <t>Loan_ID</t>
  </si>
  <si>
    <t>Age</t>
  </si>
  <si>
    <t>Gender</t>
  </si>
  <si>
    <t>Annual_Income</t>
  </si>
  <si>
    <t>Employment_Type</t>
  </si>
  <si>
    <t>Credit_Score</t>
  </si>
  <si>
    <t>Loan_Amount</t>
  </si>
  <si>
    <t>Interest_Rate</t>
  </si>
  <si>
    <t>Loan_Term</t>
  </si>
  <si>
    <t>Existing_Debt</t>
  </si>
  <si>
    <t>Loan_Purpose</t>
  </si>
  <si>
    <t>Education</t>
  </si>
  <si>
    <t>Marital_Status</t>
  </si>
  <si>
    <t>Property_Area</t>
  </si>
  <si>
    <t>Default</t>
  </si>
  <si>
    <t>L100002</t>
  </si>
  <si>
    <t>Male</t>
  </si>
  <si>
    <t>Self-Employed</t>
  </si>
  <si>
    <t>Car</t>
  </si>
  <si>
    <t>Graduate</t>
  </si>
  <si>
    <t>Single</t>
  </si>
  <si>
    <t>Rural</t>
  </si>
  <si>
    <t>L100003</t>
  </si>
  <si>
    <t>Home</t>
  </si>
  <si>
    <t>L100004</t>
  </si>
  <si>
    <t>Salaried</t>
  </si>
  <si>
    <t>Personal</t>
  </si>
  <si>
    <t>Married</t>
  </si>
  <si>
    <t>Semiurban</t>
  </si>
  <si>
    <t>L100005</t>
  </si>
  <si>
    <t>Business</t>
  </si>
  <si>
    <t>Urban</t>
  </si>
  <si>
    <t>L100006</t>
  </si>
  <si>
    <t>Female</t>
  </si>
  <si>
    <t>Non-Graduate</t>
  </si>
  <si>
    <t>L100007</t>
  </si>
  <si>
    <t>L100008</t>
  </si>
  <si>
    <t>L100009</t>
  </si>
  <si>
    <t>L100010</t>
  </si>
  <si>
    <t>L100011</t>
  </si>
  <si>
    <t>L100012</t>
  </si>
  <si>
    <t>L100013</t>
  </si>
  <si>
    <t>L100014</t>
  </si>
  <si>
    <t>L100015</t>
  </si>
  <si>
    <t>L100016</t>
  </si>
  <si>
    <t>L100017</t>
  </si>
  <si>
    <t>L100018</t>
  </si>
  <si>
    <t>L100019</t>
  </si>
  <si>
    <t>L100020</t>
  </si>
  <si>
    <t>L100021</t>
  </si>
  <si>
    <t>L100022</t>
  </si>
  <si>
    <t>L100023</t>
  </si>
  <si>
    <t>L100024</t>
  </si>
  <si>
    <t>L100025</t>
  </si>
  <si>
    <t>L100026</t>
  </si>
  <si>
    <t>L100027</t>
  </si>
  <si>
    <t>L100028</t>
  </si>
  <si>
    <t>L100029</t>
  </si>
  <si>
    <t>L100030</t>
  </si>
  <si>
    <t>L100031</t>
  </si>
  <si>
    <t>L100032</t>
  </si>
  <si>
    <t>L100033</t>
  </si>
  <si>
    <t>L100034</t>
  </si>
  <si>
    <t>L100035</t>
  </si>
  <si>
    <t>L100036</t>
  </si>
  <si>
    <t>L100037</t>
  </si>
  <si>
    <t>L100038</t>
  </si>
  <si>
    <t>L100039</t>
  </si>
  <si>
    <t>L100040</t>
  </si>
  <si>
    <t>L100041</t>
  </si>
  <si>
    <t>L100042</t>
  </si>
  <si>
    <t>L100043</t>
  </si>
  <si>
    <t>L100044</t>
  </si>
  <si>
    <t>L100045</t>
  </si>
  <si>
    <t>L100046</t>
  </si>
  <si>
    <t>L100047</t>
  </si>
  <si>
    <t>L100048</t>
  </si>
  <si>
    <t>L100049</t>
  </si>
  <si>
    <t>L100050</t>
  </si>
  <si>
    <t>L100051</t>
  </si>
  <si>
    <t>L100052</t>
  </si>
  <si>
    <t>L100053</t>
  </si>
  <si>
    <t>L100054</t>
  </si>
  <si>
    <t>L100055</t>
  </si>
  <si>
    <t>L100056</t>
  </si>
  <si>
    <t>L100057</t>
  </si>
  <si>
    <t>L100058</t>
  </si>
  <si>
    <t>L100059</t>
  </si>
  <si>
    <t>L100060</t>
  </si>
  <si>
    <t>L100061</t>
  </si>
  <si>
    <t>L100062</t>
  </si>
  <si>
    <t>L100063</t>
  </si>
  <si>
    <t>L100064</t>
  </si>
  <si>
    <t>L100065</t>
  </si>
  <si>
    <t>L100066</t>
  </si>
  <si>
    <t>L100067</t>
  </si>
  <si>
    <t>L100068</t>
  </si>
  <si>
    <t>L100069</t>
  </si>
  <si>
    <t>L100070</t>
  </si>
  <si>
    <t>L100071</t>
  </si>
  <si>
    <t>L100072</t>
  </si>
  <si>
    <t>L100073</t>
  </si>
  <si>
    <t>L100074</t>
  </si>
  <si>
    <t>L100075</t>
  </si>
  <si>
    <t>L100076</t>
  </si>
  <si>
    <t>L100077</t>
  </si>
  <si>
    <t>L100078</t>
  </si>
  <si>
    <t>L100079</t>
  </si>
  <si>
    <t>L100080</t>
  </si>
  <si>
    <t>L100081</t>
  </si>
  <si>
    <t>L100082</t>
  </si>
  <si>
    <t>L100083</t>
  </si>
  <si>
    <t>L100084</t>
  </si>
  <si>
    <t>L100085</t>
  </si>
  <si>
    <t>L100086</t>
  </si>
  <si>
    <t>L100087</t>
  </si>
  <si>
    <t>L100088</t>
  </si>
  <si>
    <t>L100089</t>
  </si>
  <si>
    <t>L100090</t>
  </si>
  <si>
    <t>L100091</t>
  </si>
  <si>
    <t>L100092</t>
  </si>
  <si>
    <t>L100093</t>
  </si>
  <si>
    <t>L100094</t>
  </si>
  <si>
    <t>L100095</t>
  </si>
  <si>
    <t>L100096</t>
  </si>
  <si>
    <t>L100097</t>
  </si>
  <si>
    <t>L100098</t>
  </si>
  <si>
    <t>L100099</t>
  </si>
  <si>
    <t>L100100</t>
  </si>
  <si>
    <t>L100101</t>
  </si>
  <si>
    <t>L100102</t>
  </si>
  <si>
    <t>L100103</t>
  </si>
  <si>
    <t>L100104</t>
  </si>
  <si>
    <t>L100105</t>
  </si>
  <si>
    <t>L100106</t>
  </si>
  <si>
    <t>L100107</t>
  </si>
  <si>
    <t>L100108</t>
  </si>
  <si>
    <t>L100109</t>
  </si>
  <si>
    <t>L100110</t>
  </si>
  <si>
    <t>L100111</t>
  </si>
  <si>
    <t>L100112</t>
  </si>
  <si>
    <t>L100113</t>
  </si>
  <si>
    <t>L100114</t>
  </si>
  <si>
    <t>L100115</t>
  </si>
  <si>
    <t>L100116</t>
  </si>
  <si>
    <t>L100117</t>
  </si>
  <si>
    <t>L100118</t>
  </si>
  <si>
    <t>L100119</t>
  </si>
  <si>
    <t>L100120</t>
  </si>
  <si>
    <t>L100121</t>
  </si>
  <si>
    <t>L100122</t>
  </si>
  <si>
    <t>L100123</t>
  </si>
  <si>
    <t>L100124</t>
  </si>
  <si>
    <t>L100125</t>
  </si>
  <si>
    <t>L100126</t>
  </si>
  <si>
    <t>L100127</t>
  </si>
  <si>
    <t>L100128</t>
  </si>
  <si>
    <t>L100129</t>
  </si>
  <si>
    <t>L100130</t>
  </si>
  <si>
    <t>L100131</t>
  </si>
  <si>
    <t>L100132</t>
  </si>
  <si>
    <t>L100133</t>
  </si>
  <si>
    <t>L100134</t>
  </si>
  <si>
    <t>L100135</t>
  </si>
  <si>
    <t>L100136</t>
  </si>
  <si>
    <t>L100137</t>
  </si>
  <si>
    <t>L100138</t>
  </si>
  <si>
    <t>L100139</t>
  </si>
  <si>
    <t>L100140</t>
  </si>
  <si>
    <t>L100141</t>
  </si>
  <si>
    <t>L100142</t>
  </si>
  <si>
    <t>L100143</t>
  </si>
  <si>
    <t>L100144</t>
  </si>
  <si>
    <t>L100145</t>
  </si>
  <si>
    <t>L100146</t>
  </si>
  <si>
    <t>L100147</t>
  </si>
  <si>
    <t>L100148</t>
  </si>
  <si>
    <t>L100149</t>
  </si>
  <si>
    <t>L100150</t>
  </si>
  <si>
    <t>L100151</t>
  </si>
  <si>
    <t>L100152</t>
  </si>
  <si>
    <t>L100153</t>
  </si>
  <si>
    <t>L100154</t>
  </si>
  <si>
    <t>L100155</t>
  </si>
  <si>
    <t>L100156</t>
  </si>
  <si>
    <t>L100157</t>
  </si>
  <si>
    <t>L100158</t>
  </si>
  <si>
    <t>L100159</t>
  </si>
  <si>
    <t>L100160</t>
  </si>
  <si>
    <t>L100161</t>
  </si>
  <si>
    <t>L100162</t>
  </si>
  <si>
    <t>L100163</t>
  </si>
  <si>
    <t>L100164</t>
  </si>
  <si>
    <t>L100165</t>
  </si>
  <si>
    <t>L100166</t>
  </si>
  <si>
    <t>L100167</t>
  </si>
  <si>
    <t>L100168</t>
  </si>
  <si>
    <t>L100169</t>
  </si>
  <si>
    <t>L100170</t>
  </si>
  <si>
    <t>L100171</t>
  </si>
  <si>
    <t>L100172</t>
  </si>
  <si>
    <t>L100173</t>
  </si>
  <si>
    <t>L100174</t>
  </si>
  <si>
    <t>L100175</t>
  </si>
  <si>
    <t>L100176</t>
  </si>
  <si>
    <t>L100177</t>
  </si>
  <si>
    <t>L100178</t>
  </si>
  <si>
    <t>L100179</t>
  </si>
  <si>
    <t>L100180</t>
  </si>
  <si>
    <t>L100181</t>
  </si>
  <si>
    <t>L100182</t>
  </si>
  <si>
    <t>L100183</t>
  </si>
  <si>
    <t>L100184</t>
  </si>
  <si>
    <t>L100185</t>
  </si>
  <si>
    <t>L100186</t>
  </si>
  <si>
    <t>L100187</t>
  </si>
  <si>
    <t>L100188</t>
  </si>
  <si>
    <t>L100189</t>
  </si>
  <si>
    <t>L100190</t>
  </si>
  <si>
    <t>L100191</t>
  </si>
  <si>
    <t>L100192</t>
  </si>
  <si>
    <t>L100193</t>
  </si>
  <si>
    <t>L100194</t>
  </si>
  <si>
    <t>L100195</t>
  </si>
  <si>
    <t>L100196</t>
  </si>
  <si>
    <t>L100197</t>
  </si>
  <si>
    <t>L100198</t>
  </si>
  <si>
    <t>L100199</t>
  </si>
  <si>
    <t>L100200</t>
  </si>
  <si>
    <t>L100201</t>
  </si>
  <si>
    <t>L100202</t>
  </si>
  <si>
    <t>L100203</t>
  </si>
  <si>
    <t>L100204</t>
  </si>
  <si>
    <t>L100205</t>
  </si>
  <si>
    <t>L100206</t>
  </si>
  <si>
    <t>L100207</t>
  </si>
  <si>
    <t>L100208</t>
  </si>
  <si>
    <t>L100209</t>
  </si>
  <si>
    <t>L100210</t>
  </si>
  <si>
    <t>L100211</t>
  </si>
  <si>
    <t>L100212</t>
  </si>
  <si>
    <t>L100213</t>
  </si>
  <si>
    <t>L100214</t>
  </si>
  <si>
    <t>L100215</t>
  </si>
  <si>
    <t>L100216</t>
  </si>
  <si>
    <t>L100217</t>
  </si>
  <si>
    <t>L100218</t>
  </si>
  <si>
    <t>L100219</t>
  </si>
  <si>
    <t>L100220</t>
  </si>
  <si>
    <t>L100221</t>
  </si>
  <si>
    <t>L100222</t>
  </si>
  <si>
    <t>L100223</t>
  </si>
  <si>
    <t>L100224</t>
  </si>
  <si>
    <t>L100225</t>
  </si>
  <si>
    <t>L100226</t>
  </si>
  <si>
    <t>L100227</t>
  </si>
  <si>
    <t>L100228</t>
  </si>
  <si>
    <t>L100229</t>
  </si>
  <si>
    <t>L100230</t>
  </si>
  <si>
    <t>L100231</t>
  </si>
  <si>
    <t>L100232</t>
  </si>
  <si>
    <t>L100233</t>
  </si>
  <si>
    <t>L100234</t>
  </si>
  <si>
    <t>L100235</t>
  </si>
  <si>
    <t>L100236</t>
  </si>
  <si>
    <t>L100237</t>
  </si>
  <si>
    <t>L100238</t>
  </si>
  <si>
    <t>L100239</t>
  </si>
  <si>
    <t>L100240</t>
  </si>
  <si>
    <t>L100241</t>
  </si>
  <si>
    <t>L100242</t>
  </si>
  <si>
    <t>L100243</t>
  </si>
  <si>
    <t>L100244</t>
  </si>
  <si>
    <t>L100245</t>
  </si>
  <si>
    <t>L100246</t>
  </si>
  <si>
    <t>L100247</t>
  </si>
  <si>
    <t>L100248</t>
  </si>
  <si>
    <t>L100249</t>
  </si>
  <si>
    <t>L100250</t>
  </si>
  <si>
    <t>L100251</t>
  </si>
  <si>
    <t>L100252</t>
  </si>
  <si>
    <t>L100253</t>
  </si>
  <si>
    <t>L100254</t>
  </si>
  <si>
    <t>L100255</t>
  </si>
  <si>
    <t>L100256</t>
  </si>
  <si>
    <t>L100257</t>
  </si>
  <si>
    <t>L100258</t>
  </si>
  <si>
    <t>L100259</t>
  </si>
  <si>
    <t>L100260</t>
  </si>
  <si>
    <t>L100261</t>
  </si>
  <si>
    <t>L100262</t>
  </si>
  <si>
    <t>L100263</t>
  </si>
  <si>
    <t>L100264</t>
  </si>
  <si>
    <t>L100265</t>
  </si>
  <si>
    <t>L100266</t>
  </si>
  <si>
    <t>L100267</t>
  </si>
  <si>
    <t>L100268</t>
  </si>
  <si>
    <t>L100269</t>
  </si>
  <si>
    <t>L100270</t>
  </si>
  <si>
    <t>L100271</t>
  </si>
  <si>
    <t>L100272</t>
  </si>
  <si>
    <t>L100273</t>
  </si>
  <si>
    <t>L100274</t>
  </si>
  <si>
    <t>L100275</t>
  </si>
  <si>
    <t>L100276</t>
  </si>
  <si>
    <t>L100277</t>
  </si>
  <si>
    <t>L100278</t>
  </si>
  <si>
    <t>L100279</t>
  </si>
  <si>
    <t>L100280</t>
  </si>
  <si>
    <t>L100281</t>
  </si>
  <si>
    <t>L100282</t>
  </si>
  <si>
    <t>L100283</t>
  </si>
  <si>
    <t>L100284</t>
  </si>
  <si>
    <t>L100285</t>
  </si>
  <si>
    <t>L100286</t>
  </si>
  <si>
    <t>L100287</t>
  </si>
  <si>
    <t>L100288</t>
  </si>
  <si>
    <t>L100289</t>
  </si>
  <si>
    <t>L100290</t>
  </si>
  <si>
    <t>L100291</t>
  </si>
  <si>
    <t>L100292</t>
  </si>
  <si>
    <t>L100293</t>
  </si>
  <si>
    <t>L100294</t>
  </si>
  <si>
    <t>L100295</t>
  </si>
  <si>
    <t>L100296</t>
  </si>
  <si>
    <t>L100297</t>
  </si>
  <si>
    <t>L100298</t>
  </si>
  <si>
    <t>L100299</t>
  </si>
  <si>
    <t>L100300</t>
  </si>
  <si>
    <t>L100301</t>
  </si>
  <si>
    <t>L100302</t>
  </si>
  <si>
    <t>L100303</t>
  </si>
  <si>
    <t>L100304</t>
  </si>
  <si>
    <t>L100305</t>
  </si>
  <si>
    <t>L100306</t>
  </si>
  <si>
    <t>L100307</t>
  </si>
  <si>
    <t>L100308</t>
  </si>
  <si>
    <t>L100309</t>
  </si>
  <si>
    <t>L100310</t>
  </si>
  <si>
    <t>L100311</t>
  </si>
  <si>
    <t>L100312</t>
  </si>
  <si>
    <t>L100313</t>
  </si>
  <si>
    <t>L100314</t>
  </si>
  <si>
    <t>L100315</t>
  </si>
  <si>
    <t>L100316</t>
  </si>
  <si>
    <t>L100317</t>
  </si>
  <si>
    <t>L100318</t>
  </si>
  <si>
    <t>L100319</t>
  </si>
  <si>
    <t>L100320</t>
  </si>
  <si>
    <t>L100321</t>
  </si>
  <si>
    <t>L100322</t>
  </si>
  <si>
    <t>L100323</t>
  </si>
  <si>
    <t>L100324</t>
  </si>
  <si>
    <t>L100325</t>
  </si>
  <si>
    <t>L100326</t>
  </si>
  <si>
    <t>L100327</t>
  </si>
  <si>
    <t>L100328</t>
  </si>
  <si>
    <t>L100329</t>
  </si>
  <si>
    <t>L100330</t>
  </si>
  <si>
    <t>L100331</t>
  </si>
  <si>
    <t>L100332</t>
  </si>
  <si>
    <t>L100333</t>
  </si>
  <si>
    <t>L100334</t>
  </si>
  <si>
    <t>L100335</t>
  </si>
  <si>
    <t>L100336</t>
  </si>
  <si>
    <t>L100337</t>
  </si>
  <si>
    <t>L100338</t>
  </si>
  <si>
    <t>L100339</t>
  </si>
  <si>
    <t>L100340</t>
  </si>
  <si>
    <t>L100341</t>
  </si>
  <si>
    <t>L100342</t>
  </si>
  <si>
    <t>L100343</t>
  </si>
  <si>
    <t>L100344</t>
  </si>
  <si>
    <t>L100345</t>
  </si>
  <si>
    <t>L100346</t>
  </si>
  <si>
    <t>L100347</t>
  </si>
  <si>
    <t>L100348</t>
  </si>
  <si>
    <t>L100349</t>
  </si>
  <si>
    <t>L100350</t>
  </si>
  <si>
    <t>L100351</t>
  </si>
  <si>
    <t>L100352</t>
  </si>
  <si>
    <t>L100353</t>
  </si>
  <si>
    <t>L100354</t>
  </si>
  <si>
    <t>L100355</t>
  </si>
  <si>
    <t>L100356</t>
  </si>
  <si>
    <t>L100357</t>
  </si>
  <si>
    <t>L100358</t>
  </si>
  <si>
    <t>L100359</t>
  </si>
  <si>
    <t>L100360</t>
  </si>
  <si>
    <t>L100361</t>
  </si>
  <si>
    <t>L100362</t>
  </si>
  <si>
    <t>L100363</t>
  </si>
  <si>
    <t>L100364</t>
  </si>
  <si>
    <t>L100365</t>
  </si>
  <si>
    <t>L100366</t>
  </si>
  <si>
    <t>L100367</t>
  </si>
  <si>
    <t>L100368</t>
  </si>
  <si>
    <t>L100369</t>
  </si>
  <si>
    <t>L100370</t>
  </si>
  <si>
    <t>L100371</t>
  </si>
  <si>
    <t>L100372</t>
  </si>
  <si>
    <t>L100373</t>
  </si>
  <si>
    <t>L100374</t>
  </si>
  <si>
    <t>L100375</t>
  </si>
  <si>
    <t>L100376</t>
  </si>
  <si>
    <t>L100377</t>
  </si>
  <si>
    <t>L100378</t>
  </si>
  <si>
    <t>L100379</t>
  </si>
  <si>
    <t>L100380</t>
  </si>
  <si>
    <t>L100381</t>
  </si>
  <si>
    <t>L100382</t>
  </si>
  <si>
    <t>L100383</t>
  </si>
  <si>
    <t>L100384</t>
  </si>
  <si>
    <t>L100385</t>
  </si>
  <si>
    <t>L100386</t>
  </si>
  <si>
    <t>L100387</t>
  </si>
  <si>
    <t>L100388</t>
  </si>
  <si>
    <t>L100389</t>
  </si>
  <si>
    <t>L100390</t>
  </si>
  <si>
    <t>L100391</t>
  </si>
  <si>
    <t>L100392</t>
  </si>
  <si>
    <t>L100393</t>
  </si>
  <si>
    <t>L100394</t>
  </si>
  <si>
    <t>L100395</t>
  </si>
  <si>
    <t>L100396</t>
  </si>
  <si>
    <t>L100397</t>
  </si>
  <si>
    <t>L100398</t>
  </si>
  <si>
    <t>L100399</t>
  </si>
  <si>
    <t>L100400</t>
  </si>
  <si>
    <t>L100401</t>
  </si>
  <si>
    <t>L100402</t>
  </si>
  <si>
    <t>L100403</t>
  </si>
  <si>
    <t>L100404</t>
  </si>
  <si>
    <t>L100405</t>
  </si>
  <si>
    <t>L100406</t>
  </si>
  <si>
    <t>L100407</t>
  </si>
  <si>
    <t>L100408</t>
  </si>
  <si>
    <t>L100409</t>
  </si>
  <si>
    <t>L100410</t>
  </si>
  <si>
    <t>L100411</t>
  </si>
  <si>
    <t>L100412</t>
  </si>
  <si>
    <t>L100413</t>
  </si>
  <si>
    <t>L100414</t>
  </si>
  <si>
    <t>L100415</t>
  </si>
  <si>
    <t>L100416</t>
  </si>
  <si>
    <t>L100417</t>
  </si>
  <si>
    <t>L100418</t>
  </si>
  <si>
    <t>L100419</t>
  </si>
  <si>
    <t>L100420</t>
  </si>
  <si>
    <t>L100421</t>
  </si>
  <si>
    <t>L100422</t>
  </si>
  <si>
    <t>L100423</t>
  </si>
  <si>
    <t>L100424</t>
  </si>
  <si>
    <t>L100425</t>
  </si>
  <si>
    <t>L100426</t>
  </si>
  <si>
    <t>L100427</t>
  </si>
  <si>
    <t>L100428</t>
  </si>
  <si>
    <t>L100429</t>
  </si>
  <si>
    <t>L100430</t>
  </si>
  <si>
    <t>L100431</t>
  </si>
  <si>
    <t>L100432</t>
  </si>
  <si>
    <t>L100433</t>
  </si>
  <si>
    <t>L100434</t>
  </si>
  <si>
    <t>L100435</t>
  </si>
  <si>
    <t>L100436</t>
  </si>
  <si>
    <t>L100437</t>
  </si>
  <si>
    <t>L100438</t>
  </si>
  <si>
    <t>L100439</t>
  </si>
  <si>
    <t>L100440</t>
  </si>
  <si>
    <t>L100441</t>
  </si>
  <si>
    <t>L100442</t>
  </si>
  <si>
    <t>L100443</t>
  </si>
  <si>
    <t>L100444</t>
  </si>
  <si>
    <t>L100445</t>
  </si>
  <si>
    <t>L100446</t>
  </si>
  <si>
    <t>L100447</t>
  </si>
  <si>
    <t>L100448</t>
  </si>
  <si>
    <t>L100449</t>
  </si>
  <si>
    <t>L100450</t>
  </si>
  <si>
    <t>L100451</t>
  </si>
  <si>
    <t>L100452</t>
  </si>
  <si>
    <t>L100453</t>
  </si>
  <si>
    <t>L100454</t>
  </si>
  <si>
    <t>L100455</t>
  </si>
  <si>
    <t>L100456</t>
  </si>
  <si>
    <t>L100457</t>
  </si>
  <si>
    <t>L100458</t>
  </si>
  <si>
    <t>L100459</t>
  </si>
  <si>
    <t>L100460</t>
  </si>
  <si>
    <t>L100461</t>
  </si>
  <si>
    <t>L100462</t>
  </si>
  <si>
    <t>L100463</t>
  </si>
  <si>
    <t>L100464</t>
  </si>
  <si>
    <t>L100465</t>
  </si>
  <si>
    <t>L100466</t>
  </si>
  <si>
    <t>L100467</t>
  </si>
  <si>
    <t>L100468</t>
  </si>
  <si>
    <t>L100469</t>
  </si>
  <si>
    <t>L100470</t>
  </si>
  <si>
    <t>L100471</t>
  </si>
  <si>
    <t>L100472</t>
  </si>
  <si>
    <t>L100473</t>
  </si>
  <si>
    <t>L100474</t>
  </si>
  <si>
    <t>L100475</t>
  </si>
  <si>
    <t>L100476</t>
  </si>
  <si>
    <t>L100477</t>
  </si>
  <si>
    <t>L100478</t>
  </si>
  <si>
    <t>L100479</t>
  </si>
  <si>
    <t>L100480</t>
  </si>
  <si>
    <t>L100481</t>
  </si>
  <si>
    <t>L100482</t>
  </si>
  <si>
    <t>L100483</t>
  </si>
  <si>
    <t>L100484</t>
  </si>
  <si>
    <t>L100485</t>
  </si>
  <si>
    <t>L100486</t>
  </si>
  <si>
    <t>L100487</t>
  </si>
  <si>
    <t>L100488</t>
  </si>
  <si>
    <t>L100489</t>
  </si>
  <si>
    <t>L100490</t>
  </si>
  <si>
    <t>L100491</t>
  </si>
  <si>
    <t>L100492</t>
  </si>
  <si>
    <t>L100493</t>
  </si>
  <si>
    <t>L100494</t>
  </si>
  <si>
    <t>L100495</t>
  </si>
  <si>
    <t>L100496</t>
  </si>
  <si>
    <t>L100497</t>
  </si>
  <si>
    <t>L100498</t>
  </si>
  <si>
    <t>L100499</t>
  </si>
  <si>
    <t>L100500</t>
  </si>
  <si>
    <t>L100501</t>
  </si>
  <si>
    <t>L100502</t>
  </si>
  <si>
    <t>L100503</t>
  </si>
  <si>
    <t>L100504</t>
  </si>
  <si>
    <t>L100505</t>
  </si>
  <si>
    <t>L100506</t>
  </si>
  <si>
    <t>L100507</t>
  </si>
  <si>
    <t>L100508</t>
  </si>
  <si>
    <t>L100509</t>
  </si>
  <si>
    <t>L100510</t>
  </si>
  <si>
    <t>L100511</t>
  </si>
  <si>
    <t>L100512</t>
  </si>
  <si>
    <t>L100513</t>
  </si>
  <si>
    <t>L100514</t>
  </si>
  <si>
    <t>L100515</t>
  </si>
  <si>
    <t>L100516</t>
  </si>
  <si>
    <t>L100517</t>
  </si>
  <si>
    <t>L100518</t>
  </si>
  <si>
    <t>L100519</t>
  </si>
  <si>
    <t>L100520</t>
  </si>
  <si>
    <t>L100521</t>
  </si>
  <si>
    <t>L100522</t>
  </si>
  <si>
    <t>L100523</t>
  </si>
  <si>
    <t>L100524</t>
  </si>
  <si>
    <t>L100525</t>
  </si>
  <si>
    <t>L100526</t>
  </si>
  <si>
    <t>L100527</t>
  </si>
  <si>
    <t>L100528</t>
  </si>
  <si>
    <t>L100529</t>
  </si>
  <si>
    <t>L100530</t>
  </si>
  <si>
    <t>L100531</t>
  </si>
  <si>
    <t>L100532</t>
  </si>
  <si>
    <t>L100533</t>
  </si>
  <si>
    <t>L100534</t>
  </si>
  <si>
    <t>L100535</t>
  </si>
  <si>
    <t>L100536</t>
  </si>
  <si>
    <t>L100537</t>
  </si>
  <si>
    <t>L100538</t>
  </si>
  <si>
    <t>L100539</t>
  </si>
  <si>
    <t>L100540</t>
  </si>
  <si>
    <t>L100541</t>
  </si>
  <si>
    <t>L100542</t>
  </si>
  <si>
    <t>L100543</t>
  </si>
  <si>
    <t>L100544</t>
  </si>
  <si>
    <t>L100545</t>
  </si>
  <si>
    <t>L100546</t>
  </si>
  <si>
    <t>L100547</t>
  </si>
  <si>
    <t>L100548</t>
  </si>
  <si>
    <t>L100549</t>
  </si>
  <si>
    <t>L100550</t>
  </si>
  <si>
    <t>L100551</t>
  </si>
  <si>
    <t>L100552</t>
  </si>
  <si>
    <t>L100553</t>
  </si>
  <si>
    <t>L100554</t>
  </si>
  <si>
    <t>L100555</t>
  </si>
  <si>
    <t>L100556</t>
  </si>
  <si>
    <t>L100557</t>
  </si>
  <si>
    <t>L100558</t>
  </si>
  <si>
    <t>L100559</t>
  </si>
  <si>
    <t>L100560</t>
  </si>
  <si>
    <t>L100561</t>
  </si>
  <si>
    <t>L100562</t>
  </si>
  <si>
    <t>L100563</t>
  </si>
  <si>
    <t>L100564</t>
  </si>
  <si>
    <t>L100565</t>
  </si>
  <si>
    <t>L100566</t>
  </si>
  <si>
    <t>L100567</t>
  </si>
  <si>
    <t>L100568</t>
  </si>
  <si>
    <t>L100569</t>
  </si>
  <si>
    <t>L100570</t>
  </si>
  <si>
    <t>L100571</t>
  </si>
  <si>
    <t>L100572</t>
  </si>
  <si>
    <t>L100573</t>
  </si>
  <si>
    <t>L100574</t>
  </si>
  <si>
    <t>L100575</t>
  </si>
  <si>
    <t>L100576</t>
  </si>
  <si>
    <t>L100577</t>
  </si>
  <si>
    <t>L100578</t>
  </si>
  <si>
    <t>L100579</t>
  </si>
  <si>
    <t>L100580</t>
  </si>
  <si>
    <t>L100581</t>
  </si>
  <si>
    <t>L100582</t>
  </si>
  <si>
    <t>L100583</t>
  </si>
  <si>
    <t>L100584</t>
  </si>
  <si>
    <t>L100585</t>
  </si>
  <si>
    <t>L100586</t>
  </si>
  <si>
    <t>L100587</t>
  </si>
  <si>
    <t>L100588</t>
  </si>
  <si>
    <t>L100589</t>
  </si>
  <si>
    <t>L100590</t>
  </si>
  <si>
    <t>L100591</t>
  </si>
  <si>
    <t>L100592</t>
  </si>
  <si>
    <t>L100593</t>
  </si>
  <si>
    <t>L100594</t>
  </si>
  <si>
    <t>L100595</t>
  </si>
  <si>
    <t>L100596</t>
  </si>
  <si>
    <t>L100597</t>
  </si>
  <si>
    <t>L100598</t>
  </si>
  <si>
    <t>L100599</t>
  </si>
  <si>
    <t>L100600</t>
  </si>
  <si>
    <t>L100601</t>
  </si>
  <si>
    <t>L100602</t>
  </si>
  <si>
    <t>L100603</t>
  </si>
  <si>
    <t>L100604</t>
  </si>
  <si>
    <t>L100605</t>
  </si>
  <si>
    <t>L100606</t>
  </si>
  <si>
    <t>L100607</t>
  </si>
  <si>
    <t>L100608</t>
  </si>
  <si>
    <t>L100609</t>
  </si>
  <si>
    <t>L100610</t>
  </si>
  <si>
    <t>L100611</t>
  </si>
  <si>
    <t>L100612</t>
  </si>
  <si>
    <t>L100613</t>
  </si>
  <si>
    <t>L100614</t>
  </si>
  <si>
    <t>L100615</t>
  </si>
  <si>
    <t>L100616</t>
  </si>
  <si>
    <t>L100617</t>
  </si>
  <si>
    <t>L100618</t>
  </si>
  <si>
    <t>L100619</t>
  </si>
  <si>
    <t>L100620</t>
  </si>
  <si>
    <t>L100621</t>
  </si>
  <si>
    <t>L100622</t>
  </si>
  <si>
    <t>L100623</t>
  </si>
  <si>
    <t>L100624</t>
  </si>
  <si>
    <t>L100625</t>
  </si>
  <si>
    <t>L100626</t>
  </si>
  <si>
    <t>L100627</t>
  </si>
  <si>
    <t>L100628</t>
  </si>
  <si>
    <t>L100629</t>
  </si>
  <si>
    <t>L100630</t>
  </si>
  <si>
    <t>L100631</t>
  </si>
  <si>
    <t>L100632</t>
  </si>
  <si>
    <t>L100633</t>
  </si>
  <si>
    <t>L100634</t>
  </si>
  <si>
    <t>L100635</t>
  </si>
  <si>
    <t>L100636</t>
  </si>
  <si>
    <t>L100637</t>
  </si>
  <si>
    <t>L100638</t>
  </si>
  <si>
    <t>L100639</t>
  </si>
  <si>
    <t>L100640</t>
  </si>
  <si>
    <t>L100641</t>
  </si>
  <si>
    <t>L100642</t>
  </si>
  <si>
    <t>L100643</t>
  </si>
  <si>
    <t>L100644</t>
  </si>
  <si>
    <t>L100645</t>
  </si>
  <si>
    <t>L100646</t>
  </si>
  <si>
    <t>L100647</t>
  </si>
  <si>
    <t>L100648</t>
  </si>
  <si>
    <t>L100649</t>
  </si>
  <si>
    <t>L100650</t>
  </si>
  <si>
    <t>L100651</t>
  </si>
  <si>
    <t>L100652</t>
  </si>
  <si>
    <t>L100653</t>
  </si>
  <si>
    <t>L100654</t>
  </si>
  <si>
    <t>L100655</t>
  </si>
  <si>
    <t>L100656</t>
  </si>
  <si>
    <t>L100657</t>
  </si>
  <si>
    <t>L100658</t>
  </si>
  <si>
    <t>L100659</t>
  </si>
  <si>
    <t>L100660</t>
  </si>
  <si>
    <t>L100661</t>
  </si>
  <si>
    <t>L100662</t>
  </si>
  <si>
    <t>L100663</t>
  </si>
  <si>
    <t>L100664</t>
  </si>
  <si>
    <t>L100665</t>
  </si>
  <si>
    <t>L100666</t>
  </si>
  <si>
    <t>L100667</t>
  </si>
  <si>
    <t>L100668</t>
  </si>
  <si>
    <t>L100669</t>
  </si>
  <si>
    <t>L100670</t>
  </si>
  <si>
    <t>L100671</t>
  </si>
  <si>
    <t>L100672</t>
  </si>
  <si>
    <t>L100673</t>
  </si>
  <si>
    <t>L100674</t>
  </si>
  <si>
    <t>L100675</t>
  </si>
  <si>
    <t>L100676</t>
  </si>
  <si>
    <t>L100677</t>
  </si>
  <si>
    <t>L100678</t>
  </si>
  <si>
    <t>L100679</t>
  </si>
  <si>
    <t>L100680</t>
  </si>
  <si>
    <t>L100681</t>
  </si>
  <si>
    <t>L100682</t>
  </si>
  <si>
    <t>L100683</t>
  </si>
  <si>
    <t>L100684</t>
  </si>
  <si>
    <t>L100685</t>
  </si>
  <si>
    <t>L100686</t>
  </si>
  <si>
    <t>L100687</t>
  </si>
  <si>
    <t>L100688</t>
  </si>
  <si>
    <t>L100689</t>
  </si>
  <si>
    <t>L100690</t>
  </si>
  <si>
    <t>L100691</t>
  </si>
  <si>
    <t>L100692</t>
  </si>
  <si>
    <t>L100693</t>
  </si>
  <si>
    <t>L100694</t>
  </si>
  <si>
    <t>L100695</t>
  </si>
  <si>
    <t>L100696</t>
  </si>
  <si>
    <t>L100697</t>
  </si>
  <si>
    <t>L100698</t>
  </si>
  <si>
    <t>L100699</t>
  </si>
  <si>
    <t>L100700</t>
  </si>
  <si>
    <t>L100701</t>
  </si>
  <si>
    <t>L100702</t>
  </si>
  <si>
    <t>L100703</t>
  </si>
  <si>
    <t>L100704</t>
  </si>
  <si>
    <t>L100705</t>
  </si>
  <si>
    <t>L100706</t>
  </si>
  <si>
    <t>L100707</t>
  </si>
  <si>
    <t>L100708</t>
  </si>
  <si>
    <t>L100709</t>
  </si>
  <si>
    <t>L100710</t>
  </si>
  <si>
    <t>L100711</t>
  </si>
  <si>
    <t>L100712</t>
  </si>
  <si>
    <t>L100713</t>
  </si>
  <si>
    <t>L100714</t>
  </si>
  <si>
    <t>L100715</t>
  </si>
  <si>
    <t>L100716</t>
  </si>
  <si>
    <t>L100717</t>
  </si>
  <si>
    <t>L100718</t>
  </si>
  <si>
    <t>L100719</t>
  </si>
  <si>
    <t>L100720</t>
  </si>
  <si>
    <t>L100721</t>
  </si>
  <si>
    <t>L100722</t>
  </si>
  <si>
    <t>L100723</t>
  </si>
  <si>
    <t>L100724</t>
  </si>
  <si>
    <t>L100725</t>
  </si>
  <si>
    <t>L100726</t>
  </si>
  <si>
    <t>L100727</t>
  </si>
  <si>
    <t>L100728</t>
  </si>
  <si>
    <t>L100729</t>
  </si>
  <si>
    <t>L100730</t>
  </si>
  <si>
    <t>L100731</t>
  </si>
  <si>
    <t>L100732</t>
  </si>
  <si>
    <t>L100733</t>
  </si>
  <si>
    <t>L100734</t>
  </si>
  <si>
    <t>L100735</t>
  </si>
  <si>
    <t>L100736</t>
  </si>
  <si>
    <t>L100737</t>
  </si>
  <si>
    <t>L100738</t>
  </si>
  <si>
    <t>L100739</t>
  </si>
  <si>
    <t>L100740</t>
  </si>
  <si>
    <t>L100741</t>
  </si>
  <si>
    <t>L100742</t>
  </si>
  <si>
    <t>L100743</t>
  </si>
  <si>
    <t>L100744</t>
  </si>
  <si>
    <t>L100745</t>
  </si>
  <si>
    <t>L100746</t>
  </si>
  <si>
    <t>L100747</t>
  </si>
  <si>
    <t>L100748</t>
  </si>
  <si>
    <t>L100749</t>
  </si>
  <si>
    <t>L100750</t>
  </si>
  <si>
    <t>L100751</t>
  </si>
  <si>
    <t>L100752</t>
  </si>
  <si>
    <t>L100753</t>
  </si>
  <si>
    <t>L100754</t>
  </si>
  <si>
    <t>L100755</t>
  </si>
  <si>
    <t>L100756</t>
  </si>
  <si>
    <t>L100757</t>
  </si>
  <si>
    <t>L100758</t>
  </si>
  <si>
    <t>L100759</t>
  </si>
  <si>
    <t>L100760</t>
  </si>
  <si>
    <t>L100761</t>
  </si>
  <si>
    <t>L100762</t>
  </si>
  <si>
    <t>L100763</t>
  </si>
  <si>
    <t>L100764</t>
  </si>
  <si>
    <t>L100765</t>
  </si>
  <si>
    <t>L100766</t>
  </si>
  <si>
    <t>L100767</t>
  </si>
  <si>
    <t>L100768</t>
  </si>
  <si>
    <t>L100769</t>
  </si>
  <si>
    <t>L100770</t>
  </si>
  <si>
    <t>L100771</t>
  </si>
  <si>
    <t>L100772</t>
  </si>
  <si>
    <t>L100773</t>
  </si>
  <si>
    <t>L100774</t>
  </si>
  <si>
    <t>L100775</t>
  </si>
  <si>
    <t>L100776</t>
  </si>
  <si>
    <t>L100777</t>
  </si>
  <si>
    <t>L100778</t>
  </si>
  <si>
    <t>L100779</t>
  </si>
  <si>
    <t>L100780</t>
  </si>
  <si>
    <t>L100781</t>
  </si>
  <si>
    <t>L100782</t>
  </si>
  <si>
    <t>L100783</t>
  </si>
  <si>
    <t>L100784</t>
  </si>
  <si>
    <t>L100785</t>
  </si>
  <si>
    <t>L100786</t>
  </si>
  <si>
    <t>L100787</t>
  </si>
  <si>
    <t>L100788</t>
  </si>
  <si>
    <t>L100789</t>
  </si>
  <si>
    <t>L100790</t>
  </si>
  <si>
    <t>L100791</t>
  </si>
  <si>
    <t>L100792</t>
  </si>
  <si>
    <t>L100793</t>
  </si>
  <si>
    <t>L100794</t>
  </si>
  <si>
    <t>L100795</t>
  </si>
  <si>
    <t>L100796</t>
  </si>
  <si>
    <t>L100797</t>
  </si>
  <si>
    <t>L100798</t>
  </si>
  <si>
    <t>L100799</t>
  </si>
  <si>
    <t>L100800</t>
  </si>
  <si>
    <t>L100801</t>
  </si>
  <si>
    <t>L100802</t>
  </si>
  <si>
    <t>L100803</t>
  </si>
  <si>
    <t>L100804</t>
  </si>
  <si>
    <t>L100805</t>
  </si>
  <si>
    <t>L100806</t>
  </si>
  <si>
    <t>L100807</t>
  </si>
  <si>
    <t>L100808</t>
  </si>
  <si>
    <t>L100809</t>
  </si>
  <si>
    <t>L100810</t>
  </si>
  <si>
    <t>L100811</t>
  </si>
  <si>
    <t>L100812</t>
  </si>
  <si>
    <t>L100813</t>
  </si>
  <si>
    <t>L100814</t>
  </si>
  <si>
    <t>L100815</t>
  </si>
  <si>
    <t>L100816</t>
  </si>
  <si>
    <t>L100817</t>
  </si>
  <si>
    <t>L100818</t>
  </si>
  <si>
    <t>L100819</t>
  </si>
  <si>
    <t>L100820</t>
  </si>
  <si>
    <t>L100821</t>
  </si>
  <si>
    <t>L100822</t>
  </si>
  <si>
    <t>L100823</t>
  </si>
  <si>
    <t>L100824</t>
  </si>
  <si>
    <t>L100825</t>
  </si>
  <si>
    <t>L100826</t>
  </si>
  <si>
    <t>L100827</t>
  </si>
  <si>
    <t>L100828</t>
  </si>
  <si>
    <t>L100829</t>
  </si>
  <si>
    <t>L100830</t>
  </si>
  <si>
    <t>L100831</t>
  </si>
  <si>
    <t>L100832</t>
  </si>
  <si>
    <t>L100833</t>
  </si>
  <si>
    <t>L100834</t>
  </si>
  <si>
    <t>L100835</t>
  </si>
  <si>
    <t>L100836</t>
  </si>
  <si>
    <t>L100837</t>
  </si>
  <si>
    <t>L100838</t>
  </si>
  <si>
    <t>L100839</t>
  </si>
  <si>
    <t>L100840</t>
  </si>
  <si>
    <t>L100841</t>
  </si>
  <si>
    <t>L100842</t>
  </si>
  <si>
    <t>L100843</t>
  </si>
  <si>
    <t>L100845</t>
  </si>
  <si>
    <t>L100846</t>
  </si>
  <si>
    <t>L100847</t>
  </si>
  <si>
    <t>L100848</t>
  </si>
  <si>
    <t>L100849</t>
  </si>
  <si>
    <t>L100850</t>
  </si>
  <si>
    <t>L100851</t>
  </si>
  <si>
    <t>L100852</t>
  </si>
  <si>
    <t>L100853</t>
  </si>
  <si>
    <t>L100854</t>
  </si>
  <si>
    <t>L100855</t>
  </si>
  <si>
    <t>L100856</t>
  </si>
  <si>
    <t>L100857</t>
  </si>
  <si>
    <t>L100858</t>
  </si>
  <si>
    <t>L100859</t>
  </si>
  <si>
    <t>L100860</t>
  </si>
  <si>
    <t>L100861</t>
  </si>
  <si>
    <t>L100862</t>
  </si>
  <si>
    <t>L100863</t>
  </si>
  <si>
    <t>L100864</t>
  </si>
  <si>
    <t>L100865</t>
  </si>
  <si>
    <t>L100866</t>
  </si>
  <si>
    <t>L100867</t>
  </si>
  <si>
    <t>L100868</t>
  </si>
  <si>
    <t>L100869</t>
  </si>
  <si>
    <t>L100870</t>
  </si>
  <si>
    <t>L100871</t>
  </si>
  <si>
    <t>L100873</t>
  </si>
  <si>
    <t>L100874</t>
  </si>
  <si>
    <t>L100875</t>
  </si>
  <si>
    <t>L100876</t>
  </si>
  <si>
    <t>L100877</t>
  </si>
  <si>
    <t>L100878</t>
  </si>
  <si>
    <t>L100879</t>
  </si>
  <si>
    <t>L100880</t>
  </si>
  <si>
    <t>L100881</t>
  </si>
  <si>
    <t>L100882</t>
  </si>
  <si>
    <t>L100883</t>
  </si>
  <si>
    <t>L100884</t>
  </si>
  <si>
    <t>L100885</t>
  </si>
  <si>
    <t>L100886</t>
  </si>
  <si>
    <t>L100887</t>
  </si>
  <si>
    <t>L100888</t>
  </si>
  <si>
    <t>L100889</t>
  </si>
  <si>
    <t>L100890</t>
  </si>
  <si>
    <t>L100891</t>
  </si>
  <si>
    <t>L100892</t>
  </si>
  <si>
    <t>L100893</t>
  </si>
  <si>
    <t>L100894</t>
  </si>
  <si>
    <t>L100895</t>
  </si>
  <si>
    <t>L100896</t>
  </si>
  <si>
    <t>L100897</t>
  </si>
  <si>
    <t>L100898</t>
  </si>
  <si>
    <t>L100899</t>
  </si>
  <si>
    <t>L100900</t>
  </si>
  <si>
    <t>L100901</t>
  </si>
  <si>
    <t>L100903</t>
  </si>
  <si>
    <t>L100904</t>
  </si>
  <si>
    <t>L100905</t>
  </si>
  <si>
    <t>L100906</t>
  </si>
  <si>
    <t>L100907</t>
  </si>
  <si>
    <t>L100908</t>
  </si>
  <si>
    <t>L100909</t>
  </si>
  <si>
    <t>L100910</t>
  </si>
  <si>
    <t>L100911</t>
  </si>
  <si>
    <t>L100912</t>
  </si>
  <si>
    <t>L100913</t>
  </si>
  <si>
    <t>L100914</t>
  </si>
  <si>
    <t>L100915</t>
  </si>
  <si>
    <t>L100916</t>
  </si>
  <si>
    <t>L100917</t>
  </si>
  <si>
    <t>L100918</t>
  </si>
  <si>
    <t>L100919</t>
  </si>
  <si>
    <t>L100920</t>
  </si>
  <si>
    <t>L100921</t>
  </si>
  <si>
    <t>L100922</t>
  </si>
  <si>
    <t>L100923</t>
  </si>
  <si>
    <t>L100924</t>
  </si>
  <si>
    <t>L100925</t>
  </si>
  <si>
    <t>L100926</t>
  </si>
  <si>
    <t>L100928</t>
  </si>
  <si>
    <t>L100929</t>
  </si>
  <si>
    <t>L100930</t>
  </si>
  <si>
    <t>L100931</t>
  </si>
  <si>
    <t>L100932</t>
  </si>
  <si>
    <t>L100933</t>
  </si>
  <si>
    <t>L100934</t>
  </si>
  <si>
    <t>L100935</t>
  </si>
  <si>
    <t>L100936</t>
  </si>
  <si>
    <t>L100937</t>
  </si>
  <si>
    <t>L100938</t>
  </si>
  <si>
    <t>L100939</t>
  </si>
  <si>
    <t>L100940</t>
  </si>
  <si>
    <t>L100941</t>
  </si>
  <si>
    <t>L100942</t>
  </si>
  <si>
    <t>L100943</t>
  </si>
  <si>
    <t>L100944</t>
  </si>
  <si>
    <t>L100945</t>
  </si>
  <si>
    <t>L100946</t>
  </si>
  <si>
    <t>L100947</t>
  </si>
  <si>
    <t>L100948</t>
  </si>
  <si>
    <t>L100949</t>
  </si>
  <si>
    <t>L100950</t>
  </si>
  <si>
    <t>L100951</t>
  </si>
  <si>
    <t>L100952</t>
  </si>
  <si>
    <t>L100953</t>
  </si>
  <si>
    <t>L100954</t>
  </si>
  <si>
    <t>L100955</t>
  </si>
  <si>
    <t>L100956</t>
  </si>
  <si>
    <t>L100957</t>
  </si>
  <si>
    <t>L100958</t>
  </si>
  <si>
    <t>L100959</t>
  </si>
  <si>
    <t>L100960</t>
  </si>
  <si>
    <t>L100961</t>
  </si>
  <si>
    <t>L100962</t>
  </si>
  <si>
    <t>L100963</t>
  </si>
  <si>
    <t>L100964</t>
  </si>
  <si>
    <t>L100965</t>
  </si>
  <si>
    <t>L100966</t>
  </si>
  <si>
    <t>L100967</t>
  </si>
  <si>
    <t>L100968</t>
  </si>
  <si>
    <t>L100969</t>
  </si>
  <si>
    <t>L100970</t>
  </si>
  <si>
    <t>L100971</t>
  </si>
  <si>
    <t>L100972</t>
  </si>
  <si>
    <t>L100973</t>
  </si>
  <si>
    <t>L100974</t>
  </si>
  <si>
    <t>L100975</t>
  </si>
  <si>
    <t>L100976</t>
  </si>
  <si>
    <t>L100977</t>
  </si>
  <si>
    <t>L100978</t>
  </si>
  <si>
    <t>L100979</t>
  </si>
  <si>
    <t>L100980</t>
  </si>
  <si>
    <t>L100981</t>
  </si>
  <si>
    <t>L100982</t>
  </si>
  <si>
    <t>L100983</t>
  </si>
  <si>
    <t>L100984</t>
  </si>
  <si>
    <t>L100985</t>
  </si>
  <si>
    <t>L100986</t>
  </si>
  <si>
    <t>L100987</t>
  </si>
  <si>
    <t>L100988</t>
  </si>
  <si>
    <t>L100989</t>
  </si>
  <si>
    <t>L100990</t>
  </si>
  <si>
    <t>L100991</t>
  </si>
  <si>
    <t>L100992</t>
  </si>
  <si>
    <t>L100993</t>
  </si>
  <si>
    <t>L100994</t>
  </si>
  <si>
    <t>L100995</t>
  </si>
  <si>
    <t>L100996</t>
  </si>
  <si>
    <t>L100997</t>
  </si>
  <si>
    <t>L100998</t>
  </si>
  <si>
    <t>L100999</t>
  </si>
  <si>
    <t>L101000</t>
  </si>
  <si>
    <t>L101001</t>
  </si>
  <si>
    <t>Unknown</t>
  </si>
  <si>
    <t xml:space="preserve"> </t>
  </si>
  <si>
    <t>FUNCTIONS</t>
  </si>
  <si>
    <t>Risk Category based on Credit Score</t>
  </si>
  <si>
    <t>Income Category</t>
  </si>
  <si>
    <t>Total Default Customers</t>
  </si>
  <si>
    <t>Total Non-Default Customers</t>
  </si>
  <si>
    <t>Total Male Customers</t>
  </si>
  <si>
    <t>Total Female Customers</t>
  </si>
  <si>
    <t>Total Loan Amount (Home Loans)</t>
  </si>
  <si>
    <t>Total Loan Amount (Business Loans)</t>
  </si>
  <si>
    <t>Average Credit Score of Male Customers</t>
  </si>
  <si>
    <t>Average Credit Score of Female Customers</t>
  </si>
  <si>
    <t>Average Loan Amount for Salaried Employees</t>
  </si>
  <si>
    <t>Highest Income</t>
  </si>
  <si>
    <t>Lowest Income</t>
  </si>
  <si>
    <t>Percentage of Default Customers</t>
  </si>
  <si>
    <t>Average Loan Amount</t>
  </si>
  <si>
    <t>Average Credit Score</t>
  </si>
  <si>
    <t>Loan Purpose</t>
  </si>
  <si>
    <t>Row Labels</t>
  </si>
  <si>
    <t>Grand Total</t>
  </si>
  <si>
    <t>Sum of Loan_Amount</t>
  </si>
  <si>
    <t>Sum of Default</t>
  </si>
  <si>
    <t>Sum of Annual_Income</t>
  </si>
  <si>
    <t>Sum of Credit_Score</t>
  </si>
  <si>
    <t>Count of Loan_ID</t>
  </si>
  <si>
    <t>KPI</t>
  </si>
  <si>
    <t>Formula</t>
  </si>
  <si>
    <t>👥 Total Customers</t>
  </si>
  <si>
    <t>💰 Total Loan Amount</t>
  </si>
  <si>
    <t>💵 Average Annual Income</t>
  </si>
  <si>
    <t>⭐ Average Credit Score</t>
  </si>
  <si>
    <t>⚠️ Total Defaults</t>
  </si>
  <si>
    <t>📉 Default Rate</t>
  </si>
  <si>
    <t>Average of Credit_Score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</si>
</sst>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0"/>
      <color theme="1"/>
      <name val="Arial Unicode MS"/>
    </font>
    <font>
      <i/>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5"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Excel.xlsx]KPI!PivotTable3</c:name>
    <c:fmtId val="5"/>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KPI!$H$3</c:f>
              <c:strCache>
                <c:ptCount val="1"/>
                <c:pt idx="0">
                  <c:v>Total</c:v>
                </c:pt>
              </c:strCache>
            </c:strRef>
          </c:tx>
          <c:spPr>
            <a:solidFill>
              <a:schemeClr val="accent1"/>
            </a:solidFill>
            <a:ln>
              <a:noFill/>
            </a:ln>
            <a:effectLst/>
          </c:spPr>
          <c:invertIfNegative val="0"/>
          <c:cat>
            <c:strRef>
              <c:f>KPI!$G$4:$G$6</c:f>
              <c:strCache>
                <c:ptCount val="2"/>
                <c:pt idx="0">
                  <c:v>Salaried</c:v>
                </c:pt>
                <c:pt idx="1">
                  <c:v>Self-Employed</c:v>
                </c:pt>
              </c:strCache>
            </c:strRef>
          </c:cat>
          <c:val>
            <c:numRef>
              <c:f>KPI!$H$4:$H$6</c:f>
              <c:numCache>
                <c:formatCode>General</c:formatCode>
                <c:ptCount val="2"/>
                <c:pt idx="0">
                  <c:v>194750537</c:v>
                </c:pt>
                <c:pt idx="1">
                  <c:v>228107270</c:v>
                </c:pt>
              </c:numCache>
            </c:numRef>
          </c:val>
          <c:extLst>
            <c:ext xmlns:c16="http://schemas.microsoft.com/office/drawing/2014/chart" uri="{C3380CC4-5D6E-409C-BE32-E72D297353CC}">
              <c16:uniqueId val="{00000000-FA8B-4B7C-B83D-8323386A699E}"/>
            </c:ext>
          </c:extLst>
        </c:ser>
        <c:dLbls>
          <c:showLegendKey val="0"/>
          <c:showVal val="0"/>
          <c:showCatName val="0"/>
          <c:showSerName val="0"/>
          <c:showPercent val="0"/>
          <c:showBubbleSize val="0"/>
        </c:dLbls>
        <c:gapWidth val="150"/>
        <c:axId val="985776768"/>
        <c:axId val="17140176"/>
      </c:barChart>
      <c:catAx>
        <c:axId val="98577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176"/>
        <c:crosses val="autoZero"/>
        <c:auto val="1"/>
        <c:lblAlgn val="ctr"/>
        <c:lblOffset val="100"/>
        <c:noMultiLvlLbl val="0"/>
      </c:catAx>
      <c:valAx>
        <c:axId val="1714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c:f>
              <c:strCache>
                <c:ptCount val="1"/>
                <c:pt idx="0">
                  <c:v>Total</c:v>
                </c:pt>
              </c:strCache>
            </c:strRef>
          </c:tx>
          <c:spPr>
            <a:solidFill>
              <a:schemeClr val="accent1"/>
            </a:solidFill>
            <a:ln>
              <a:noFill/>
            </a:ln>
            <a:effectLst/>
          </c:spPr>
          <c:invertIfNegative val="0"/>
          <c:cat>
            <c:strRef>
              <c:f>KPI!$A$4:$A$9</c:f>
              <c:strCache>
                <c:ptCount val="5"/>
                <c:pt idx="0">
                  <c:v>Business</c:v>
                </c:pt>
                <c:pt idx="1">
                  <c:v>Car</c:v>
                </c:pt>
                <c:pt idx="2">
                  <c:v>Education</c:v>
                </c:pt>
                <c:pt idx="3">
                  <c:v>Home</c:v>
                </c:pt>
                <c:pt idx="4">
                  <c:v>Personal</c:v>
                </c:pt>
              </c:strCache>
            </c:strRef>
          </c:cat>
          <c:val>
            <c:numRef>
              <c:f>KPI!$B$4:$B$9</c:f>
              <c:numCache>
                <c:formatCode>General</c:formatCode>
                <c:ptCount val="5"/>
                <c:pt idx="0">
                  <c:v>94573145</c:v>
                </c:pt>
                <c:pt idx="1">
                  <c:v>93959552</c:v>
                </c:pt>
                <c:pt idx="2">
                  <c:v>96305052</c:v>
                </c:pt>
                <c:pt idx="3">
                  <c:v>93521058</c:v>
                </c:pt>
                <c:pt idx="4">
                  <c:v>98527954</c:v>
                </c:pt>
              </c:numCache>
            </c:numRef>
          </c:val>
          <c:extLst>
            <c:ext xmlns:c16="http://schemas.microsoft.com/office/drawing/2014/chart" uri="{C3380CC4-5D6E-409C-BE32-E72D297353CC}">
              <c16:uniqueId val="{00000000-F553-45B7-AC3E-3CDEDAAB963E}"/>
            </c:ext>
          </c:extLst>
        </c:ser>
        <c:dLbls>
          <c:showLegendKey val="0"/>
          <c:showVal val="0"/>
          <c:showCatName val="0"/>
          <c:showSerName val="0"/>
          <c:showPercent val="0"/>
          <c:showBubbleSize val="0"/>
        </c:dLbls>
        <c:gapWidth val="219"/>
        <c:overlap val="-27"/>
        <c:axId val="1114576624"/>
        <c:axId val="447106032"/>
      </c:barChart>
      <c:catAx>
        <c:axId val="111457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06032"/>
        <c:crosses val="autoZero"/>
        <c:auto val="1"/>
        <c:lblAlgn val="ctr"/>
        <c:lblOffset val="100"/>
        <c:noMultiLvlLbl val="0"/>
      </c:catAx>
      <c:valAx>
        <c:axId val="44710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7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Excel.xlsx]KPI!PivotTable5</c:name>
    <c:fmtId val="7"/>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KPI!$E$21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KPI!$D$22:$D$27</c:f>
              <c:strCache>
                <c:ptCount val="5"/>
                <c:pt idx="0">
                  <c:v>12</c:v>
                </c:pt>
                <c:pt idx="1">
                  <c:v>24</c:v>
                </c:pt>
                <c:pt idx="2">
                  <c:v>36</c:v>
                </c:pt>
                <c:pt idx="3">
                  <c:v>48</c:v>
                </c:pt>
                <c:pt idx="4">
                  <c:v>60</c:v>
                </c:pt>
              </c:strCache>
            </c:strRef>
          </c:cat>
          <c:val>
            <c:numRef>
              <c:f>KPI!$E$22:$E$27</c:f>
              <c:numCache>
                <c:formatCode>General</c:formatCode>
                <c:ptCount val="5"/>
                <c:pt idx="0">
                  <c:v>90191168</c:v>
                </c:pt>
                <c:pt idx="1">
                  <c:v>95283551</c:v>
                </c:pt>
                <c:pt idx="2">
                  <c:v>87026772</c:v>
                </c:pt>
                <c:pt idx="3">
                  <c:v>100187779</c:v>
                </c:pt>
                <c:pt idx="4">
                  <c:v>104197491</c:v>
                </c:pt>
              </c:numCache>
            </c:numRef>
          </c:val>
          <c:smooth val="0"/>
          <c:extLst>
            <c:ext xmlns:c16="http://schemas.microsoft.com/office/drawing/2014/chart" uri="{C3380CC4-5D6E-409C-BE32-E72D297353CC}">
              <c16:uniqueId val="{00000000-AB98-48E3-B4F5-BA059D164874}"/>
            </c:ext>
          </c:extLst>
        </c:ser>
        <c:dLbls>
          <c:dLblPos val="ctr"/>
          <c:showLegendKey val="0"/>
          <c:showVal val="1"/>
          <c:showCatName val="0"/>
          <c:showSerName val="0"/>
          <c:showPercent val="0"/>
          <c:showBubbleSize val="0"/>
        </c:dLbls>
        <c:marker val="1"/>
        <c:smooth val="0"/>
        <c:axId val="1114568272"/>
        <c:axId val="1198434736"/>
      </c:lineChart>
      <c:catAx>
        <c:axId val="11145682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34736"/>
        <c:crosses val="autoZero"/>
        <c:auto val="1"/>
        <c:lblAlgn val="ctr"/>
        <c:lblOffset val="100"/>
        <c:noMultiLvlLbl val="0"/>
      </c:catAx>
      <c:valAx>
        <c:axId val="119843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6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KPI!$B$23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BF-4B77-918C-16FBEC6AE7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BF-4B77-918C-16FBEC6AE7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BF-4B77-918C-16FBEC6AE76C}"/>
              </c:ext>
            </c:extLst>
          </c:dPt>
          <c:cat>
            <c:strRef>
              <c:f>KPI!$A$24:$A$27</c:f>
              <c:strCache>
                <c:ptCount val="3"/>
                <c:pt idx="0">
                  <c:v>Rural</c:v>
                </c:pt>
                <c:pt idx="1">
                  <c:v>Semiurban</c:v>
                </c:pt>
                <c:pt idx="2">
                  <c:v>Urban</c:v>
                </c:pt>
              </c:strCache>
            </c:strRef>
          </c:cat>
          <c:val>
            <c:numRef>
              <c:f>KPI!$B$24:$B$27</c:f>
              <c:numCache>
                <c:formatCode>General</c:formatCode>
                <c:ptCount val="3"/>
                <c:pt idx="0">
                  <c:v>96071</c:v>
                </c:pt>
                <c:pt idx="1">
                  <c:v>91442</c:v>
                </c:pt>
                <c:pt idx="2">
                  <c:v>98365</c:v>
                </c:pt>
              </c:numCache>
            </c:numRef>
          </c:val>
          <c:extLst>
            <c:ext xmlns:c16="http://schemas.microsoft.com/office/drawing/2014/chart" uri="{C3380CC4-5D6E-409C-BE32-E72D297353CC}">
              <c16:uniqueId val="{00000006-B0BF-4B77-918C-16FBEC6AE7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KPI!$E$3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4FF-4056-B41F-F21752431D9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4FF-4056-B41F-F21752431D9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4FF-4056-B41F-F21752431D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KPI!$D$4:$D$7</c:f>
              <c:strCache>
                <c:ptCount val="3"/>
                <c:pt idx="0">
                  <c:v>Female</c:v>
                </c:pt>
                <c:pt idx="1">
                  <c:v>Male</c:v>
                </c:pt>
                <c:pt idx="2">
                  <c:v>Unknown</c:v>
                </c:pt>
              </c:strCache>
            </c:strRef>
          </c:cat>
          <c:val>
            <c:numRef>
              <c:f>KPI!$E$4:$E$7</c:f>
              <c:numCache>
                <c:formatCode>General</c:formatCode>
                <c:ptCount val="3"/>
                <c:pt idx="0">
                  <c:v>56</c:v>
                </c:pt>
                <c:pt idx="1">
                  <c:v>57</c:v>
                </c:pt>
                <c:pt idx="2">
                  <c:v>5</c:v>
                </c:pt>
              </c:numCache>
            </c:numRef>
          </c:val>
          <c:extLst>
            <c:ext xmlns:c16="http://schemas.microsoft.com/office/drawing/2014/chart" uri="{C3380CC4-5D6E-409C-BE32-E72D297353CC}">
              <c16:uniqueId val="{00000006-A4FF-4056-B41F-F21752431D9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KPI!$H$21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29D-4475-8923-EE35192C82A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29D-4475-8923-EE35192C82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KPI!$G$22:$G$23</c:f>
              <c:strCache>
                <c:ptCount val="1"/>
                <c:pt idx="0">
                  <c:v>Graduate</c:v>
                </c:pt>
              </c:strCache>
            </c:strRef>
          </c:cat>
          <c:val>
            <c:numRef>
              <c:f>KPI!$H$22:$H$23</c:f>
              <c:numCache>
                <c:formatCode>General</c:formatCode>
                <c:ptCount val="1"/>
                <c:pt idx="0">
                  <c:v>482</c:v>
                </c:pt>
              </c:numCache>
            </c:numRef>
          </c:val>
          <c:extLst>
            <c:ext xmlns:c16="http://schemas.microsoft.com/office/drawing/2014/chart" uri="{C3380CC4-5D6E-409C-BE32-E72D297353CC}">
              <c16:uniqueId val="{00000004-E29D-4475-8923-EE35192C82A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c:f>
              <c:strCache>
                <c:ptCount val="1"/>
                <c:pt idx="0">
                  <c:v>Total</c:v>
                </c:pt>
              </c:strCache>
            </c:strRef>
          </c:tx>
          <c:spPr>
            <a:solidFill>
              <a:schemeClr val="accent1"/>
            </a:solidFill>
            <a:ln>
              <a:noFill/>
            </a:ln>
            <a:effectLst/>
          </c:spPr>
          <c:invertIfNegative val="0"/>
          <c:cat>
            <c:strRef>
              <c:f>KPI!$A$4:$A$9</c:f>
              <c:strCache>
                <c:ptCount val="5"/>
                <c:pt idx="0">
                  <c:v>Business</c:v>
                </c:pt>
                <c:pt idx="1">
                  <c:v>Car</c:v>
                </c:pt>
                <c:pt idx="2">
                  <c:v>Education</c:v>
                </c:pt>
                <c:pt idx="3">
                  <c:v>Home</c:v>
                </c:pt>
                <c:pt idx="4">
                  <c:v>Personal</c:v>
                </c:pt>
              </c:strCache>
            </c:strRef>
          </c:cat>
          <c:val>
            <c:numRef>
              <c:f>KPI!$B$4:$B$9</c:f>
              <c:numCache>
                <c:formatCode>General</c:formatCode>
                <c:ptCount val="5"/>
                <c:pt idx="0">
                  <c:v>94573145</c:v>
                </c:pt>
                <c:pt idx="1">
                  <c:v>93959552</c:v>
                </c:pt>
                <c:pt idx="2">
                  <c:v>96305052</c:v>
                </c:pt>
                <c:pt idx="3">
                  <c:v>93521058</c:v>
                </c:pt>
                <c:pt idx="4">
                  <c:v>98527954</c:v>
                </c:pt>
              </c:numCache>
            </c:numRef>
          </c:val>
          <c:extLst>
            <c:ext xmlns:c16="http://schemas.microsoft.com/office/drawing/2014/chart" uri="{C3380CC4-5D6E-409C-BE32-E72D297353CC}">
              <c16:uniqueId val="{00000000-9729-4545-9E3C-665E3FB24C8D}"/>
            </c:ext>
          </c:extLst>
        </c:ser>
        <c:dLbls>
          <c:showLegendKey val="0"/>
          <c:showVal val="0"/>
          <c:showCatName val="0"/>
          <c:showSerName val="0"/>
          <c:showPercent val="0"/>
          <c:showBubbleSize val="0"/>
        </c:dLbls>
        <c:gapWidth val="219"/>
        <c:overlap val="-27"/>
        <c:axId val="1114576624"/>
        <c:axId val="447106032"/>
      </c:barChart>
      <c:catAx>
        <c:axId val="11145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06032"/>
        <c:crosses val="autoZero"/>
        <c:auto val="1"/>
        <c:lblAlgn val="ctr"/>
        <c:lblOffset val="100"/>
        <c:noMultiLvlLbl val="0"/>
      </c:catAx>
      <c:valAx>
        <c:axId val="44710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7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08-43EF-B931-01A8AFCBB7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08-43EF-B931-01A8AFCBB740}"/>
              </c:ext>
            </c:extLst>
          </c:dPt>
          <c:cat>
            <c:strRef>
              <c:f>KPI!$G$22:$G$23</c:f>
              <c:strCache>
                <c:ptCount val="1"/>
                <c:pt idx="0">
                  <c:v>Graduate</c:v>
                </c:pt>
              </c:strCache>
            </c:strRef>
          </c:cat>
          <c:val>
            <c:numRef>
              <c:f>KPI!$H$22:$H$23</c:f>
              <c:numCache>
                <c:formatCode>General</c:formatCode>
                <c:ptCount val="1"/>
                <c:pt idx="0">
                  <c:v>482</c:v>
                </c:pt>
              </c:numCache>
            </c:numRef>
          </c:val>
          <c:extLst>
            <c:ext xmlns:c16="http://schemas.microsoft.com/office/drawing/2014/chart" uri="{C3380CC4-5D6E-409C-BE32-E72D297353CC}">
              <c16:uniqueId val="{00000000-8AE6-44E7-AF53-88BFA72E1B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KPI!$H$3</c:f>
              <c:strCache>
                <c:ptCount val="1"/>
                <c:pt idx="0">
                  <c:v>Total</c:v>
                </c:pt>
              </c:strCache>
            </c:strRef>
          </c:tx>
          <c:spPr>
            <a:solidFill>
              <a:schemeClr val="accent1"/>
            </a:solidFill>
            <a:ln>
              <a:noFill/>
            </a:ln>
            <a:effectLst/>
          </c:spPr>
          <c:invertIfNegative val="0"/>
          <c:cat>
            <c:strRef>
              <c:f>KPI!$G$4:$G$6</c:f>
              <c:strCache>
                <c:ptCount val="2"/>
                <c:pt idx="0">
                  <c:v>Salaried</c:v>
                </c:pt>
                <c:pt idx="1">
                  <c:v>Self-Employed</c:v>
                </c:pt>
              </c:strCache>
            </c:strRef>
          </c:cat>
          <c:val>
            <c:numRef>
              <c:f>KPI!$H$4:$H$6</c:f>
              <c:numCache>
                <c:formatCode>General</c:formatCode>
                <c:ptCount val="2"/>
                <c:pt idx="0">
                  <c:v>194750537</c:v>
                </c:pt>
                <c:pt idx="1">
                  <c:v>228107270</c:v>
                </c:pt>
              </c:numCache>
            </c:numRef>
          </c:val>
          <c:extLst>
            <c:ext xmlns:c16="http://schemas.microsoft.com/office/drawing/2014/chart" uri="{C3380CC4-5D6E-409C-BE32-E72D297353CC}">
              <c16:uniqueId val="{00000000-CE84-46D1-BB33-6F816938DA9E}"/>
            </c:ext>
          </c:extLst>
        </c:ser>
        <c:dLbls>
          <c:showLegendKey val="0"/>
          <c:showVal val="0"/>
          <c:showCatName val="0"/>
          <c:showSerName val="0"/>
          <c:showPercent val="0"/>
          <c:showBubbleSize val="0"/>
        </c:dLbls>
        <c:gapWidth val="150"/>
        <c:axId val="985776768"/>
        <c:axId val="17140176"/>
      </c:barChart>
      <c:catAx>
        <c:axId val="98577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176"/>
        <c:crosses val="autoZero"/>
        <c:auto val="1"/>
        <c:lblAlgn val="ctr"/>
        <c:lblOffset val="100"/>
        <c:noMultiLvlLbl val="0"/>
      </c:catAx>
      <c:valAx>
        <c:axId val="1714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7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KPI!$E$21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KPI!$D$22:$D$27</c:f>
              <c:strCache>
                <c:ptCount val="5"/>
                <c:pt idx="0">
                  <c:v>12</c:v>
                </c:pt>
                <c:pt idx="1">
                  <c:v>24</c:v>
                </c:pt>
                <c:pt idx="2">
                  <c:v>36</c:v>
                </c:pt>
                <c:pt idx="3">
                  <c:v>48</c:v>
                </c:pt>
                <c:pt idx="4">
                  <c:v>60</c:v>
                </c:pt>
              </c:strCache>
            </c:strRef>
          </c:cat>
          <c:val>
            <c:numRef>
              <c:f>KPI!$E$22:$E$27</c:f>
              <c:numCache>
                <c:formatCode>General</c:formatCode>
                <c:ptCount val="5"/>
                <c:pt idx="0">
                  <c:v>90191168</c:v>
                </c:pt>
                <c:pt idx="1">
                  <c:v>95283551</c:v>
                </c:pt>
                <c:pt idx="2">
                  <c:v>87026772</c:v>
                </c:pt>
                <c:pt idx="3">
                  <c:v>100187779</c:v>
                </c:pt>
                <c:pt idx="4">
                  <c:v>104197491</c:v>
                </c:pt>
              </c:numCache>
            </c:numRef>
          </c:val>
          <c:smooth val="0"/>
          <c:extLst>
            <c:ext xmlns:c16="http://schemas.microsoft.com/office/drawing/2014/chart" uri="{C3380CC4-5D6E-409C-BE32-E72D297353CC}">
              <c16:uniqueId val="{00000000-B062-4A0F-8F64-E9AFD2888AF8}"/>
            </c:ext>
          </c:extLst>
        </c:ser>
        <c:dLbls>
          <c:dLblPos val="ctr"/>
          <c:showLegendKey val="0"/>
          <c:showVal val="1"/>
          <c:showCatName val="0"/>
          <c:showSerName val="0"/>
          <c:showPercent val="0"/>
          <c:showBubbleSize val="0"/>
        </c:dLbls>
        <c:marker val="1"/>
        <c:smooth val="0"/>
        <c:axId val="1114568272"/>
        <c:axId val="1198434736"/>
      </c:lineChart>
      <c:catAx>
        <c:axId val="111456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8434736"/>
        <c:crosses val="autoZero"/>
        <c:auto val="1"/>
        <c:lblAlgn val="ctr"/>
        <c:lblOffset val="100"/>
        <c:noMultiLvlLbl val="0"/>
      </c:catAx>
      <c:valAx>
        <c:axId val="119843473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6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06-4FCF-A699-2DF223246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06-4FCF-A699-2DF223246B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06-4FCF-A699-2DF223246BC2}"/>
              </c:ext>
            </c:extLst>
          </c:dPt>
          <c:cat>
            <c:strRef>
              <c:f>KPI!$D$4:$D$7</c:f>
              <c:strCache>
                <c:ptCount val="3"/>
                <c:pt idx="0">
                  <c:v>Female</c:v>
                </c:pt>
                <c:pt idx="1">
                  <c:v>Male</c:v>
                </c:pt>
                <c:pt idx="2">
                  <c:v>Unknown</c:v>
                </c:pt>
              </c:strCache>
            </c:strRef>
          </c:cat>
          <c:val>
            <c:numRef>
              <c:f>KPI!$E$4:$E$7</c:f>
              <c:numCache>
                <c:formatCode>General</c:formatCode>
                <c:ptCount val="3"/>
                <c:pt idx="0">
                  <c:v>56</c:v>
                </c:pt>
                <c:pt idx="1">
                  <c:v>57</c:v>
                </c:pt>
                <c:pt idx="2">
                  <c:v>5</c:v>
                </c:pt>
              </c:numCache>
            </c:numRef>
          </c:val>
          <c:extLst>
            <c:ext xmlns:c16="http://schemas.microsoft.com/office/drawing/2014/chart" uri="{C3380CC4-5D6E-409C-BE32-E72D297353CC}">
              <c16:uniqueId val="{00000000-A940-4CE7-BB23-91D612865B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[Bank_Loan_Dataset Excel.xlsx]KPI!PivotTable4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57-4AFF-91B7-417D7A2023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7-4AFF-91B7-417D7A2023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57-4AFF-91B7-417D7A202312}"/>
              </c:ext>
            </c:extLst>
          </c:dPt>
          <c:cat>
            <c:strRef>
              <c:f>KPI!$A$24:$A$27</c:f>
              <c:strCache>
                <c:ptCount val="3"/>
                <c:pt idx="0">
                  <c:v>Rural</c:v>
                </c:pt>
                <c:pt idx="1">
                  <c:v>Semiurban</c:v>
                </c:pt>
                <c:pt idx="2">
                  <c:v>Urban</c:v>
                </c:pt>
              </c:strCache>
            </c:strRef>
          </c:cat>
          <c:val>
            <c:numRef>
              <c:f>KPI!$B$24:$B$27</c:f>
              <c:numCache>
                <c:formatCode>General</c:formatCode>
                <c:ptCount val="3"/>
                <c:pt idx="0">
                  <c:v>96071</c:v>
                </c:pt>
                <c:pt idx="1">
                  <c:v>91442</c:v>
                </c:pt>
                <c:pt idx="2">
                  <c:v>98365</c:v>
                </c:pt>
              </c:numCache>
            </c:numRef>
          </c:val>
          <c:extLst>
            <c:ext xmlns:c16="http://schemas.microsoft.com/office/drawing/2014/chart" uri="{C3380CC4-5D6E-409C-BE32-E72D297353CC}">
              <c16:uniqueId val="{00000000-C0C3-4515-9716-533F180496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465667</xdr:colOff>
      <xdr:row>39</xdr:row>
      <xdr:rowOff>74082</xdr:rowOff>
    </xdr:to>
    <xdr:sp macro="" textlink="">
      <xdr:nvSpPr>
        <xdr:cNvPr id="2" name="Rectangle 1">
          <a:extLst>
            <a:ext uri="{FF2B5EF4-FFF2-40B4-BE49-F238E27FC236}">
              <a16:creationId xmlns:a16="http://schemas.microsoft.com/office/drawing/2014/main" id="{6D175CC4-E336-45B7-6B9B-577F6F9D3066}"/>
            </a:ext>
          </a:extLst>
        </xdr:cNvPr>
        <xdr:cNvSpPr/>
      </xdr:nvSpPr>
      <xdr:spPr>
        <a:xfrm>
          <a:off x="0" y="0"/>
          <a:ext cx="13335000" cy="7090832"/>
        </a:xfrm>
        <a:prstGeom prst="rect">
          <a:avLst/>
        </a:prstGeom>
        <a:solidFill>
          <a:schemeClr val="accent1">
            <a:lumMod val="20000"/>
            <a:lumOff val="80000"/>
          </a:schemeClr>
        </a:solidFill>
        <a:ln>
          <a:solidFill>
            <a:schemeClr val="accent1">
              <a:lumMod val="20000"/>
              <a:lumOff val="8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2025568</xdr:colOff>
      <xdr:row>0</xdr:row>
      <xdr:rowOff>144684</xdr:rowOff>
    </xdr:from>
    <xdr:to>
      <xdr:col>12</xdr:col>
      <xdr:colOff>126999</xdr:colOff>
      <xdr:row>4</xdr:row>
      <xdr:rowOff>116633</xdr:rowOff>
    </xdr:to>
    <xdr:sp macro="" textlink="">
      <xdr:nvSpPr>
        <xdr:cNvPr id="3" name="TextBox 2">
          <a:extLst>
            <a:ext uri="{FF2B5EF4-FFF2-40B4-BE49-F238E27FC236}">
              <a16:creationId xmlns:a16="http://schemas.microsoft.com/office/drawing/2014/main" id="{9F0A233C-90DA-8EA1-0062-BFA9075EDE58}"/>
            </a:ext>
          </a:extLst>
        </xdr:cNvPr>
        <xdr:cNvSpPr txBox="1"/>
      </xdr:nvSpPr>
      <xdr:spPr>
        <a:xfrm>
          <a:off x="3373722" y="144684"/>
          <a:ext cx="6483431" cy="71441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mj-lt"/>
            </a:rPr>
            <a:t>Bank Loan Default &amp; Credit Risk Analysis Dashboard</a:t>
          </a:r>
        </a:p>
      </xdr:txBody>
    </xdr:sp>
    <xdr:clientData/>
  </xdr:twoCellAnchor>
  <xdr:twoCellAnchor>
    <xdr:from>
      <xdr:col>3</xdr:col>
      <xdr:colOff>63499</xdr:colOff>
      <xdr:row>4</xdr:row>
      <xdr:rowOff>36287</xdr:rowOff>
    </xdr:from>
    <xdr:to>
      <xdr:col>6</xdr:col>
      <xdr:colOff>212033</xdr:colOff>
      <xdr:row>8</xdr:row>
      <xdr:rowOff>26506</xdr:rowOff>
    </xdr:to>
    <xdr:sp macro="" textlink="">
      <xdr:nvSpPr>
        <xdr:cNvPr id="5" name="Rectangle 4">
          <a:extLst>
            <a:ext uri="{FF2B5EF4-FFF2-40B4-BE49-F238E27FC236}">
              <a16:creationId xmlns:a16="http://schemas.microsoft.com/office/drawing/2014/main" id="{A789CB5E-258D-F795-3F9E-5965340E9CA7}"/>
            </a:ext>
          </a:extLst>
        </xdr:cNvPr>
        <xdr:cNvSpPr/>
      </xdr:nvSpPr>
      <xdr:spPr>
        <a:xfrm>
          <a:off x="3946070" y="762001"/>
          <a:ext cx="2234963" cy="7159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Total Customers </a:t>
          </a:r>
        </a:p>
      </xdr:txBody>
    </xdr:sp>
    <xdr:clientData/>
  </xdr:twoCellAnchor>
  <xdr:twoCellAnchor>
    <xdr:from>
      <xdr:col>6</xdr:col>
      <xdr:colOff>258416</xdr:colOff>
      <xdr:row>4</xdr:row>
      <xdr:rowOff>53009</xdr:rowOff>
    </xdr:from>
    <xdr:to>
      <xdr:col>10</xdr:col>
      <xdr:colOff>19878</xdr:colOff>
      <xdr:row>8</xdr:row>
      <xdr:rowOff>33131</xdr:rowOff>
    </xdr:to>
    <xdr:sp macro="" textlink="">
      <xdr:nvSpPr>
        <xdr:cNvPr id="6" name="Rectangle 5">
          <a:extLst>
            <a:ext uri="{FF2B5EF4-FFF2-40B4-BE49-F238E27FC236}">
              <a16:creationId xmlns:a16="http://schemas.microsoft.com/office/drawing/2014/main" id="{5BC79E9D-CC83-99AE-B8CF-6931AEB14D8B}"/>
            </a:ext>
          </a:extLst>
        </xdr:cNvPr>
        <xdr:cNvSpPr/>
      </xdr:nvSpPr>
      <xdr:spPr>
        <a:xfrm>
          <a:off x="3916016" y="795131"/>
          <a:ext cx="2199862" cy="7222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Total Loan Amount</a:t>
          </a:r>
        </a:p>
      </xdr:txBody>
    </xdr:sp>
    <xdr:clientData/>
  </xdr:twoCellAnchor>
  <xdr:twoCellAnchor>
    <xdr:from>
      <xdr:col>10</xdr:col>
      <xdr:colOff>59634</xdr:colOff>
      <xdr:row>4</xdr:row>
      <xdr:rowOff>53010</xdr:rowOff>
    </xdr:from>
    <xdr:to>
      <xdr:col>13</xdr:col>
      <xdr:colOff>364435</xdr:colOff>
      <xdr:row>8</xdr:row>
      <xdr:rowOff>39757</xdr:rowOff>
    </xdr:to>
    <xdr:sp macro="" textlink="">
      <xdr:nvSpPr>
        <xdr:cNvPr id="7" name="Rectangle 6">
          <a:extLst>
            <a:ext uri="{FF2B5EF4-FFF2-40B4-BE49-F238E27FC236}">
              <a16:creationId xmlns:a16="http://schemas.microsoft.com/office/drawing/2014/main" id="{DA56F772-4235-0E93-DCDE-EC409BF7F210}"/>
            </a:ext>
          </a:extLst>
        </xdr:cNvPr>
        <xdr:cNvSpPr/>
      </xdr:nvSpPr>
      <xdr:spPr>
        <a:xfrm>
          <a:off x="6155634" y="795132"/>
          <a:ext cx="2133601" cy="7288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Average Credit Score </a:t>
          </a:r>
        </a:p>
      </xdr:txBody>
    </xdr:sp>
    <xdr:clientData/>
  </xdr:twoCellAnchor>
  <xdr:twoCellAnchor>
    <xdr:from>
      <xdr:col>13</xdr:col>
      <xdr:colOff>404191</xdr:colOff>
      <xdr:row>4</xdr:row>
      <xdr:rowOff>53007</xdr:rowOff>
    </xdr:from>
    <xdr:to>
      <xdr:col>17</xdr:col>
      <xdr:colOff>141111</xdr:colOff>
      <xdr:row>8</xdr:row>
      <xdr:rowOff>37629</xdr:rowOff>
    </xdr:to>
    <xdr:sp macro="" textlink="">
      <xdr:nvSpPr>
        <xdr:cNvPr id="8" name="Rectangle 7">
          <a:extLst>
            <a:ext uri="{FF2B5EF4-FFF2-40B4-BE49-F238E27FC236}">
              <a16:creationId xmlns:a16="http://schemas.microsoft.com/office/drawing/2014/main" id="{21C32D54-EDC5-4E7A-B805-CAF8ECE057F5}"/>
            </a:ext>
          </a:extLst>
        </xdr:cNvPr>
        <xdr:cNvSpPr/>
      </xdr:nvSpPr>
      <xdr:spPr>
        <a:xfrm>
          <a:off x="10799376" y="767970"/>
          <a:ext cx="2182846" cy="699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a:t>
          </a:r>
          <a:r>
            <a:rPr lang="en-IN" sz="1400" b="1">
              <a:latin typeface="+mj-lt"/>
            </a:rPr>
            <a:t>Default Customers </a:t>
          </a:r>
        </a:p>
      </xdr:txBody>
    </xdr:sp>
    <xdr:clientData/>
  </xdr:twoCellAnchor>
  <xdr:twoCellAnchor>
    <xdr:from>
      <xdr:col>3</xdr:col>
      <xdr:colOff>178905</xdr:colOff>
      <xdr:row>5</xdr:row>
      <xdr:rowOff>165652</xdr:rowOff>
    </xdr:from>
    <xdr:to>
      <xdr:col>5</xdr:col>
      <xdr:colOff>304800</xdr:colOff>
      <xdr:row>7</xdr:row>
      <xdr:rowOff>119270</xdr:rowOff>
    </xdr:to>
    <xdr:sp macro="" textlink="KPI!C44">
      <xdr:nvSpPr>
        <xdr:cNvPr id="9" name="Rectangle 8">
          <a:extLst>
            <a:ext uri="{FF2B5EF4-FFF2-40B4-BE49-F238E27FC236}">
              <a16:creationId xmlns:a16="http://schemas.microsoft.com/office/drawing/2014/main" id="{2F2CC333-3129-4E39-9F49-EBD4DF7F5F88}"/>
            </a:ext>
          </a:extLst>
        </xdr:cNvPr>
        <xdr:cNvSpPr/>
      </xdr:nvSpPr>
      <xdr:spPr>
        <a:xfrm>
          <a:off x="3400525" y="1081981"/>
          <a:ext cx="1842807" cy="320150"/>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CFBE83E-374B-49C1-B92F-279D2385FB48}" type="TxLink">
            <a:rPr lang="en-US" sz="1100" b="0" i="0" u="none" strike="noStrike">
              <a:solidFill>
                <a:srgbClr val="000000"/>
              </a:solidFill>
              <a:latin typeface="Calibri"/>
              <a:ea typeface="Calibri"/>
              <a:cs typeface="Calibri"/>
            </a:rPr>
            <a:pPr algn="l"/>
            <a:t>482</a:t>
          </a:fld>
          <a:endParaRPr lang="en-IN" sz="1100"/>
        </a:p>
      </xdr:txBody>
    </xdr:sp>
    <xdr:clientData/>
  </xdr:twoCellAnchor>
  <xdr:twoCellAnchor>
    <xdr:from>
      <xdr:col>6</xdr:col>
      <xdr:colOff>491898</xdr:colOff>
      <xdr:row>5</xdr:row>
      <xdr:rowOff>156034</xdr:rowOff>
    </xdr:from>
    <xdr:to>
      <xdr:col>8</xdr:col>
      <xdr:colOff>483704</xdr:colOff>
      <xdr:row>7</xdr:row>
      <xdr:rowOff>112645</xdr:rowOff>
    </xdr:to>
    <xdr:sp macro="" textlink="KPI!E47">
      <xdr:nvSpPr>
        <xdr:cNvPr id="10" name="Rectangle 9">
          <a:extLst>
            <a:ext uri="{FF2B5EF4-FFF2-40B4-BE49-F238E27FC236}">
              <a16:creationId xmlns:a16="http://schemas.microsoft.com/office/drawing/2014/main" id="{7D0729F0-7D15-4A0C-8064-BE9A9BC242DE}"/>
            </a:ext>
          </a:extLst>
        </xdr:cNvPr>
        <xdr:cNvSpPr/>
      </xdr:nvSpPr>
      <xdr:spPr>
        <a:xfrm>
          <a:off x="4149498" y="1083686"/>
          <a:ext cx="1211006" cy="327672"/>
        </a:xfrm>
        <a:prstGeom prst="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81ADC43-C86D-44A1-8468-1B8E30028F19}" type="TxLink">
            <a:rPr lang="en-US" sz="1100" b="0" i="0" u="none" strike="noStrike">
              <a:solidFill>
                <a:srgbClr val="000000"/>
              </a:solidFill>
              <a:latin typeface="Calibri"/>
              <a:ea typeface="Calibri"/>
              <a:cs typeface="Calibri"/>
            </a:rPr>
            <a:pPr algn="l"/>
            <a:t>476886761</a:t>
          </a:fld>
          <a:endParaRPr lang="en-IN" sz="1100"/>
        </a:p>
      </xdr:txBody>
    </xdr:sp>
    <xdr:clientData/>
  </xdr:twoCellAnchor>
  <xdr:twoCellAnchor>
    <xdr:from>
      <xdr:col>10</xdr:col>
      <xdr:colOff>230419</xdr:colOff>
      <xdr:row>5</xdr:row>
      <xdr:rowOff>181398</xdr:rowOff>
    </xdr:from>
    <xdr:to>
      <xdr:col>12</xdr:col>
      <xdr:colOff>99391</xdr:colOff>
      <xdr:row>7</xdr:row>
      <xdr:rowOff>106017</xdr:rowOff>
    </xdr:to>
    <xdr:sp macro="" textlink="KPI!G46">
      <xdr:nvSpPr>
        <xdr:cNvPr id="11" name="Rectangle 10">
          <a:extLst>
            <a:ext uri="{FF2B5EF4-FFF2-40B4-BE49-F238E27FC236}">
              <a16:creationId xmlns:a16="http://schemas.microsoft.com/office/drawing/2014/main" id="{4B7FF3FB-3721-42E2-9FE9-324DAA816BA3}"/>
            </a:ext>
          </a:extLst>
        </xdr:cNvPr>
        <xdr:cNvSpPr/>
      </xdr:nvSpPr>
      <xdr:spPr>
        <a:xfrm>
          <a:off x="6326419" y="1109050"/>
          <a:ext cx="1088172" cy="295680"/>
        </a:xfrm>
        <a:prstGeom prst="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385B3BD-9773-4FD9-A090-3EB730F23695}" type="TxLink">
            <a:rPr lang="en-US" sz="1100" b="0" i="0" u="none" strike="noStrike">
              <a:solidFill>
                <a:srgbClr val="000000"/>
              </a:solidFill>
              <a:latin typeface="Calibri"/>
              <a:ea typeface="Calibri"/>
              <a:cs typeface="Calibri"/>
            </a:rPr>
            <a:pPr algn="l"/>
            <a:t>605.6737288</a:t>
          </a:fld>
          <a:endParaRPr lang="en-IN" sz="1100"/>
        </a:p>
      </xdr:txBody>
    </xdr:sp>
    <xdr:clientData/>
  </xdr:twoCellAnchor>
  <xdr:twoCellAnchor>
    <xdr:from>
      <xdr:col>13</xdr:col>
      <xdr:colOff>562576</xdr:colOff>
      <xdr:row>5</xdr:row>
      <xdr:rowOff>161662</xdr:rowOff>
    </xdr:from>
    <xdr:to>
      <xdr:col>15</xdr:col>
      <xdr:colOff>324678</xdr:colOff>
      <xdr:row>7</xdr:row>
      <xdr:rowOff>99391</xdr:rowOff>
    </xdr:to>
    <xdr:sp macro="" textlink="KPI!I47">
      <xdr:nvSpPr>
        <xdr:cNvPr id="12" name="Rectangle 11">
          <a:extLst>
            <a:ext uri="{FF2B5EF4-FFF2-40B4-BE49-F238E27FC236}">
              <a16:creationId xmlns:a16="http://schemas.microsoft.com/office/drawing/2014/main" id="{D732552C-C31A-4E08-89D9-912F0D7F7533}"/>
            </a:ext>
          </a:extLst>
        </xdr:cNvPr>
        <xdr:cNvSpPr/>
      </xdr:nvSpPr>
      <xdr:spPr>
        <a:xfrm>
          <a:off x="8487376" y="1089314"/>
          <a:ext cx="981302" cy="308790"/>
        </a:xfrm>
        <a:prstGeom prst="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1A562C-93C6-44A8-B491-3A9338CED6FA}" type="TxLink">
            <a:rPr lang="en-US" sz="1100" b="0" i="0" u="none" strike="noStrike">
              <a:solidFill>
                <a:srgbClr val="000000"/>
              </a:solidFill>
              <a:latin typeface="Calibri"/>
              <a:ea typeface="Calibri"/>
              <a:cs typeface="Calibri"/>
            </a:rPr>
            <a:pPr algn="l"/>
            <a:t>118</a:t>
          </a:fld>
          <a:endParaRPr lang="en-IN" sz="1100"/>
        </a:p>
      </xdr:txBody>
    </xdr:sp>
    <xdr:clientData/>
  </xdr:twoCellAnchor>
  <xdr:twoCellAnchor>
    <xdr:from>
      <xdr:col>6</xdr:col>
      <xdr:colOff>533402</xdr:colOff>
      <xdr:row>8</xdr:row>
      <xdr:rowOff>103908</xdr:rowOff>
    </xdr:from>
    <xdr:to>
      <xdr:col>17</xdr:col>
      <xdr:colOff>169334</xdr:colOff>
      <xdr:row>31</xdr:row>
      <xdr:rowOff>31750</xdr:rowOff>
    </xdr:to>
    <xdr:sp macro="" textlink="">
      <xdr:nvSpPr>
        <xdr:cNvPr id="21" name="Rectangle 20">
          <a:extLst>
            <a:ext uri="{FF2B5EF4-FFF2-40B4-BE49-F238E27FC236}">
              <a16:creationId xmlns:a16="http://schemas.microsoft.com/office/drawing/2014/main" id="{E4A1A41D-307C-6AAC-69B2-88517290C8C0}"/>
            </a:ext>
          </a:extLst>
        </xdr:cNvPr>
        <xdr:cNvSpPr/>
      </xdr:nvSpPr>
      <xdr:spPr>
        <a:xfrm>
          <a:off x="6650569" y="1543241"/>
          <a:ext cx="6388098" cy="40659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576951</xdr:colOff>
      <xdr:row>19</xdr:row>
      <xdr:rowOff>67520</xdr:rowOff>
    </xdr:from>
    <xdr:to>
      <xdr:col>12</xdr:col>
      <xdr:colOff>578734</xdr:colOff>
      <xdr:row>29</xdr:row>
      <xdr:rowOff>141018</xdr:rowOff>
    </xdr:to>
    <xdr:graphicFrame macro="">
      <xdr:nvGraphicFramePr>
        <xdr:cNvPr id="17" name="Chart 16">
          <a:extLst>
            <a:ext uri="{FF2B5EF4-FFF2-40B4-BE49-F238E27FC236}">
              <a16:creationId xmlns:a16="http://schemas.microsoft.com/office/drawing/2014/main" id="{F42E70DF-6717-4916-A5D8-D33B88F97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1277154</xdr:colOff>
      <xdr:row>8</xdr:row>
      <xdr:rowOff>96592</xdr:rowOff>
    </xdr:from>
    <xdr:to>
      <xdr:col>6</xdr:col>
      <xdr:colOff>493689</xdr:colOff>
      <xdr:row>30</xdr:row>
      <xdr:rowOff>118057</xdr:rowOff>
    </xdr:to>
    <xdr:sp macro="" textlink="">
      <xdr:nvSpPr>
        <xdr:cNvPr id="4" name="Rectangle 3">
          <a:extLst>
            <a:ext uri="{FF2B5EF4-FFF2-40B4-BE49-F238E27FC236}">
              <a16:creationId xmlns:a16="http://schemas.microsoft.com/office/drawing/2014/main" id="{10522A69-0D4F-2170-DCD7-FC704FBC2AB3}"/>
            </a:ext>
          </a:extLst>
        </xdr:cNvPr>
        <xdr:cNvSpPr/>
      </xdr:nvSpPr>
      <xdr:spPr>
        <a:xfrm>
          <a:off x="2625308" y="1581515"/>
          <a:ext cx="3964381" cy="41050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598086</xdr:colOff>
      <xdr:row>8</xdr:row>
      <xdr:rowOff>165180</xdr:rowOff>
    </xdr:from>
    <xdr:to>
      <xdr:col>12</xdr:col>
      <xdr:colOff>569089</xdr:colOff>
      <xdr:row>19</xdr:row>
      <xdr:rowOff>19291</xdr:rowOff>
    </xdr:to>
    <xdr:graphicFrame macro="">
      <xdr:nvGraphicFramePr>
        <xdr:cNvPr id="15" name="Chart 14">
          <a:extLst>
            <a:ext uri="{FF2B5EF4-FFF2-40B4-BE49-F238E27FC236}">
              <a16:creationId xmlns:a16="http://schemas.microsoft.com/office/drawing/2014/main" id="{86A86F56-0BA5-41BB-B83F-4CFA21D96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1388962</xdr:colOff>
      <xdr:row>9</xdr:row>
      <xdr:rowOff>9646</xdr:rowOff>
    </xdr:from>
    <xdr:to>
      <xdr:col>6</xdr:col>
      <xdr:colOff>395468</xdr:colOff>
      <xdr:row>19</xdr:row>
      <xdr:rowOff>28936</xdr:rowOff>
    </xdr:to>
    <xdr:graphicFrame macro="">
      <xdr:nvGraphicFramePr>
        <xdr:cNvPr id="18" name="Chart 17">
          <a:extLst>
            <a:ext uri="{FF2B5EF4-FFF2-40B4-BE49-F238E27FC236}">
              <a16:creationId xmlns:a16="http://schemas.microsoft.com/office/drawing/2014/main" id="{E0EA180E-05C1-41CB-8D40-C396CC453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19291</xdr:colOff>
      <xdr:row>8</xdr:row>
      <xdr:rowOff>154329</xdr:rowOff>
    </xdr:from>
    <xdr:to>
      <xdr:col>17</xdr:col>
      <xdr:colOff>74083</xdr:colOff>
      <xdr:row>19</xdr:row>
      <xdr:rowOff>0</xdr:rowOff>
    </xdr:to>
    <xdr:graphicFrame macro="">
      <xdr:nvGraphicFramePr>
        <xdr:cNvPr id="20" name="Chart 19">
          <a:extLst>
            <a:ext uri="{FF2B5EF4-FFF2-40B4-BE49-F238E27FC236}">
              <a16:creationId xmlns:a16="http://schemas.microsoft.com/office/drawing/2014/main" id="{803D4A1E-2C5F-43B8-AEAB-E00D6EF8D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1992923</xdr:colOff>
      <xdr:row>20</xdr:row>
      <xdr:rowOff>48846</xdr:rowOff>
    </xdr:from>
    <xdr:to>
      <xdr:col>6</xdr:col>
      <xdr:colOff>429844</xdr:colOff>
      <xdr:row>30</xdr:row>
      <xdr:rowOff>78152</xdr:rowOff>
    </xdr:to>
    <xdr:graphicFrame macro="">
      <xdr:nvGraphicFramePr>
        <xdr:cNvPr id="19" name="Chart 18">
          <a:extLst>
            <a:ext uri="{FF2B5EF4-FFF2-40B4-BE49-F238E27FC236}">
              <a16:creationId xmlns:a16="http://schemas.microsoft.com/office/drawing/2014/main" id="{A66D3352-BACF-4805-B735-BCD841EBC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28936</xdr:colOff>
      <xdr:row>19</xdr:row>
      <xdr:rowOff>137583</xdr:rowOff>
    </xdr:from>
    <xdr:to>
      <xdr:col>17</xdr:col>
      <xdr:colOff>84667</xdr:colOff>
      <xdr:row>29</xdr:row>
      <xdr:rowOff>144683</xdr:rowOff>
    </xdr:to>
    <xdr:graphicFrame macro="">
      <xdr:nvGraphicFramePr>
        <xdr:cNvPr id="16" name="Chart 15">
          <a:extLst>
            <a:ext uri="{FF2B5EF4-FFF2-40B4-BE49-F238E27FC236}">
              <a16:creationId xmlns:a16="http://schemas.microsoft.com/office/drawing/2014/main" id="{1DEEEF7B-E1B7-4D96-AFC2-5300F448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8976</xdr:colOff>
      <xdr:row>31</xdr:row>
      <xdr:rowOff>47198</xdr:rowOff>
    </xdr:from>
    <xdr:to>
      <xdr:col>13</xdr:col>
      <xdr:colOff>178594</xdr:colOff>
      <xdr:row>38</xdr:row>
      <xdr:rowOff>47625</xdr:rowOff>
    </xdr:to>
    <mc:AlternateContent xmlns:mc="http://schemas.openxmlformats.org/markup-compatibility/2006" xmlns:a14="http://schemas.microsoft.com/office/drawing/2010/main">
      <mc:Choice Requires="a14">
        <xdr:graphicFrame macro="">
          <xdr:nvGraphicFramePr>
            <xdr:cNvPr id="22" name="Employment_Type 1">
              <a:extLst>
                <a:ext uri="{FF2B5EF4-FFF2-40B4-BE49-F238E27FC236}">
                  <a16:creationId xmlns:a16="http://schemas.microsoft.com/office/drawing/2014/main" id="{9E2FA377-6AA5-4EA3-9C98-C35F9D86F3F8}"/>
                </a:ext>
              </a:extLst>
            </xdr:cNvPr>
            <xdr:cNvGraphicFramePr/>
          </xdr:nvGraphicFramePr>
          <xdr:xfrm>
            <a:off x="0" y="0"/>
            <a:ext cx="0" cy="0"/>
          </xdr:xfrm>
          <a:graphic>
            <a:graphicData uri="http://schemas.microsoft.com/office/drawing/2010/slicer">
              <sle:slicer xmlns:sle="http://schemas.microsoft.com/office/drawing/2010/slicer" name="Employment_Type 1"/>
            </a:graphicData>
          </a:graphic>
        </xdr:graphicFrame>
      </mc:Choice>
      <mc:Fallback xmlns="">
        <xdr:sp macro="" textlink="">
          <xdr:nvSpPr>
            <xdr:cNvPr id="0" name=""/>
            <xdr:cNvSpPr>
              <a:spLocks noTextEdit="1"/>
            </xdr:cNvSpPr>
          </xdr:nvSpPr>
          <xdr:spPr>
            <a:xfrm>
              <a:off x="6738327" y="5569224"/>
              <a:ext cx="3850968" cy="1247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84666</xdr:colOff>
      <xdr:row>2</xdr:row>
      <xdr:rowOff>96762</xdr:rowOff>
    </xdr:from>
    <xdr:to>
      <xdr:col>2</xdr:col>
      <xdr:colOff>1221619</xdr:colOff>
      <xdr:row>38</xdr:row>
      <xdr:rowOff>47930</xdr:rowOff>
    </xdr:to>
    <xdr:sp macro="" textlink="">
      <xdr:nvSpPr>
        <xdr:cNvPr id="27" name="Rectangle: Rounded Corners 26">
          <a:extLst>
            <a:ext uri="{FF2B5EF4-FFF2-40B4-BE49-F238E27FC236}">
              <a16:creationId xmlns:a16="http://schemas.microsoft.com/office/drawing/2014/main" id="{96F860E7-D70E-CD91-FC52-C518A386360E}"/>
            </a:ext>
          </a:extLst>
        </xdr:cNvPr>
        <xdr:cNvSpPr/>
      </xdr:nvSpPr>
      <xdr:spPr>
        <a:xfrm>
          <a:off x="84666" y="459619"/>
          <a:ext cx="2479524" cy="64825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396946</xdr:colOff>
      <xdr:row>4</xdr:row>
      <xdr:rowOff>118371</xdr:rowOff>
    </xdr:from>
    <xdr:to>
      <xdr:col>2</xdr:col>
      <xdr:colOff>899582</xdr:colOff>
      <xdr:row>14</xdr:row>
      <xdr:rowOff>42437</xdr:rowOff>
    </xdr:to>
    <xdr:pic>
      <xdr:nvPicPr>
        <xdr:cNvPr id="33" name="Picture 32">
          <a:extLst>
            <a:ext uri="{FF2B5EF4-FFF2-40B4-BE49-F238E27FC236}">
              <a16:creationId xmlns:a16="http://schemas.microsoft.com/office/drawing/2014/main" id="{DB25CB00-F467-BEED-7FB9-25574658F1B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5948" t="18103" r="15948" b="18103"/>
        <a:stretch>
          <a:fillRect/>
        </a:stretch>
      </xdr:blipFill>
      <xdr:spPr>
        <a:xfrm>
          <a:off x="396946" y="838038"/>
          <a:ext cx="1857303" cy="1723232"/>
        </a:xfrm>
        <a:prstGeom prst="rect">
          <a:avLst/>
        </a:prstGeom>
      </xdr:spPr>
    </xdr:pic>
    <xdr:clientData/>
  </xdr:twoCellAnchor>
  <xdr:twoCellAnchor>
    <xdr:from>
      <xdr:col>2</xdr:col>
      <xdr:colOff>1351645</xdr:colOff>
      <xdr:row>3</xdr:row>
      <xdr:rowOff>45358</xdr:rowOff>
    </xdr:from>
    <xdr:to>
      <xdr:col>2</xdr:col>
      <xdr:colOff>2630715</xdr:colOff>
      <xdr:row>8</xdr:row>
      <xdr:rowOff>18143</xdr:rowOff>
    </xdr:to>
    <xdr:sp macro="" textlink="">
      <xdr:nvSpPr>
        <xdr:cNvPr id="38" name="Rectangle 37">
          <a:extLst>
            <a:ext uri="{FF2B5EF4-FFF2-40B4-BE49-F238E27FC236}">
              <a16:creationId xmlns:a16="http://schemas.microsoft.com/office/drawing/2014/main" id="{33756557-0BCC-45E3-C278-7288299BD1A5}"/>
            </a:ext>
          </a:extLst>
        </xdr:cNvPr>
        <xdr:cNvSpPr/>
      </xdr:nvSpPr>
      <xdr:spPr>
        <a:xfrm>
          <a:off x="2567216" y="589644"/>
          <a:ext cx="1279070" cy="87992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1381601</xdr:colOff>
      <xdr:row>3</xdr:row>
      <xdr:rowOff>108857</xdr:rowOff>
    </xdr:from>
    <xdr:to>
      <xdr:col>2</xdr:col>
      <xdr:colOff>2651600</xdr:colOff>
      <xdr:row>7</xdr:row>
      <xdr:rowOff>163286</xdr:rowOff>
    </xdr:to>
    <xdr:pic>
      <xdr:nvPicPr>
        <xdr:cNvPr id="35" name="Picture 34">
          <a:extLst>
            <a:ext uri="{FF2B5EF4-FFF2-40B4-BE49-F238E27FC236}">
              <a16:creationId xmlns:a16="http://schemas.microsoft.com/office/drawing/2014/main" id="{4B16360C-8725-3B3E-20F5-DA226C96F2CB}"/>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8421" t="7238" r="-19737" b="7894"/>
        <a:stretch>
          <a:fillRect/>
        </a:stretch>
      </xdr:blipFill>
      <xdr:spPr>
        <a:xfrm>
          <a:off x="2597172" y="653143"/>
          <a:ext cx="1269999" cy="780143"/>
        </a:xfrm>
        <a:prstGeom prst="rect">
          <a:avLst/>
        </a:prstGeom>
      </xdr:spPr>
    </xdr:pic>
    <xdr:clientData/>
  </xdr:twoCellAnchor>
  <xdr:twoCellAnchor editAs="oneCell">
    <xdr:from>
      <xdr:col>0</xdr:col>
      <xdr:colOff>119743</xdr:colOff>
      <xdr:row>16</xdr:row>
      <xdr:rowOff>31749</xdr:rowOff>
    </xdr:from>
    <xdr:to>
      <xdr:col>2</xdr:col>
      <xdr:colOff>1185333</xdr:colOff>
      <xdr:row>23</xdr:row>
      <xdr:rowOff>65315</xdr:rowOff>
    </xdr:to>
    <mc:AlternateContent xmlns:mc="http://schemas.openxmlformats.org/markup-compatibility/2006" xmlns:a14="http://schemas.microsoft.com/office/drawing/2010/main">
      <mc:Choice Requires="a14">
        <xdr:graphicFrame macro="">
          <xdr:nvGraphicFramePr>
            <xdr:cNvPr id="25" name="Property_Area 1">
              <a:extLst>
                <a:ext uri="{FF2B5EF4-FFF2-40B4-BE49-F238E27FC236}">
                  <a16:creationId xmlns:a16="http://schemas.microsoft.com/office/drawing/2014/main" id="{F892051C-C027-4BDF-A6B8-A3A9B62CF2F2}"/>
                </a:ext>
              </a:extLst>
            </xdr:cNvPr>
            <xdr:cNvGraphicFramePr/>
          </xdr:nvGraphicFramePr>
          <xdr:xfrm>
            <a:off x="0" y="0"/>
            <a:ext cx="0" cy="0"/>
          </xdr:xfrm>
          <a:graphic>
            <a:graphicData uri="http://schemas.microsoft.com/office/drawing/2010/slicer">
              <sle:slicer xmlns:sle="http://schemas.microsoft.com/office/drawing/2010/slicer" name="Property_Area 1"/>
            </a:graphicData>
          </a:graphic>
        </xdr:graphicFrame>
      </mc:Choice>
      <mc:Fallback xmlns="">
        <xdr:sp macro="" textlink="">
          <xdr:nvSpPr>
            <xdr:cNvPr id="0" name=""/>
            <xdr:cNvSpPr>
              <a:spLocks noTextEdit="1"/>
            </xdr:cNvSpPr>
          </xdr:nvSpPr>
          <xdr:spPr>
            <a:xfrm>
              <a:off x="119743" y="2881827"/>
              <a:ext cx="2421356" cy="1280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24</xdr:row>
      <xdr:rowOff>10583</xdr:rowOff>
    </xdr:from>
    <xdr:to>
      <xdr:col>2</xdr:col>
      <xdr:colOff>1185332</xdr:colOff>
      <xdr:row>35</xdr:row>
      <xdr:rowOff>148167</xdr:rowOff>
    </xdr:to>
    <mc:AlternateContent xmlns:mc="http://schemas.openxmlformats.org/markup-compatibility/2006" xmlns:a14="http://schemas.microsoft.com/office/drawing/2010/main">
      <mc:Choice Requires="a14">
        <xdr:graphicFrame macro="">
          <xdr:nvGraphicFramePr>
            <xdr:cNvPr id="23" name="Loan_Purpose 1">
              <a:extLst>
                <a:ext uri="{FF2B5EF4-FFF2-40B4-BE49-F238E27FC236}">
                  <a16:creationId xmlns:a16="http://schemas.microsoft.com/office/drawing/2014/main" id="{36052FA1-9E52-45E0-9B53-423880B94FD5}"/>
                </a:ext>
              </a:extLst>
            </xdr:cNvPr>
            <xdr:cNvGraphicFramePr/>
          </xdr:nvGraphicFramePr>
          <xdr:xfrm>
            <a:off x="0" y="0"/>
            <a:ext cx="0" cy="0"/>
          </xdr:xfrm>
          <a:graphic>
            <a:graphicData uri="http://schemas.microsoft.com/office/drawing/2010/slicer">
              <sle:slicer xmlns:sle="http://schemas.microsoft.com/office/drawing/2010/slicer" name="Loan_Purpose 1"/>
            </a:graphicData>
          </a:graphic>
        </xdr:graphicFrame>
      </mc:Choice>
      <mc:Fallback xmlns="">
        <xdr:sp macro="" textlink="">
          <xdr:nvSpPr>
            <xdr:cNvPr id="0" name=""/>
            <xdr:cNvSpPr>
              <a:spLocks noTextEdit="1"/>
            </xdr:cNvSpPr>
          </xdr:nvSpPr>
          <xdr:spPr>
            <a:xfrm>
              <a:off x="95250" y="4285700"/>
              <a:ext cx="2445848" cy="2097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209479</xdr:colOff>
      <xdr:row>31</xdr:row>
      <xdr:rowOff>65853</xdr:rowOff>
    </xdr:from>
    <xdr:to>
      <xdr:col>17</xdr:col>
      <xdr:colOff>169333</xdr:colOff>
      <xdr:row>38</xdr:row>
      <xdr:rowOff>47626</xdr:rowOff>
    </xdr:to>
    <mc:AlternateContent xmlns:mc="http://schemas.openxmlformats.org/markup-compatibility/2006" xmlns:a14="http://schemas.microsoft.com/office/drawing/2010/main">
      <mc:Choice Requires="a14">
        <xdr:graphicFrame macro="">
          <xdr:nvGraphicFramePr>
            <xdr:cNvPr id="24" name="Education 1">
              <a:extLst>
                <a:ext uri="{FF2B5EF4-FFF2-40B4-BE49-F238E27FC236}">
                  <a16:creationId xmlns:a16="http://schemas.microsoft.com/office/drawing/2014/main" id="{BEF061D0-C6E1-4953-AD8F-82F40AC86981}"/>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0620180" y="5587879"/>
              <a:ext cx="2414088" cy="1228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1354666</xdr:colOff>
      <xdr:row>30</xdr:row>
      <xdr:rowOff>173901</xdr:rowOff>
    </xdr:from>
    <xdr:to>
      <xdr:col>6</xdr:col>
      <xdr:colOff>547688</xdr:colOff>
      <xdr:row>38</xdr:row>
      <xdr:rowOff>60475</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EF650017-4C97-4058-96E4-1A2FD3EF60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10432" y="5517797"/>
              <a:ext cx="3953048" cy="1311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1377461</xdr:colOff>
      <xdr:row>19</xdr:row>
      <xdr:rowOff>87923</xdr:rowOff>
    </xdr:from>
    <xdr:to>
      <xdr:col>3</xdr:col>
      <xdr:colOff>68385</xdr:colOff>
      <xdr:row>20</xdr:row>
      <xdr:rowOff>127000</xdr:rowOff>
    </xdr:to>
    <xdr:sp macro="" textlink="">
      <xdr:nvSpPr>
        <xdr:cNvPr id="39" name="TextBox 38">
          <a:extLst>
            <a:ext uri="{FF2B5EF4-FFF2-40B4-BE49-F238E27FC236}">
              <a16:creationId xmlns:a16="http://schemas.microsoft.com/office/drawing/2014/main" id="{E54F95C7-2F04-FC20-51A0-0678776D3910}"/>
            </a:ext>
          </a:extLst>
        </xdr:cNvPr>
        <xdr:cNvSpPr txBox="1"/>
      </xdr:nvSpPr>
      <xdr:spPr>
        <a:xfrm>
          <a:off x="2725615" y="3614615"/>
          <a:ext cx="1357924" cy="22469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Gender</a:t>
          </a:r>
          <a:r>
            <a:rPr lang="en-IN" b="1" baseline="0"/>
            <a:t> Distribution </a:t>
          </a:r>
          <a:endParaRPr lang="en-IN" sz="1100"/>
        </a:p>
      </xdr:txBody>
    </xdr:sp>
    <xdr:clientData/>
  </xdr:twoCellAnchor>
  <xdr:twoCellAnchor>
    <xdr:from>
      <xdr:col>13</xdr:col>
      <xdr:colOff>29307</xdr:colOff>
      <xdr:row>8</xdr:row>
      <xdr:rowOff>136770</xdr:rowOff>
    </xdr:from>
    <xdr:to>
      <xdr:col>14</xdr:col>
      <xdr:colOff>459154</xdr:colOff>
      <xdr:row>10</xdr:row>
      <xdr:rowOff>29308</xdr:rowOff>
    </xdr:to>
    <xdr:sp macro="" textlink="">
      <xdr:nvSpPr>
        <xdr:cNvPr id="40" name="TextBox 39">
          <a:extLst>
            <a:ext uri="{FF2B5EF4-FFF2-40B4-BE49-F238E27FC236}">
              <a16:creationId xmlns:a16="http://schemas.microsoft.com/office/drawing/2014/main" id="{8816141D-6094-9852-1194-7ECB0FB813A8}"/>
            </a:ext>
          </a:extLst>
        </xdr:cNvPr>
        <xdr:cNvSpPr txBox="1"/>
      </xdr:nvSpPr>
      <xdr:spPr>
        <a:xfrm>
          <a:off x="10365153" y="1621693"/>
          <a:ext cx="1035539" cy="26376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Property Area</a:t>
          </a:r>
        </a:p>
      </xdr:txBody>
    </xdr:sp>
    <xdr:clientData/>
  </xdr:twoCellAnchor>
  <xdr:twoCellAnchor>
    <xdr:from>
      <xdr:col>12</xdr:col>
      <xdr:colOff>586154</xdr:colOff>
      <xdr:row>19</xdr:row>
      <xdr:rowOff>97693</xdr:rowOff>
    </xdr:from>
    <xdr:to>
      <xdr:col>14</xdr:col>
      <xdr:colOff>371231</xdr:colOff>
      <xdr:row>20</xdr:row>
      <xdr:rowOff>166077</xdr:rowOff>
    </xdr:to>
    <xdr:sp macro="" textlink="">
      <xdr:nvSpPr>
        <xdr:cNvPr id="41" name="TextBox 40">
          <a:extLst>
            <a:ext uri="{FF2B5EF4-FFF2-40B4-BE49-F238E27FC236}">
              <a16:creationId xmlns:a16="http://schemas.microsoft.com/office/drawing/2014/main" id="{C10919E1-B505-06B5-D282-1BC47768BBCC}"/>
            </a:ext>
          </a:extLst>
        </xdr:cNvPr>
        <xdr:cNvSpPr txBox="1"/>
      </xdr:nvSpPr>
      <xdr:spPr>
        <a:xfrm>
          <a:off x="10316308" y="3624385"/>
          <a:ext cx="996461" cy="254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Education</a:t>
          </a:r>
        </a:p>
      </xdr:txBody>
    </xdr:sp>
    <xdr:clientData/>
  </xdr:twoCellAnchor>
  <xdr:twoCellAnchor>
    <xdr:from>
      <xdr:col>8</xdr:col>
      <xdr:colOff>498232</xdr:colOff>
      <xdr:row>9</xdr:row>
      <xdr:rowOff>29308</xdr:rowOff>
    </xdr:from>
    <xdr:to>
      <xdr:col>10</xdr:col>
      <xdr:colOff>508002</xdr:colOff>
      <xdr:row>10</xdr:row>
      <xdr:rowOff>126999</xdr:rowOff>
    </xdr:to>
    <xdr:sp macro="" textlink="">
      <xdr:nvSpPr>
        <xdr:cNvPr id="42" name="TextBox 41">
          <a:extLst>
            <a:ext uri="{FF2B5EF4-FFF2-40B4-BE49-F238E27FC236}">
              <a16:creationId xmlns:a16="http://schemas.microsoft.com/office/drawing/2014/main" id="{F3E10302-BCE6-91D5-7078-2EDAAB5EB3AC}"/>
            </a:ext>
          </a:extLst>
        </xdr:cNvPr>
        <xdr:cNvSpPr txBox="1"/>
      </xdr:nvSpPr>
      <xdr:spPr>
        <a:xfrm>
          <a:off x="7805617" y="1699846"/>
          <a:ext cx="1221154" cy="28330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Loan Purpose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0.38691</cdr:x>
      <cdr:y>0.13163</cdr:y>
    </cdr:to>
    <cdr:sp macro="" textlink="">
      <cdr:nvSpPr>
        <cdr:cNvPr id="3" name="TextBox 2">
          <a:extLst xmlns:a="http://schemas.openxmlformats.org/drawingml/2006/main">
            <a:ext uri="{FF2B5EF4-FFF2-40B4-BE49-F238E27FC236}">
              <a16:creationId xmlns:a16="http://schemas.microsoft.com/office/drawing/2014/main" id="{F69ED479-ABDF-FB66-BFD8-EC6425D06FC1}"/>
            </a:ext>
          </a:extLst>
        </cdr:cNvPr>
        <cdr:cNvSpPr txBox="1"/>
      </cdr:nvSpPr>
      <cdr:spPr>
        <a:xfrm xmlns:a="http://schemas.openxmlformats.org/drawingml/2006/main">
          <a:off x="0" y="0"/>
          <a:ext cx="1406769" cy="254000"/>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r>
            <a:rPr lang="en-IN" sz="1200" b="1"/>
            <a:t>Employment Type</a:t>
          </a:r>
          <a:endParaRPr lang="en-IN" sz="12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0.21812</cdr:x>
      <cdr:y>0.01048</cdr:y>
    </cdr:from>
    <cdr:to>
      <cdr:x>0.74114</cdr:x>
      <cdr:y>0.18238</cdr:y>
    </cdr:to>
    <cdr:sp macro="" textlink="">
      <cdr:nvSpPr>
        <cdr:cNvPr id="2" name="TextBox 1">
          <a:extLst xmlns:a="http://schemas.openxmlformats.org/drawingml/2006/main">
            <a:ext uri="{FF2B5EF4-FFF2-40B4-BE49-F238E27FC236}">
              <a16:creationId xmlns:a16="http://schemas.microsoft.com/office/drawing/2014/main" id="{16446AF8-26BC-46B4-12B3-C80380365D13}"/>
            </a:ext>
          </a:extLst>
        </cdr:cNvPr>
        <cdr:cNvSpPr txBox="1"/>
      </cdr:nvSpPr>
      <cdr:spPr>
        <a:xfrm xmlns:a="http://schemas.openxmlformats.org/drawingml/2006/main">
          <a:off x="818883" y="19663"/>
          <a:ext cx="1963615" cy="322384"/>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r>
            <a:rPr lang="en-IN" b="1"/>
            <a:t>Loan Term vs Loan Amount</a:t>
          </a:r>
          <a:endParaRPr lang="en-IN" sz="11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9</xdr:row>
      <xdr:rowOff>87630</xdr:rowOff>
    </xdr:from>
    <xdr:to>
      <xdr:col>2</xdr:col>
      <xdr:colOff>739140</xdr:colOff>
      <xdr:row>20</xdr:row>
      <xdr:rowOff>137160</xdr:rowOff>
    </xdr:to>
    <xdr:graphicFrame macro="">
      <xdr:nvGraphicFramePr>
        <xdr:cNvPr id="2" name="Chart 1">
          <a:extLst>
            <a:ext uri="{FF2B5EF4-FFF2-40B4-BE49-F238E27FC236}">
              <a16:creationId xmlns:a16="http://schemas.microsoft.com/office/drawing/2014/main" id="{DAF8352A-179D-F330-A9D7-BE7165BA1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609600</xdr:colOff>
      <xdr:row>24</xdr:row>
      <xdr:rowOff>148590</xdr:rowOff>
    </xdr:from>
    <xdr:to>
      <xdr:col>8</xdr:col>
      <xdr:colOff>381000</xdr:colOff>
      <xdr:row>34</xdr:row>
      <xdr:rowOff>99060</xdr:rowOff>
    </xdr:to>
    <xdr:graphicFrame macro="">
      <xdr:nvGraphicFramePr>
        <xdr:cNvPr id="3" name="Chart 2">
          <a:extLst>
            <a:ext uri="{FF2B5EF4-FFF2-40B4-BE49-F238E27FC236}">
              <a16:creationId xmlns:a16="http://schemas.microsoft.com/office/drawing/2014/main" id="{B3B9A746-010B-5FD8-AABF-2127D1D9F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1013460</xdr:colOff>
      <xdr:row>6</xdr:row>
      <xdr:rowOff>125730</xdr:rowOff>
    </xdr:from>
    <xdr:to>
      <xdr:col>8</xdr:col>
      <xdr:colOff>845820</xdr:colOff>
      <xdr:row>16</xdr:row>
      <xdr:rowOff>129540</xdr:rowOff>
    </xdr:to>
    <xdr:graphicFrame macro="">
      <xdr:nvGraphicFramePr>
        <xdr:cNvPr id="4" name="Chart 3">
          <a:extLst>
            <a:ext uri="{FF2B5EF4-FFF2-40B4-BE49-F238E27FC236}">
              <a16:creationId xmlns:a16="http://schemas.microsoft.com/office/drawing/2014/main" id="{86E7883D-4993-73F6-FD53-374E3ED26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2148840</xdr:colOff>
      <xdr:row>27</xdr:row>
      <xdr:rowOff>163830</xdr:rowOff>
    </xdr:from>
    <xdr:to>
      <xdr:col>5</xdr:col>
      <xdr:colOff>0</xdr:colOff>
      <xdr:row>39</xdr:row>
      <xdr:rowOff>76200</xdr:rowOff>
    </xdr:to>
    <xdr:graphicFrame macro="">
      <xdr:nvGraphicFramePr>
        <xdr:cNvPr id="5" name="Chart 4">
          <a:extLst>
            <a:ext uri="{FF2B5EF4-FFF2-40B4-BE49-F238E27FC236}">
              <a16:creationId xmlns:a16="http://schemas.microsoft.com/office/drawing/2014/main" id="{74FCD083-902B-519B-9A56-78BD61FC2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2125980</xdr:colOff>
      <xdr:row>8</xdr:row>
      <xdr:rowOff>3810</xdr:rowOff>
    </xdr:from>
    <xdr:to>
      <xdr:col>4</xdr:col>
      <xdr:colOff>2118360</xdr:colOff>
      <xdr:row>18</xdr:row>
      <xdr:rowOff>160020</xdr:rowOff>
    </xdr:to>
    <xdr:graphicFrame macro="">
      <xdr:nvGraphicFramePr>
        <xdr:cNvPr id="6" name="Chart 5">
          <a:extLst>
            <a:ext uri="{FF2B5EF4-FFF2-40B4-BE49-F238E27FC236}">
              <a16:creationId xmlns:a16="http://schemas.microsoft.com/office/drawing/2014/main" id="{968EFE30-118F-2378-A677-4AECA89A3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27</xdr:row>
      <xdr:rowOff>64770</xdr:rowOff>
    </xdr:from>
    <xdr:to>
      <xdr:col>2</xdr:col>
      <xdr:colOff>632460</xdr:colOff>
      <xdr:row>37</xdr:row>
      <xdr:rowOff>60960</xdr:rowOff>
    </xdr:to>
    <xdr:graphicFrame macro="">
      <xdr:nvGraphicFramePr>
        <xdr:cNvPr id="7" name="Chart 6">
          <a:extLst>
            <a:ext uri="{FF2B5EF4-FFF2-40B4-BE49-F238E27FC236}">
              <a16:creationId xmlns:a16="http://schemas.microsoft.com/office/drawing/2014/main" id="{8B63F155-E0EC-9C4E-BBDD-3CFE4AEDF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22860</xdr:colOff>
      <xdr:row>0</xdr:row>
      <xdr:rowOff>160020</xdr:rowOff>
    </xdr:from>
    <xdr:to>
      <xdr:col>18</xdr:col>
      <xdr:colOff>22861</xdr:colOff>
      <xdr:row>14</xdr:row>
      <xdr:rowOff>66675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5A8409B-74AD-AE38-ED78-790F36D698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771247" y="160020"/>
              <a:ext cx="1818969" cy="2430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586740</xdr:colOff>
      <xdr:row>14</xdr:row>
      <xdr:rowOff>175260</xdr:rowOff>
    </xdr:from>
    <xdr:to>
      <xdr:col>14</xdr:col>
      <xdr:colOff>586738</xdr:colOff>
      <xdr:row>28</xdr:row>
      <xdr:rowOff>81915</xdr:rowOff>
    </xdr:to>
    <mc:AlternateContent xmlns:mc="http://schemas.openxmlformats.org/markup-compatibility/2006" xmlns:a14="http://schemas.microsoft.com/office/drawing/2010/main">
      <mc:Choice Requires="a14">
        <xdr:graphicFrame macro="">
          <xdr:nvGraphicFramePr>
            <xdr:cNvPr id="9" name="Employment_Type">
              <a:extLst>
                <a:ext uri="{FF2B5EF4-FFF2-40B4-BE49-F238E27FC236}">
                  <a16:creationId xmlns:a16="http://schemas.microsoft.com/office/drawing/2014/main" id="{F2416938-63B8-09B0-BAB2-004311669654}"/>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2909837" y="2698873"/>
              <a:ext cx="1818966" cy="2430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1120140</xdr:colOff>
      <xdr:row>14</xdr:row>
      <xdr:rowOff>68580</xdr:rowOff>
    </xdr:from>
    <xdr:to>
      <xdr:col>11</xdr:col>
      <xdr:colOff>482182</xdr:colOff>
      <xdr:row>27</xdr:row>
      <xdr:rowOff>158115</xdr:rowOff>
    </xdr:to>
    <mc:AlternateContent xmlns:mc="http://schemas.openxmlformats.org/markup-compatibility/2006" xmlns:a14="http://schemas.microsoft.com/office/drawing/2010/main">
      <mc:Choice Requires="a14">
        <xdr:graphicFrame macro="">
          <xdr:nvGraphicFramePr>
            <xdr:cNvPr id="10" name="Loan_Purpose">
              <a:extLst>
                <a:ext uri="{FF2B5EF4-FFF2-40B4-BE49-F238E27FC236}">
                  <a16:creationId xmlns:a16="http://schemas.microsoft.com/office/drawing/2014/main" id="{7B431840-16C5-C648-0591-E089D5804983}"/>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1113647" y="2592193"/>
              <a:ext cx="1824129" cy="243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441960</xdr:colOff>
      <xdr:row>0</xdr:row>
      <xdr:rowOff>129540</xdr:rowOff>
    </xdr:from>
    <xdr:to>
      <xdr:col>14</xdr:col>
      <xdr:colOff>441958</xdr:colOff>
      <xdr:row>14</xdr:row>
      <xdr:rowOff>36195</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AD034A7C-8748-9F7D-64A6-829CACD6DF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765057" y="129540"/>
              <a:ext cx="1818966" cy="2430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1074420</xdr:colOff>
      <xdr:row>0</xdr:row>
      <xdr:rowOff>68580</xdr:rowOff>
    </xdr:from>
    <xdr:to>
      <xdr:col>11</xdr:col>
      <xdr:colOff>436462</xdr:colOff>
      <xdr:row>13</xdr:row>
      <xdr:rowOff>158115</xdr:rowOff>
    </xdr:to>
    <mc:AlternateContent xmlns:mc="http://schemas.openxmlformats.org/markup-compatibility/2006" xmlns:a14="http://schemas.microsoft.com/office/drawing/2010/main">
      <mc:Choice Requires="a14">
        <xdr:graphicFrame macro="">
          <xdr:nvGraphicFramePr>
            <xdr:cNvPr id="12" name="Property_Area">
              <a:extLst>
                <a:ext uri="{FF2B5EF4-FFF2-40B4-BE49-F238E27FC236}">
                  <a16:creationId xmlns:a16="http://schemas.microsoft.com/office/drawing/2014/main" id="{D46CF2FD-66DB-27CF-60B7-10320F4AF7E4}"/>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mlns="">
        <xdr:sp macro="" textlink="">
          <xdr:nvSpPr>
            <xdr:cNvPr id="0" name=""/>
            <xdr:cNvSpPr>
              <a:spLocks noTextEdit="1"/>
            </xdr:cNvSpPr>
          </xdr:nvSpPr>
          <xdr:spPr>
            <a:xfrm>
              <a:off x="11113647" y="68580"/>
              <a:ext cx="1824129" cy="243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835742</xdr:colOff>
      <xdr:row>45</xdr:row>
      <xdr:rowOff>4916</xdr:rowOff>
    </xdr:from>
    <xdr:to>
      <xdr:col>2</xdr:col>
      <xdr:colOff>2212258</xdr:colOff>
      <xdr:row>46</xdr:row>
      <xdr:rowOff>162232</xdr:rowOff>
    </xdr:to>
    <xdr:sp macro="" textlink="$C$44">
      <xdr:nvSpPr>
        <xdr:cNvPr id="13" name="Rectangle 12">
          <a:extLst>
            <a:ext uri="{FF2B5EF4-FFF2-40B4-BE49-F238E27FC236}">
              <a16:creationId xmlns:a16="http://schemas.microsoft.com/office/drawing/2014/main" id="{0EA355FD-3514-1E87-3155-0501E2744AEE}"/>
            </a:ext>
          </a:extLst>
        </xdr:cNvPr>
        <xdr:cNvSpPr/>
      </xdr:nvSpPr>
      <xdr:spPr>
        <a:xfrm>
          <a:off x="3524865" y="8190271"/>
          <a:ext cx="1376516" cy="339213"/>
        </a:xfrm>
        <a:prstGeom prst="rect">
          <a:avLst/>
        </a:prstGeom>
        <a:solidFill>
          <a:schemeClr val="bg1"/>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99061DD-A5B8-4110-A100-11327AED2FF4}" type="TxLink">
            <a:rPr lang="en-US" sz="1100" b="0" i="0" u="none" strike="noStrike">
              <a:solidFill>
                <a:srgbClr val="000000"/>
              </a:solidFill>
              <a:latin typeface="Calibri"/>
              <a:ea typeface="Calibri"/>
              <a:cs typeface="Calibri"/>
            </a:rPr>
            <a:pPr algn="l"/>
            <a:t>482</a:t>
          </a:fld>
          <a:endParaRPr lang="en-IN" sz="1100"/>
        </a:p>
      </xdr:txBody>
    </xdr:sp>
    <xdr:clientData/>
  </xdr:twoCellAnchor>
  <xdr:twoCellAnchor>
    <xdr:from>
      <xdr:col>4</xdr:col>
      <xdr:colOff>8194</xdr:colOff>
      <xdr:row>49</xdr:row>
      <xdr:rowOff>16387</xdr:rowOff>
    </xdr:from>
    <xdr:to>
      <xdr:col>4</xdr:col>
      <xdr:colOff>1343742</xdr:colOff>
      <xdr:row>51</xdr:row>
      <xdr:rowOff>32774</xdr:rowOff>
    </xdr:to>
    <xdr:sp macro="" textlink="$E$47">
      <xdr:nvSpPr>
        <xdr:cNvPr id="14" name="Rectangle 13">
          <a:extLst>
            <a:ext uri="{FF2B5EF4-FFF2-40B4-BE49-F238E27FC236}">
              <a16:creationId xmlns:a16="http://schemas.microsoft.com/office/drawing/2014/main" id="{9A72CCFE-B0F7-0322-5352-F3BC213B1431}"/>
            </a:ext>
          </a:extLst>
        </xdr:cNvPr>
        <xdr:cNvSpPr/>
      </xdr:nvSpPr>
      <xdr:spPr>
        <a:xfrm>
          <a:off x="5104581" y="8849032"/>
          <a:ext cx="1335548" cy="376903"/>
        </a:xfrm>
        <a:prstGeom prst="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759F866-3278-47CE-971A-F8DCB7EA4B5F}" type="TxLink">
            <a:rPr lang="en-US" sz="1100" b="0" i="0" u="none" strike="noStrike">
              <a:solidFill>
                <a:srgbClr val="000000"/>
              </a:solidFill>
              <a:latin typeface="Calibri"/>
              <a:ea typeface="Calibri"/>
              <a:cs typeface="Calibri"/>
            </a:rPr>
            <a:pPr algn="l"/>
            <a:t>476886761</a:t>
          </a:fld>
          <a:endParaRPr lang="en-IN" sz="1100"/>
        </a:p>
      </xdr:txBody>
    </xdr:sp>
    <xdr:clientData/>
  </xdr:twoCellAnchor>
  <xdr:twoCellAnchor>
    <xdr:from>
      <xdr:col>6</xdr:col>
      <xdr:colOff>213033</xdr:colOff>
      <xdr:row>47</xdr:row>
      <xdr:rowOff>24581</xdr:rowOff>
    </xdr:from>
    <xdr:to>
      <xdr:col>7</xdr:col>
      <xdr:colOff>16387</xdr:colOff>
      <xdr:row>49</xdr:row>
      <xdr:rowOff>131097</xdr:rowOff>
    </xdr:to>
    <xdr:sp macro="" textlink="$G$46">
      <xdr:nvSpPr>
        <xdr:cNvPr id="15" name="Rectangle 14">
          <a:extLst>
            <a:ext uri="{FF2B5EF4-FFF2-40B4-BE49-F238E27FC236}">
              <a16:creationId xmlns:a16="http://schemas.microsoft.com/office/drawing/2014/main" id="{20F296B3-BC95-1FCA-89E4-597C14C2370A}"/>
            </a:ext>
          </a:extLst>
        </xdr:cNvPr>
        <xdr:cNvSpPr/>
      </xdr:nvSpPr>
      <xdr:spPr>
        <a:xfrm>
          <a:off x="7824839" y="8496710"/>
          <a:ext cx="1286387" cy="467032"/>
        </a:xfrm>
        <a:prstGeom prst="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4E0EEB2-183D-4197-8F05-EF174C46F4F2}" type="TxLink">
            <a:rPr lang="en-US" sz="1100" b="0" i="0" u="none" strike="noStrike">
              <a:solidFill>
                <a:srgbClr val="000000"/>
              </a:solidFill>
              <a:latin typeface="Calibri"/>
              <a:ea typeface="Calibri"/>
              <a:cs typeface="Calibri"/>
            </a:rPr>
            <a:pPr algn="l"/>
            <a:t>605.6737288</a:t>
          </a:fld>
          <a:endParaRPr lang="en-IN" sz="1100"/>
        </a:p>
      </xdr:txBody>
    </xdr:sp>
    <xdr:clientData/>
  </xdr:twoCellAnchor>
  <xdr:twoCellAnchor>
    <xdr:from>
      <xdr:col>8</xdr:col>
      <xdr:colOff>8194</xdr:colOff>
      <xdr:row>47</xdr:row>
      <xdr:rowOff>163871</xdr:rowOff>
    </xdr:from>
    <xdr:to>
      <xdr:col>9</xdr:col>
      <xdr:colOff>16387</xdr:colOff>
      <xdr:row>50</xdr:row>
      <xdr:rowOff>57355</xdr:rowOff>
    </xdr:to>
    <xdr:sp macro="" textlink="$I$47">
      <xdr:nvSpPr>
        <xdr:cNvPr id="16" name="Rectangle 15">
          <a:extLst>
            <a:ext uri="{FF2B5EF4-FFF2-40B4-BE49-F238E27FC236}">
              <a16:creationId xmlns:a16="http://schemas.microsoft.com/office/drawing/2014/main" id="{8F52AA78-4508-75D5-5E04-DE9E18CBBFB9}"/>
            </a:ext>
          </a:extLst>
        </xdr:cNvPr>
        <xdr:cNvSpPr/>
      </xdr:nvSpPr>
      <xdr:spPr>
        <a:xfrm>
          <a:off x="10184581" y="8636000"/>
          <a:ext cx="942258" cy="434258"/>
        </a:xfrm>
        <a:prstGeom prst="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F80C18-4D2C-413B-9434-EDD687B36B51}" type="TxLink">
            <a:rPr lang="en-US" sz="1100" b="0" i="0" u="none" strike="noStrike">
              <a:solidFill>
                <a:srgbClr val="000000"/>
              </a:solidFill>
              <a:latin typeface="Calibri"/>
              <a:ea typeface="Calibri"/>
              <a:cs typeface="Calibri"/>
            </a:rPr>
            <a:pPr algn="l"/>
            <a:t>118</a:t>
          </a:fld>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7.94738553241" createdVersion="8" refreshedVersion="8" minRefreshableVersion="3" recordCount="1006" xr:uid="{82A3E029-7D65-4E8F-B571-93353FD22428}">
  <cacheSource type="worksheet">
    <worksheetSource ref="A1:O1007" sheet="BankLoan Dataset"/>
  </cacheSource>
  <cacheFields count="15">
    <cacheField name="Loan_ID" numFmtId="0">
      <sharedItems count="996">
        <s v="L100041"/>
        <s v="L100114"/>
        <s v="L100171"/>
        <s v="L100228"/>
        <s v="L100303"/>
        <s v="L100337"/>
        <s v="L100340"/>
        <s v="L100407"/>
        <s v="L100497"/>
        <s v="L100597"/>
        <s v="L100601"/>
        <s v="L100633"/>
        <s v="L100645"/>
        <s v="L100675"/>
        <s v="L100749"/>
        <s v="L100789"/>
        <s v="L100793"/>
        <s v="L100874"/>
        <s v="L100876"/>
        <s v="L100938"/>
        <s v="L100010"/>
        <s v="L100016"/>
        <s v="L100051"/>
        <s v="L100130"/>
        <s v="L100132"/>
        <s v="L100243"/>
        <s v="L100276"/>
        <s v="L100412"/>
        <s v="L100434"/>
        <s v="L100445"/>
        <s v="L100562"/>
        <s v="L100625"/>
        <s v="L100649"/>
        <s v="L100707"/>
        <s v="L100717"/>
        <s v="L100741"/>
        <s v="L100797"/>
        <s v="L100806"/>
        <s v="L100889"/>
        <s v="L100894"/>
        <s v="L100913"/>
        <s v="L100922"/>
        <s v="L100929"/>
        <s v="L100986"/>
        <s v="L100003"/>
        <s v="L100011"/>
        <s v="L100012"/>
        <s v="L100026"/>
        <s v="L100029"/>
        <s v="L100099"/>
        <s v="L100108"/>
        <s v="L100238"/>
        <s v="L100325"/>
        <s v="L100439"/>
        <s v="L100444"/>
        <s v="L100464"/>
        <s v="L100488"/>
        <s v="L100529"/>
        <s v="L100563"/>
        <s v="L100682"/>
        <s v="L100685"/>
        <s v="L100752"/>
        <s v="L100763"/>
        <s v="L100772"/>
        <s v="L100811"/>
        <s v="L100815"/>
        <s v="L100829"/>
        <s v="L100848"/>
        <s v="L100910"/>
        <s v="L100964"/>
        <s v="L100966"/>
        <s v="L100989"/>
        <s v="L100996"/>
        <s v="L100008"/>
        <s v="L100013"/>
        <s v="L100163"/>
        <s v="L100178"/>
        <s v="L100209"/>
        <s v="L100213"/>
        <s v="L100277"/>
        <s v="L100367"/>
        <s v="L100387"/>
        <s v="L100408"/>
        <s v="L100433"/>
        <s v="L100472"/>
        <s v="L100544"/>
        <s v="L100604"/>
        <s v="L100629"/>
        <s v="L100674"/>
        <s v="L100725"/>
        <s v="L100768"/>
        <s v="L100800"/>
        <s v="L100837"/>
        <s v="L100891"/>
        <s v="L100946"/>
        <s v="L100048"/>
        <s v="L100072"/>
        <s v="L100098"/>
        <s v="L100113"/>
        <s v="L100152"/>
        <s v="L100166"/>
        <s v="L100172"/>
        <s v="L100223"/>
        <s v="L100227"/>
        <s v="L100229"/>
        <s v="L100233"/>
        <s v="L100253"/>
        <s v="L100298"/>
        <s v="L100300"/>
        <s v="L100328"/>
        <s v="L100363"/>
        <s v="L100365"/>
        <s v="L100406"/>
        <s v="L100457"/>
        <s v="L100461"/>
        <s v="L100466"/>
        <s v="L100471"/>
        <s v="L100584"/>
        <s v="L100588"/>
        <s v="L100660"/>
        <s v="L100681"/>
        <s v="L100705"/>
        <s v="L100710"/>
        <s v="L100716"/>
        <s v="L100760"/>
        <s v="L100784"/>
        <s v="L100836"/>
        <s v="L100997"/>
        <s v="L100018"/>
        <s v="L100023"/>
        <s v="L100027"/>
        <s v="L100039"/>
        <s v="L100069"/>
        <s v="L100118"/>
        <s v="L100124"/>
        <s v="L100127"/>
        <s v="L100156"/>
        <s v="L100175"/>
        <s v="L100278"/>
        <s v="L100323"/>
        <s v="L100348"/>
        <s v="L100378"/>
        <s v="L100382"/>
        <s v="L100478"/>
        <s v="L100481"/>
        <s v="L100493"/>
        <s v="L100527"/>
        <s v="L100557"/>
        <s v="L100576"/>
        <s v="L100616"/>
        <s v="L100639"/>
        <s v="L100657"/>
        <s v="L100700"/>
        <s v="L100721"/>
        <s v="L100723"/>
        <s v="L100727"/>
        <s v="L100861"/>
        <s v="L100862"/>
        <s v="L100937"/>
        <s v="L100942"/>
        <s v="L100963"/>
        <s v="L100999"/>
        <s v="L100019"/>
        <s v="L100053"/>
        <s v="L100142"/>
        <s v="L100159"/>
        <s v="L100221"/>
        <s v="L100279"/>
        <s v="L100282"/>
        <s v="L100310"/>
        <s v="L100336"/>
        <s v="L100377"/>
        <s v="L100389"/>
        <s v="L100427"/>
        <s v="L100476"/>
        <s v="L100487"/>
        <s v="L100490"/>
        <s v="L100496"/>
        <s v="L100549"/>
        <s v="L100550"/>
        <s v="L100571"/>
        <s v="L100607"/>
        <s v="L100619"/>
        <s v="L100637"/>
        <s v="L100663"/>
        <s v="L100794"/>
        <s v="L100824"/>
        <s v="L100858"/>
        <s v="L100887"/>
        <s v="L100080"/>
        <s v="L100085"/>
        <s v="L100143"/>
        <s v="L100158"/>
        <s v="L100160"/>
        <s v="L100181"/>
        <s v="L100186"/>
        <s v="L100239"/>
        <s v="L100245"/>
        <s v="L100249"/>
        <s v="L100388"/>
        <s v="L100414"/>
        <s v="L100455"/>
        <s v="L100459"/>
        <s v="L100531"/>
        <s v="L100589"/>
        <s v="L100602"/>
        <s v="L100709"/>
        <s v="L100734"/>
        <s v="L100817"/>
        <s v="L100831"/>
        <s v="L100835"/>
        <s v="L100843"/>
        <s v="L100846"/>
        <s v="L100863"/>
        <s v="L100956"/>
        <s v="L100042"/>
        <s v="L100109"/>
        <s v="L100162"/>
        <s v="L100204"/>
        <s v="L100250"/>
        <s v="L100251"/>
        <s v="L100264"/>
        <s v="L100267"/>
        <s v="L100283"/>
        <s v="L100307"/>
        <s v="L100380"/>
        <s v="L100430"/>
        <s v="L100467"/>
        <s v="L100586"/>
        <s v="L100593"/>
        <s v="L100638"/>
        <s v="L100701"/>
        <s v="L100702"/>
        <s v="L100728"/>
        <s v="L100759"/>
        <s v="L100814"/>
        <s v="L100884"/>
        <s v="L100951"/>
        <s v="L101000"/>
        <s v="L100068"/>
        <s v="L100071"/>
        <s v="L100073"/>
        <s v="L100094"/>
        <s v="L100123"/>
        <s v="L100128"/>
        <s v="L100240"/>
        <s v="L100252"/>
        <s v="L100313"/>
        <s v="L100317"/>
        <s v="L100456"/>
        <s v="L100528"/>
        <s v="L100623"/>
        <s v="L100654"/>
        <s v="L100655"/>
        <s v="L100712"/>
        <s v="L100774"/>
        <s v="L100777"/>
        <s v="L100778"/>
        <s v="L100799"/>
        <s v="L100821"/>
        <s v="L100839"/>
        <s v="L100841"/>
        <s v="L100873"/>
        <s v="L100903"/>
        <s v="L100926"/>
        <s v="L100970"/>
        <s v="L100994"/>
        <s v="L100036"/>
        <s v="L100151"/>
        <s v="L100179"/>
        <s v="L100182"/>
        <s v="L100201"/>
        <s v="L100218"/>
        <s v="L100225"/>
        <s v="L100304"/>
        <s v="L100314"/>
        <s v="L100333"/>
        <s v="L100379"/>
        <s v="L100392"/>
        <s v="L100397"/>
        <s v="L100503"/>
        <s v="L100555"/>
        <s v="L100587"/>
        <s v="L100591"/>
        <s v="L100608"/>
        <s v="L100614"/>
        <s v="L100636"/>
        <s v="L100642"/>
        <s v="L100791"/>
        <s v="L100975"/>
        <s v="L100982"/>
        <s v="L100044"/>
        <s v="L100137"/>
        <s v="L100146"/>
        <s v="L100189"/>
        <s v="L100281"/>
        <s v="L100296"/>
        <s v="L100341"/>
        <s v="L100345"/>
        <s v="L100346"/>
        <s v="L100362"/>
        <s v="L100371"/>
        <s v="L100400"/>
        <s v="L100411"/>
        <s v="L100514"/>
        <s v="L100578"/>
        <s v="L100672"/>
        <s v="L100683"/>
        <s v="L100694"/>
        <s v="L100714"/>
        <s v="L100732"/>
        <s v="L100736"/>
        <s v="L100737"/>
        <s v="L100743"/>
        <s v="L100757"/>
        <s v="L100818"/>
        <s v="L100859"/>
        <s v="L100058"/>
        <s v="L100070"/>
        <s v="L100084"/>
        <s v="L100120"/>
        <s v="L100338"/>
        <s v="L100426"/>
        <s v="L100452"/>
        <s v="L100650"/>
        <s v="L100676"/>
        <s v="L100722"/>
        <s v="L100724"/>
        <s v="L100733"/>
        <s v="L100795"/>
        <s v="L100809"/>
        <s v="L100823"/>
        <s v="L100869"/>
        <s v="L100995"/>
        <s v="L100004"/>
        <s v="L100037"/>
        <s v="L100046"/>
        <s v="L100061"/>
        <s v="L100090"/>
        <s v="L100125"/>
        <s v="L100126"/>
        <s v="L100214"/>
        <s v="L100302"/>
        <s v="L100354"/>
        <s v="L100390"/>
        <s v="L100425"/>
        <s v="L100440"/>
        <s v="L100483"/>
        <s v="L100507"/>
        <s v="L100509"/>
        <s v="L100539"/>
        <s v="L100670"/>
        <s v="L100695"/>
        <s v="L100708"/>
        <s v="L100720"/>
        <s v="L100748"/>
        <s v="L100771"/>
        <s v="L100830"/>
        <s v="L100864"/>
        <s v="L100907"/>
        <s v="L100928"/>
        <s v="L100977"/>
        <s v="L100981"/>
        <s v="L100030"/>
        <s v="L100074"/>
        <s v="L100096"/>
        <s v="L100103"/>
        <s v="L100199"/>
        <s v="L100217"/>
        <s v="L100269"/>
        <s v="L100306"/>
        <s v="L100393"/>
        <s v="L100405"/>
        <s v="L100458"/>
        <s v="L100480"/>
        <s v="L100492"/>
        <s v="L100697"/>
        <s v="L100726"/>
        <s v="L100739"/>
        <s v="L100792"/>
        <s v="L100816"/>
        <s v="L100856"/>
        <s v="L100895"/>
        <s v="L100905"/>
        <s v="L100906"/>
        <s v="L100912"/>
        <s v="L100920"/>
        <s v="L100948"/>
        <s v="L100005"/>
        <s v="L100014"/>
        <s v="L100031"/>
        <s v="L100174"/>
        <s v="L100203"/>
        <s v="L100254"/>
        <s v="L100261"/>
        <s v="L100290"/>
        <s v="L100299"/>
        <s v="L100334"/>
        <s v="L100343"/>
        <s v="L100352"/>
        <s v="L100443"/>
        <s v="L100463"/>
        <s v="L100468"/>
        <s v="L100505"/>
        <s v="L100518"/>
        <s v="L100534"/>
        <s v="L100543"/>
        <s v="L100546"/>
        <s v="L100582"/>
        <s v="L100618"/>
        <s v="L100641"/>
        <s v="L100664"/>
        <s v="L100718"/>
        <s v="L100719"/>
        <s v="L100787"/>
        <s v="L100788"/>
        <s v="L100790"/>
        <s v="L100796"/>
        <s v="L100868"/>
        <s v="L100983"/>
        <s v="L100035"/>
        <s v="L100157"/>
        <s v="L100211"/>
        <s v="L100236"/>
        <s v="L100248"/>
        <s v="L100273"/>
        <s v="L100274"/>
        <s v="L100437"/>
        <s v="L100475"/>
        <s v="L100510"/>
        <s v="L100530"/>
        <s v="L100533"/>
        <s v="L100622"/>
        <s v="L100662"/>
        <s v="L100770"/>
        <s v="L100786"/>
        <s v="L100820"/>
        <s v="L100847"/>
        <s v="L100875"/>
        <s v="L100924"/>
        <s v="L100940"/>
        <s v="L100955"/>
        <s v="L100979"/>
        <s v="L100155"/>
        <s v="L100210"/>
        <s v="L100212"/>
        <s v="L100226"/>
        <s v="L100241"/>
        <s v="L100246"/>
        <s v="L100258"/>
        <s v="L100315"/>
        <s v="L100442"/>
        <s v="L100524"/>
        <s v="L100536"/>
        <s v="L100585"/>
        <s v="L100600"/>
        <s v="L100646"/>
        <s v="L100738"/>
        <s v="L100746"/>
        <s v="L100758"/>
        <s v="L100762"/>
        <s v="L100845"/>
        <s v="L100852"/>
        <s v="L100908"/>
        <s v="L100034"/>
        <s v="L100057"/>
        <s v="L100076"/>
        <s v="L100081"/>
        <s v="L100308"/>
        <s v="L100359"/>
        <s v="L100385"/>
        <s v="L100395"/>
        <s v="L100404"/>
        <s v="L100451"/>
        <s v="L100583"/>
        <s v="L100590"/>
        <s v="L100643"/>
        <s v="L100755"/>
        <s v="L100781"/>
        <s v="L100807"/>
        <s v="L100822"/>
        <s v="L100840"/>
        <s v="L100857"/>
        <s v="L100901"/>
        <s v="L100972"/>
        <s v="L100022"/>
        <s v="L100032"/>
        <s v="L100050"/>
        <s v="L100055"/>
        <s v="L100059"/>
        <s v="L100275"/>
        <s v="L100286"/>
        <s v="L100350"/>
        <s v="L100358"/>
        <s v="L100374"/>
        <s v="L100383"/>
        <s v="L100398"/>
        <s v="L100423"/>
        <s v="L100431"/>
        <s v="L100448"/>
        <s v="L100498"/>
        <s v="L100556"/>
        <s v="L100572"/>
        <s v="L100577"/>
        <s v="L100644"/>
        <s v="L100764"/>
        <s v="L100803"/>
        <s v="L100825"/>
        <s v="L100880"/>
        <s v="L100904"/>
        <s v="L100914"/>
        <s v="L100916"/>
        <s v="L100918"/>
        <s v="L100971"/>
        <s v="L100985"/>
        <s v="L100067"/>
        <s v="L100100"/>
        <s v="L100140"/>
        <s v="L100224"/>
        <s v="L100232"/>
        <s v="L100242"/>
        <s v="L100263"/>
        <s v="L100297"/>
        <s v="L100402"/>
        <s v="L100418"/>
        <s v="L100462"/>
        <s v="L100511"/>
        <s v="L100573"/>
        <s v="L100605"/>
        <s v="L100621"/>
        <s v="L100630"/>
        <s v="L100669"/>
        <s v="L100677"/>
        <s v="L100756"/>
        <s v="L100881"/>
        <s v="L100936"/>
        <s v="L100941"/>
        <s v="L100119"/>
        <s v="L100198"/>
        <s v="L100200"/>
        <s v="L100301"/>
        <s v="L100326"/>
        <s v="L100381"/>
        <s v="L100409"/>
        <s v="L100522"/>
        <s v="L100532"/>
        <s v="L100620"/>
        <s v="L100628"/>
        <s v="L100684"/>
        <s v="L100713"/>
        <s v="L100860"/>
        <s v="L100917"/>
        <s v="L100991"/>
        <s v="L100017"/>
        <s v="L100091"/>
        <s v="L100139"/>
        <s v="L100153"/>
        <s v="L100180"/>
        <s v="L100205"/>
        <s v="L100255"/>
        <s v="L100262"/>
        <s v="L100288"/>
        <s v="L100294"/>
        <s v="L100349"/>
        <s v="L100369"/>
        <s v="L100424"/>
        <s v="L100429"/>
        <s v="L100432"/>
        <s v="L100526"/>
        <s v="L100579"/>
        <s v="L100615"/>
        <s v="L100617"/>
        <s v="L100653"/>
        <s v="L100667"/>
        <s v="L100692"/>
        <s v="L100740"/>
        <s v="L100742"/>
        <s v="L100754"/>
        <s v="L100765"/>
        <s v="L100915"/>
        <s v="L100945"/>
        <s v="L100953"/>
        <s v="L100967"/>
        <s v="L100045"/>
        <s v="L100065"/>
        <s v="L100220"/>
        <s v="L100329"/>
        <s v="L100335"/>
        <s v="L100361"/>
        <s v="L100436"/>
        <s v="L100538"/>
        <s v="L100553"/>
        <s v="L100611"/>
        <s v="L100651"/>
        <s v="L100731"/>
        <s v="L100744"/>
        <s v="L100832"/>
        <s v="L100851"/>
        <s v="L100943"/>
        <s v="L100007"/>
        <s v="L100024"/>
        <s v="L100038"/>
        <s v="L100060"/>
        <s v="L100078"/>
        <s v="L100112"/>
        <s v="L100147"/>
        <s v="L100170"/>
        <s v="L100188"/>
        <s v="L100190"/>
        <s v="L100193"/>
        <s v="L100230"/>
        <s v="L100234"/>
        <s v="L100247"/>
        <s v="L100265"/>
        <s v="L100320"/>
        <s v="L100355"/>
        <s v="L100489"/>
        <s v="L100495"/>
        <s v="L100519"/>
        <s v="L100554"/>
        <s v="L100580"/>
        <s v="L100610"/>
        <s v="L100648"/>
        <s v="L100679"/>
        <s v="L100735"/>
        <s v="L100804"/>
        <s v="L100855"/>
        <s v="L100921"/>
        <s v="L100931"/>
        <s v="L100939"/>
        <s v="L100083"/>
        <s v="L100093"/>
        <s v="L100150"/>
        <s v="L100161"/>
        <s v="L100321"/>
        <s v="L100391"/>
        <s v="L100474"/>
        <s v="L100502"/>
        <s v="L100516"/>
        <s v="L100558"/>
        <s v="L100599"/>
        <s v="L100609"/>
        <s v="L100688"/>
        <s v="L100753"/>
        <s v="L100773"/>
        <s v="L100877"/>
        <s v="L100919"/>
        <s v="L100957"/>
        <s v="L100002"/>
        <s v="L100025"/>
        <s v="L100095"/>
        <s v="L100111"/>
        <s v="L100116"/>
        <s v="L100129"/>
        <s v="L100145"/>
        <s v="L100148"/>
        <s v="L100168"/>
        <s v="L100177"/>
        <s v="L100185"/>
        <s v="L100207"/>
        <s v="L100270"/>
        <s v="L100316"/>
        <s v="L100342"/>
        <s v="L100394"/>
        <s v="L100494"/>
        <s v="L100535"/>
        <s v="L100581"/>
        <s v="L100613"/>
        <s v="L100640"/>
        <s v="L100687"/>
        <s v="L100704"/>
        <s v="L100779"/>
        <s v="L100798"/>
        <s v="L100866"/>
        <s v="L100883"/>
        <s v="L100900"/>
        <s v="L100976"/>
        <s v="L100990"/>
        <s v="L100006"/>
        <s v="L100009"/>
        <s v="L100020"/>
        <s v="L100040"/>
        <s v="L100063"/>
        <s v="L100064"/>
        <s v="L100115"/>
        <s v="L100135"/>
        <s v="L100208"/>
        <s v="L100216"/>
        <s v="L100284"/>
        <s v="L100396"/>
        <s v="L100446"/>
        <s v="L100460"/>
        <s v="L100517"/>
        <s v="L100671"/>
        <s v="L100689"/>
        <s v="L100691"/>
        <s v="L100776"/>
        <s v="L100813"/>
        <s v="L100952"/>
        <s v="L100961"/>
        <s v="L100984"/>
        <s v="L100988"/>
        <s v="L100141"/>
        <s v="L100280"/>
        <s v="L100292"/>
        <s v="L100312"/>
        <s v="L100386"/>
        <s v="L100421"/>
        <s v="L100449"/>
        <s v="L100473"/>
        <s v="L100477"/>
        <s v="L100512"/>
        <s v="L100537"/>
        <s v="L100678"/>
        <s v="L100751"/>
        <s v="L100769"/>
        <s v="L100833"/>
        <s v="L100882"/>
        <s v="L100911"/>
        <s v="L100962"/>
        <s v="L100987"/>
        <s v="L100086"/>
        <s v="L100134"/>
        <s v="L100169"/>
        <s v="L100176"/>
        <s v="L100183"/>
        <s v="L100196"/>
        <s v="L100219"/>
        <s v="L100235"/>
        <s v="L100268"/>
        <s v="L100295"/>
        <s v="L100318"/>
        <s v="L100401"/>
        <s v="L100416"/>
        <s v="L100453"/>
        <s v="L100479"/>
        <s v="L100634"/>
        <s v="L100698"/>
        <s v="L100711"/>
        <s v="L100766"/>
        <s v="L100780"/>
        <s v="L100801"/>
        <s v="L100854"/>
        <s v="L100865"/>
        <s v="L100879"/>
        <s v="L100897"/>
        <s v="L100923"/>
        <s v="L100930"/>
        <s v="L100933"/>
        <s v="L100965"/>
        <s v="L100028"/>
        <s v="L100122"/>
        <s v="L100195"/>
        <s v="L100215"/>
        <s v="L100257"/>
        <s v="L100287"/>
        <s v="L100376"/>
        <s v="L100420"/>
        <s v="L100441"/>
        <s v="L100482"/>
        <s v="L100560"/>
        <s v="L100598"/>
        <s v="L100635"/>
        <s v="L100668"/>
        <s v="L100673"/>
        <s v="L100690"/>
        <s v="L100808"/>
        <s v="L100827"/>
        <s v="L100838"/>
        <s v="L100899"/>
        <s v="L100954"/>
        <s v="L100993"/>
        <s v="L100062"/>
        <s v="L100089"/>
        <s v="L100138"/>
        <s v="L100271"/>
        <s v="L100360"/>
        <s v="L100373"/>
        <s v="L100403"/>
        <s v="L100410"/>
        <s v="L100413"/>
        <s v="L100547"/>
        <s v="L100561"/>
        <s v="L100564"/>
        <s v="L100570"/>
        <s v="L100775"/>
        <s v="L100950"/>
        <s v="L100052"/>
        <s v="L100164"/>
        <s v="L100187"/>
        <s v="L100330"/>
        <s v="L100356"/>
        <s v="L100417"/>
        <s v="L100419"/>
        <s v="L100470"/>
        <s v="L100485"/>
        <s v="L100501"/>
        <s v="L100521"/>
        <s v="L100540"/>
        <s v="L100551"/>
        <s v="L100693"/>
        <s v="L100850"/>
        <s v="L100878"/>
        <s v="L100885"/>
        <s v="L100890"/>
        <s v="L100925"/>
        <s v="L100934"/>
        <s v="L100959"/>
        <s v="L100978"/>
        <s v="L100066"/>
        <s v="L100092"/>
        <s v="L100121"/>
        <s v="L100197"/>
        <s v="L100206"/>
        <s v="L100259"/>
        <s v="L100289"/>
        <s v="L100450"/>
        <s v="L100469"/>
        <s v="L100523"/>
        <s v="L100548"/>
        <s v="L100565"/>
        <s v="L100567"/>
        <s v="L100569"/>
        <s v="L100574"/>
        <s v="L100575"/>
        <s v="L100595"/>
        <s v="L100647"/>
        <s v="L100661"/>
        <s v="L100699"/>
        <s v="L100767"/>
        <s v="L100782"/>
        <s v="L100785"/>
        <s v="L100810"/>
        <s v="L100834"/>
        <s v="L100853"/>
        <s v="L100949"/>
        <s v="L100968"/>
        <s v="L100974"/>
        <s v="L100079"/>
        <s v="L100107"/>
        <s v="L100117"/>
        <s v="L100173"/>
        <s v="L100194"/>
        <s v="L100260"/>
        <s v="L100293"/>
        <s v="L100322"/>
        <s v="L100357"/>
        <s v="L100364"/>
        <s v="L100370"/>
        <s v="L100422"/>
        <s v="L100435"/>
        <s v="L100438"/>
        <s v="L100499"/>
        <s v="L100559"/>
        <s v="L100568"/>
        <s v="L100594"/>
        <s v="L100706"/>
        <s v="L100783"/>
        <s v="L100893"/>
        <s v="L100935"/>
        <s v="L100958"/>
        <s v="L100980"/>
        <s v="L100033"/>
        <s v="L100054"/>
        <s v="L100105"/>
        <s v="L100184"/>
        <s v="L100202"/>
        <s v="L100231"/>
        <s v="L100484"/>
        <s v="L100486"/>
        <s v="L100525"/>
        <s v="L100680"/>
        <s v="L100870"/>
        <s v="L100888"/>
        <s v="L100898"/>
        <s v="L100992"/>
        <s v="L100047"/>
        <s v="L100087"/>
        <s v="L100104"/>
        <s v="L100106"/>
        <s v="L100136"/>
        <s v="L100144"/>
        <s v="L100191"/>
        <s v="L100256"/>
        <s v="L100353"/>
        <s v="L100372"/>
        <s v="L100500"/>
        <s v="L100545"/>
        <s v="L100603"/>
        <s v="L100624"/>
        <s v="L100627"/>
        <s v="L100631"/>
        <s v="L100656"/>
        <s v="L100659"/>
        <s v="L100666"/>
        <s v="L100745"/>
        <s v="L100805"/>
        <s v="L100826"/>
        <s v="L100849"/>
        <s v="L100871"/>
        <s v="L100886"/>
        <s v="L100909"/>
        <s v="L100015"/>
        <s v="L100021"/>
        <s v="L100043"/>
        <s v="L100049"/>
        <s v="L100056"/>
        <s v="L100082"/>
        <s v="L100097"/>
        <s v="L100101"/>
        <s v="L100110"/>
        <s v="L100131"/>
        <s v="L100133"/>
        <s v="L100154"/>
        <s v="L100192"/>
        <s v="L100237"/>
        <s v="L100266"/>
        <s v="L100272"/>
        <s v="L100285"/>
        <s v="L100319"/>
        <s v="L100332"/>
        <s v="L100351"/>
        <s v="L100366"/>
        <s v="L100465"/>
        <s v="L100508"/>
        <s v="L100552"/>
        <s v="L100592"/>
        <s v="L100596"/>
        <s v="L100606"/>
        <s v="L100626"/>
        <s v="L100632"/>
        <s v="L100652"/>
        <s v="L100658"/>
        <s v="L100696"/>
        <s v="L100730"/>
        <s v="L100819"/>
        <s v="L100828"/>
        <s v="L100892"/>
        <s v="L100932"/>
        <s v="L100960"/>
        <s v="L101001"/>
        <s v="L100102"/>
        <s v="L100167"/>
        <s v="L100222"/>
        <s v="L100244"/>
        <s v="L100291"/>
        <s v="L100311"/>
        <s v="L100327"/>
        <s v="L100344"/>
        <s v="L100415"/>
        <s v="L100454"/>
        <s v="L100491"/>
        <s v="L100506"/>
        <s v="L100513"/>
        <s v="L100541"/>
        <s v="L100542"/>
        <s v="L100612"/>
        <s v="L100703"/>
        <s v="L100715"/>
        <s v="L100747"/>
        <s v="L100802"/>
        <s v="L100867"/>
        <s v="L100896"/>
        <s v="L100944"/>
        <s v="L100947"/>
        <s v="L100969"/>
        <s v="L100973"/>
        <s v="L100998"/>
        <s v="L100075"/>
        <s v="L100077"/>
        <s v="L100088"/>
        <s v="L100149"/>
        <s v="L100165"/>
        <s v="L100305"/>
        <s v="L100309"/>
        <s v="L100324"/>
        <s v="L100331"/>
        <s v="L100339"/>
        <s v="L100347"/>
        <s v="L100368"/>
        <s v="L100375"/>
        <s v="L100384"/>
        <s v="L100399"/>
        <s v="L100428"/>
        <s v="L100447"/>
        <s v="L100504"/>
        <s v="L100515"/>
        <s v="L100520"/>
        <s v="L100566"/>
        <s v="L100665"/>
        <s v="L100686"/>
        <s v="L100729"/>
        <s v="L100750"/>
        <s v="L100761"/>
        <s v="L100812"/>
        <s v="L100842"/>
      </sharedItems>
    </cacheField>
    <cacheField name="Age" numFmtId="0">
      <sharedItems containsSemiMixedTypes="0" containsString="0" containsNumber="1" containsInteger="1" minValue="21" maxValue="60"/>
    </cacheField>
    <cacheField name="Gender" numFmtId="0">
      <sharedItems count="3">
        <s v="Male"/>
        <s v="Female"/>
        <s v="Unknown"/>
      </sharedItems>
    </cacheField>
    <cacheField name="Annual_Income" numFmtId="0">
      <sharedItems containsSemiMixedTypes="0" containsString="0" containsNumber="1" containsInteger="1" minValue="205067" maxValue="1493082"/>
    </cacheField>
    <cacheField name="Employment_Type" numFmtId="0">
      <sharedItems count="2">
        <s v="Salaried"/>
        <s v="Self-Employed"/>
      </sharedItems>
    </cacheField>
    <cacheField name="Credit_Score" numFmtId="0">
      <sharedItems containsString="0" containsBlank="1" containsNumber="1" containsInteger="1" minValue="300" maxValue="900"/>
    </cacheField>
    <cacheField name="Loan_Amount" numFmtId="0">
      <sharedItems containsSemiMixedTypes="0" containsString="0" containsNumber="1" containsInteger="1" minValue="51049" maxValue="1981105"/>
    </cacheField>
    <cacheField name="Interest_Rate" numFmtId="0">
      <sharedItems containsSemiMixedTypes="0" containsString="0" containsNumber="1" minValue="7.5" maxValue="16.47"/>
    </cacheField>
    <cacheField name="Loan_Term" numFmtId="0">
      <sharedItems containsSemiMixedTypes="0" containsString="0" containsNumber="1" containsInteger="1" minValue="12" maxValue="60" count="5">
        <n v="48"/>
        <n v="24"/>
        <n v="36"/>
        <n v="12"/>
        <n v="60"/>
      </sharedItems>
    </cacheField>
    <cacheField name="Existing_Debt" numFmtId="0">
      <sharedItems containsSemiMixedTypes="0" containsString="0" containsNumber="1" containsInteger="1" minValue="771" maxValue="498206"/>
    </cacheField>
    <cacheField name="Loan_Purpose" numFmtId="0">
      <sharedItems count="5">
        <s v="Personal"/>
        <s v="Education"/>
        <s v="Business"/>
        <s v="Home"/>
        <s v="Car"/>
      </sharedItems>
    </cacheField>
    <cacheField name="Education" numFmtId="0">
      <sharedItems count="2">
        <s v="Non-Graduate"/>
        <s v="Graduate"/>
      </sharedItems>
    </cacheField>
    <cacheField name="Marital_Status" numFmtId="0">
      <sharedItems/>
    </cacheField>
    <cacheField name="Property_Area" numFmtId="0">
      <sharedItems count="3">
        <s v="Rural"/>
        <s v="Urban"/>
        <s v="Semiurban"/>
      </sharedItems>
    </cacheField>
    <cacheField name="Defaul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055463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6">
  <r>
    <x v="0"/>
    <n v="21"/>
    <x v="0"/>
    <n v="941500"/>
    <x v="0"/>
    <n v="621"/>
    <n v="51049"/>
    <n v="12.02"/>
    <x v="0"/>
    <n v="771"/>
    <x v="0"/>
    <x v="0"/>
    <s v="Single"/>
    <x v="0"/>
    <n v="0"/>
  </r>
  <r>
    <x v="1"/>
    <n v="21"/>
    <x v="1"/>
    <n v="205067"/>
    <x v="1"/>
    <n v="374"/>
    <n v="54154"/>
    <n v="13.43"/>
    <x v="1"/>
    <n v="877"/>
    <x v="1"/>
    <x v="0"/>
    <s v="Single"/>
    <x v="0"/>
    <n v="0"/>
  </r>
  <r>
    <x v="2"/>
    <n v="21"/>
    <x v="1"/>
    <n v="206933"/>
    <x v="0"/>
    <n v="595"/>
    <n v="54383"/>
    <n v="13"/>
    <x v="0"/>
    <n v="1305"/>
    <x v="1"/>
    <x v="0"/>
    <s v="Single"/>
    <x v="0"/>
    <n v="0"/>
  </r>
  <r>
    <x v="3"/>
    <n v="21"/>
    <x v="0"/>
    <n v="206958"/>
    <x v="1"/>
    <n v="714"/>
    <n v="56033"/>
    <n v="12.18"/>
    <x v="2"/>
    <n v="1391"/>
    <x v="2"/>
    <x v="0"/>
    <s v="Single"/>
    <x v="0"/>
    <n v="0"/>
  </r>
  <r>
    <x v="4"/>
    <n v="21"/>
    <x v="0"/>
    <n v="208649"/>
    <x v="0"/>
    <n v="581"/>
    <n v="56505"/>
    <n v="11.27"/>
    <x v="1"/>
    <n v="1393"/>
    <x v="3"/>
    <x v="1"/>
    <s v="Married"/>
    <x v="1"/>
    <n v="0"/>
  </r>
  <r>
    <x v="5"/>
    <n v="21"/>
    <x v="1"/>
    <n v="210902"/>
    <x v="1"/>
    <n v="407"/>
    <n v="58724"/>
    <n v="11.31"/>
    <x v="0"/>
    <n v="1627"/>
    <x v="0"/>
    <x v="0"/>
    <s v="Single"/>
    <x v="0"/>
    <n v="0"/>
  </r>
  <r>
    <x v="6"/>
    <n v="21"/>
    <x v="0"/>
    <n v="212270"/>
    <x v="0"/>
    <n v="659"/>
    <n v="60496"/>
    <n v="9.14"/>
    <x v="1"/>
    <n v="2077"/>
    <x v="4"/>
    <x v="0"/>
    <s v="Married"/>
    <x v="0"/>
    <n v="0"/>
  </r>
  <r>
    <x v="7"/>
    <n v="21"/>
    <x v="0"/>
    <n v="213131"/>
    <x v="1"/>
    <n v="667"/>
    <n v="60930"/>
    <n v="13.94"/>
    <x v="1"/>
    <n v="3010"/>
    <x v="3"/>
    <x v="0"/>
    <s v="Married"/>
    <x v="2"/>
    <n v="0"/>
  </r>
  <r>
    <x v="8"/>
    <n v="21"/>
    <x v="0"/>
    <n v="214687"/>
    <x v="1"/>
    <n v="352"/>
    <n v="61524"/>
    <n v="12.27"/>
    <x v="2"/>
    <n v="3022"/>
    <x v="1"/>
    <x v="0"/>
    <s v="Single"/>
    <x v="1"/>
    <n v="0"/>
  </r>
  <r>
    <x v="9"/>
    <n v="21"/>
    <x v="1"/>
    <n v="215548"/>
    <x v="1"/>
    <n v="609"/>
    <n v="63438"/>
    <n v="10"/>
    <x v="3"/>
    <n v="3422"/>
    <x v="1"/>
    <x v="1"/>
    <s v="Married"/>
    <x v="1"/>
    <n v="1"/>
  </r>
  <r>
    <x v="10"/>
    <n v="21"/>
    <x v="0"/>
    <n v="216878"/>
    <x v="0"/>
    <n v="713"/>
    <n v="66708"/>
    <n v="15.07"/>
    <x v="2"/>
    <n v="3540"/>
    <x v="0"/>
    <x v="1"/>
    <s v="Married"/>
    <x v="0"/>
    <n v="0"/>
  </r>
  <r>
    <x v="11"/>
    <n v="21"/>
    <x v="0"/>
    <n v="218475"/>
    <x v="1"/>
    <n v="844"/>
    <n v="67180"/>
    <n v="8.6300000000000008"/>
    <x v="0"/>
    <n v="3925"/>
    <x v="1"/>
    <x v="0"/>
    <s v="Married"/>
    <x v="2"/>
    <n v="0"/>
  </r>
  <r>
    <x v="12"/>
    <n v="21"/>
    <x v="0"/>
    <n v="218657"/>
    <x v="0"/>
    <n v="717"/>
    <n v="67371"/>
    <n v="7.57"/>
    <x v="3"/>
    <n v="3939"/>
    <x v="4"/>
    <x v="0"/>
    <s v="Married"/>
    <x v="0"/>
    <n v="0"/>
  </r>
  <r>
    <x v="13"/>
    <n v="21"/>
    <x v="0"/>
    <n v="222374"/>
    <x v="0"/>
    <n v="401"/>
    <n v="67668"/>
    <n v="10.29"/>
    <x v="4"/>
    <n v="4133"/>
    <x v="0"/>
    <x v="0"/>
    <s v="Single"/>
    <x v="2"/>
    <n v="0"/>
  </r>
  <r>
    <x v="14"/>
    <n v="21"/>
    <x v="0"/>
    <n v="223885"/>
    <x v="1"/>
    <n v="769"/>
    <n v="71187"/>
    <n v="7.95"/>
    <x v="2"/>
    <n v="5146"/>
    <x v="2"/>
    <x v="1"/>
    <s v="Married"/>
    <x v="2"/>
    <n v="0"/>
  </r>
  <r>
    <x v="15"/>
    <n v="21"/>
    <x v="1"/>
    <n v="224282"/>
    <x v="0"/>
    <n v="543"/>
    <n v="71777"/>
    <n v="15.02"/>
    <x v="1"/>
    <n v="5146"/>
    <x v="0"/>
    <x v="1"/>
    <s v="Single"/>
    <x v="2"/>
    <n v="0"/>
  </r>
  <r>
    <x v="16"/>
    <n v="21"/>
    <x v="0"/>
    <n v="225227"/>
    <x v="0"/>
    <n v="605"/>
    <n v="72705"/>
    <n v="13.93"/>
    <x v="3"/>
    <n v="5226"/>
    <x v="1"/>
    <x v="0"/>
    <s v="Single"/>
    <x v="2"/>
    <n v="0"/>
  </r>
  <r>
    <x v="17"/>
    <n v="21"/>
    <x v="0"/>
    <n v="225358"/>
    <x v="1"/>
    <n v="748"/>
    <n v="75012"/>
    <n v="10.66"/>
    <x v="1"/>
    <n v="5291"/>
    <x v="4"/>
    <x v="1"/>
    <s v="Married"/>
    <x v="0"/>
    <n v="1"/>
  </r>
  <r>
    <x v="18"/>
    <n v="21"/>
    <x v="1"/>
    <n v="225726"/>
    <x v="1"/>
    <n v="357"/>
    <n v="75110"/>
    <n v="10.84"/>
    <x v="4"/>
    <n v="5488"/>
    <x v="1"/>
    <x v="1"/>
    <s v="Single"/>
    <x v="1"/>
    <n v="1"/>
  </r>
  <r>
    <x v="19"/>
    <n v="21"/>
    <x v="0"/>
    <n v="227212"/>
    <x v="0"/>
    <n v="838"/>
    <n v="75759"/>
    <n v="13.57"/>
    <x v="4"/>
    <n v="5647"/>
    <x v="0"/>
    <x v="1"/>
    <s v="Married"/>
    <x v="1"/>
    <n v="0"/>
  </r>
  <r>
    <x v="20"/>
    <n v="22"/>
    <x v="2"/>
    <n v="229742"/>
    <x v="1"/>
    <n v="626"/>
    <n v="77242"/>
    <n v="10.66"/>
    <x v="2"/>
    <n v="5867"/>
    <x v="3"/>
    <x v="1"/>
    <s v="Single"/>
    <x v="1"/>
    <n v="1"/>
  </r>
  <r>
    <x v="21"/>
    <n v="22"/>
    <x v="1"/>
    <n v="229897"/>
    <x v="1"/>
    <n v="609"/>
    <n v="81209"/>
    <n v="15.69"/>
    <x v="2"/>
    <n v="6096"/>
    <x v="3"/>
    <x v="1"/>
    <s v="Married"/>
    <x v="2"/>
    <n v="1"/>
  </r>
  <r>
    <x v="22"/>
    <n v="22"/>
    <x v="1"/>
    <n v="230173"/>
    <x v="0"/>
    <n v="315"/>
    <n v="81671"/>
    <n v="12.75"/>
    <x v="0"/>
    <n v="6134"/>
    <x v="4"/>
    <x v="0"/>
    <s v="Married"/>
    <x v="1"/>
    <n v="0"/>
  </r>
  <r>
    <x v="23"/>
    <n v="22"/>
    <x v="0"/>
    <n v="230858"/>
    <x v="0"/>
    <n v="500"/>
    <n v="82523"/>
    <n v="12.9"/>
    <x v="1"/>
    <n v="6416"/>
    <x v="0"/>
    <x v="0"/>
    <s v="Married"/>
    <x v="1"/>
    <n v="1"/>
  </r>
  <r>
    <x v="24"/>
    <n v="22"/>
    <x v="1"/>
    <n v="232045"/>
    <x v="1"/>
    <n v="368"/>
    <n v="82523"/>
    <n v="7.67"/>
    <x v="0"/>
    <n v="6491"/>
    <x v="3"/>
    <x v="0"/>
    <s v="Married"/>
    <x v="1"/>
    <n v="0"/>
  </r>
  <r>
    <x v="25"/>
    <n v="22"/>
    <x v="1"/>
    <n v="232405"/>
    <x v="1"/>
    <n v="386"/>
    <n v="85162"/>
    <n v="7.99"/>
    <x v="0"/>
    <n v="7948"/>
    <x v="1"/>
    <x v="0"/>
    <s v="Single"/>
    <x v="0"/>
    <n v="0"/>
  </r>
  <r>
    <x v="26"/>
    <n v="22"/>
    <x v="0"/>
    <n v="232820"/>
    <x v="0"/>
    <n v="696"/>
    <n v="89069"/>
    <n v="12.42"/>
    <x v="3"/>
    <n v="8166"/>
    <x v="0"/>
    <x v="0"/>
    <s v="Married"/>
    <x v="2"/>
    <n v="0"/>
  </r>
  <r>
    <x v="27"/>
    <n v="22"/>
    <x v="0"/>
    <n v="232820"/>
    <x v="1"/>
    <n v="462"/>
    <n v="91969"/>
    <n v="16.36"/>
    <x v="3"/>
    <n v="8948"/>
    <x v="4"/>
    <x v="1"/>
    <s v="Married"/>
    <x v="2"/>
    <n v="0"/>
  </r>
  <r>
    <x v="28"/>
    <n v="22"/>
    <x v="1"/>
    <n v="235290"/>
    <x v="1"/>
    <n v="574"/>
    <n v="92119"/>
    <n v="13.87"/>
    <x v="4"/>
    <n v="9274"/>
    <x v="4"/>
    <x v="0"/>
    <s v="Married"/>
    <x v="1"/>
    <n v="0"/>
  </r>
  <r>
    <x v="29"/>
    <n v="22"/>
    <x v="0"/>
    <n v="238403"/>
    <x v="1"/>
    <n v="824"/>
    <n v="93355"/>
    <n v="10.43"/>
    <x v="3"/>
    <n v="9709"/>
    <x v="3"/>
    <x v="0"/>
    <s v="Single"/>
    <x v="0"/>
    <n v="1"/>
  </r>
  <r>
    <x v="30"/>
    <n v="22"/>
    <x v="0"/>
    <n v="239655"/>
    <x v="0"/>
    <n v="628"/>
    <n v="98660"/>
    <n v="11.29"/>
    <x v="4"/>
    <n v="10461"/>
    <x v="2"/>
    <x v="0"/>
    <s v="Single"/>
    <x v="2"/>
    <n v="0"/>
  </r>
  <r>
    <x v="31"/>
    <n v="22"/>
    <x v="1"/>
    <n v="241395"/>
    <x v="0"/>
    <m/>
    <n v="105639"/>
    <n v="16.25"/>
    <x v="3"/>
    <n v="10618"/>
    <x v="0"/>
    <x v="0"/>
    <s v="Married"/>
    <x v="1"/>
    <n v="0"/>
  </r>
  <r>
    <x v="32"/>
    <n v="22"/>
    <x v="1"/>
    <n v="242279"/>
    <x v="1"/>
    <n v="477"/>
    <n v="105904"/>
    <n v="7.76"/>
    <x v="3"/>
    <n v="11400"/>
    <x v="4"/>
    <x v="1"/>
    <s v="Single"/>
    <x v="1"/>
    <n v="1"/>
  </r>
  <r>
    <x v="33"/>
    <n v="22"/>
    <x v="1"/>
    <n v="243400"/>
    <x v="0"/>
    <n v="574"/>
    <n v="107196"/>
    <n v="8.42"/>
    <x v="2"/>
    <n v="12585"/>
    <x v="0"/>
    <x v="0"/>
    <s v="Married"/>
    <x v="1"/>
    <n v="0"/>
  </r>
  <r>
    <x v="34"/>
    <n v="22"/>
    <x v="1"/>
    <n v="244364"/>
    <x v="0"/>
    <m/>
    <n v="107580"/>
    <n v="13.95"/>
    <x v="2"/>
    <n v="12957"/>
    <x v="3"/>
    <x v="0"/>
    <s v="Single"/>
    <x v="0"/>
    <n v="0"/>
  </r>
  <r>
    <x v="35"/>
    <n v="22"/>
    <x v="0"/>
    <n v="246240"/>
    <x v="1"/>
    <n v="849"/>
    <n v="108074"/>
    <n v="12.36"/>
    <x v="0"/>
    <n v="13628"/>
    <x v="3"/>
    <x v="1"/>
    <s v="Single"/>
    <x v="2"/>
    <n v="0"/>
  </r>
  <r>
    <x v="36"/>
    <n v="22"/>
    <x v="1"/>
    <n v="246818"/>
    <x v="0"/>
    <n v="479"/>
    <n v="108566"/>
    <n v="10.45"/>
    <x v="4"/>
    <n v="13770"/>
    <x v="4"/>
    <x v="1"/>
    <s v="Married"/>
    <x v="2"/>
    <n v="1"/>
  </r>
  <r>
    <x v="37"/>
    <n v="22"/>
    <x v="0"/>
    <n v="247144"/>
    <x v="0"/>
    <n v="649"/>
    <n v="110020"/>
    <n v="11.59"/>
    <x v="2"/>
    <n v="13850"/>
    <x v="1"/>
    <x v="1"/>
    <s v="Single"/>
    <x v="1"/>
    <n v="1"/>
  </r>
  <r>
    <x v="38"/>
    <n v="22"/>
    <x v="0"/>
    <n v="249238"/>
    <x v="1"/>
    <n v="795"/>
    <n v="110188"/>
    <n v="9.56"/>
    <x v="4"/>
    <n v="14224"/>
    <x v="2"/>
    <x v="0"/>
    <s v="Single"/>
    <x v="0"/>
    <n v="1"/>
  </r>
  <r>
    <x v="39"/>
    <n v="22"/>
    <x v="1"/>
    <n v="249907"/>
    <x v="0"/>
    <n v="890"/>
    <n v="110216"/>
    <n v="8.99"/>
    <x v="3"/>
    <n v="14518"/>
    <x v="0"/>
    <x v="1"/>
    <s v="Married"/>
    <x v="0"/>
    <n v="0"/>
  </r>
  <r>
    <x v="40"/>
    <n v="22"/>
    <x v="0"/>
    <n v="250147"/>
    <x v="1"/>
    <n v="660"/>
    <n v="116166"/>
    <n v="15.55"/>
    <x v="4"/>
    <n v="14592"/>
    <x v="1"/>
    <x v="0"/>
    <s v="Single"/>
    <x v="2"/>
    <n v="0"/>
  </r>
  <r>
    <x v="41"/>
    <n v="22"/>
    <x v="1"/>
    <n v="251232"/>
    <x v="1"/>
    <n v="851"/>
    <n v="118294"/>
    <n v="15.4"/>
    <x v="0"/>
    <n v="15475"/>
    <x v="1"/>
    <x v="1"/>
    <s v="Married"/>
    <x v="0"/>
    <n v="0"/>
  </r>
  <r>
    <x v="42"/>
    <n v="22"/>
    <x v="1"/>
    <n v="252709"/>
    <x v="0"/>
    <n v="627"/>
    <n v="121119"/>
    <n v="10.050000000000001"/>
    <x v="3"/>
    <n v="15548"/>
    <x v="3"/>
    <x v="0"/>
    <s v="Married"/>
    <x v="1"/>
    <n v="0"/>
  </r>
  <r>
    <x v="43"/>
    <n v="22"/>
    <x v="0"/>
    <n v="254217"/>
    <x v="1"/>
    <n v="605"/>
    <n v="123913"/>
    <n v="10.029999999999999"/>
    <x v="1"/>
    <n v="15816"/>
    <x v="0"/>
    <x v="1"/>
    <s v="Married"/>
    <x v="1"/>
    <n v="1"/>
  </r>
  <r>
    <x v="20"/>
    <n v="22"/>
    <x v="2"/>
    <n v="256484"/>
    <x v="1"/>
    <n v="626"/>
    <n v="127356"/>
    <n v="10.66"/>
    <x v="2"/>
    <n v="16382"/>
    <x v="3"/>
    <x v="1"/>
    <s v="Single"/>
    <x v="1"/>
    <n v="1"/>
  </r>
  <r>
    <x v="44"/>
    <n v="23"/>
    <x v="0"/>
    <n v="259141"/>
    <x v="1"/>
    <n v="540"/>
    <n v="128979"/>
    <n v="13.62"/>
    <x v="1"/>
    <n v="17207"/>
    <x v="3"/>
    <x v="1"/>
    <s v="Single"/>
    <x v="0"/>
    <n v="1"/>
  </r>
  <r>
    <x v="45"/>
    <n v="23"/>
    <x v="0"/>
    <n v="259366"/>
    <x v="0"/>
    <m/>
    <n v="129114"/>
    <n v="10.4"/>
    <x v="4"/>
    <n v="17760"/>
    <x v="1"/>
    <x v="1"/>
    <s v="Single"/>
    <x v="1"/>
    <n v="1"/>
  </r>
  <r>
    <x v="46"/>
    <n v="23"/>
    <x v="1"/>
    <n v="260393"/>
    <x v="1"/>
    <n v="564"/>
    <n v="129294"/>
    <n v="15.88"/>
    <x v="1"/>
    <n v="19452"/>
    <x v="3"/>
    <x v="1"/>
    <s v="Single"/>
    <x v="1"/>
    <n v="0"/>
  </r>
  <r>
    <x v="47"/>
    <n v="23"/>
    <x v="0"/>
    <n v="261270"/>
    <x v="1"/>
    <n v="777"/>
    <n v="131757"/>
    <n v="16.34"/>
    <x v="0"/>
    <n v="19824"/>
    <x v="4"/>
    <x v="1"/>
    <s v="Married"/>
    <x v="2"/>
    <n v="0"/>
  </r>
  <r>
    <x v="48"/>
    <n v="23"/>
    <x v="1"/>
    <n v="261650"/>
    <x v="1"/>
    <n v="803"/>
    <n v="131888"/>
    <n v="12.82"/>
    <x v="0"/>
    <n v="20295"/>
    <x v="2"/>
    <x v="0"/>
    <s v="Married"/>
    <x v="1"/>
    <n v="1"/>
  </r>
  <r>
    <x v="49"/>
    <n v="23"/>
    <x v="1"/>
    <n v="264635"/>
    <x v="1"/>
    <n v="580"/>
    <n v="138239"/>
    <n v="10.65"/>
    <x v="0"/>
    <n v="20772"/>
    <x v="0"/>
    <x v="0"/>
    <s v="Single"/>
    <x v="2"/>
    <n v="0"/>
  </r>
  <r>
    <x v="50"/>
    <n v="23"/>
    <x v="1"/>
    <n v="265324"/>
    <x v="1"/>
    <n v="305"/>
    <n v="139405"/>
    <n v="12.44"/>
    <x v="0"/>
    <n v="20846"/>
    <x v="4"/>
    <x v="1"/>
    <s v="Married"/>
    <x v="2"/>
    <n v="0"/>
  </r>
  <r>
    <x v="51"/>
    <n v="23"/>
    <x v="1"/>
    <n v="266645"/>
    <x v="1"/>
    <n v="603"/>
    <n v="141348"/>
    <n v="16.3"/>
    <x v="3"/>
    <n v="20872"/>
    <x v="3"/>
    <x v="1"/>
    <s v="Married"/>
    <x v="2"/>
    <n v="0"/>
  </r>
  <r>
    <x v="52"/>
    <n v="23"/>
    <x v="0"/>
    <n v="267622"/>
    <x v="0"/>
    <n v="743"/>
    <n v="146034"/>
    <n v="8.73"/>
    <x v="2"/>
    <n v="21800"/>
    <x v="3"/>
    <x v="1"/>
    <s v="Single"/>
    <x v="2"/>
    <n v="0"/>
  </r>
  <r>
    <x v="53"/>
    <n v="23"/>
    <x v="0"/>
    <n v="275907"/>
    <x v="0"/>
    <n v="818"/>
    <n v="146189"/>
    <n v="14.92"/>
    <x v="2"/>
    <n v="22018"/>
    <x v="2"/>
    <x v="1"/>
    <s v="Married"/>
    <x v="2"/>
    <n v="0"/>
  </r>
  <r>
    <x v="54"/>
    <n v="23"/>
    <x v="0"/>
    <n v="278859"/>
    <x v="1"/>
    <m/>
    <n v="146497"/>
    <n v="12.83"/>
    <x v="3"/>
    <n v="22356"/>
    <x v="0"/>
    <x v="0"/>
    <s v="Married"/>
    <x v="1"/>
    <n v="0"/>
  </r>
  <r>
    <x v="55"/>
    <n v="23"/>
    <x v="1"/>
    <n v="281943"/>
    <x v="1"/>
    <n v="424"/>
    <n v="148193"/>
    <n v="8.1999999999999993"/>
    <x v="2"/>
    <n v="22660"/>
    <x v="4"/>
    <x v="0"/>
    <s v="Single"/>
    <x v="1"/>
    <n v="1"/>
  </r>
  <r>
    <x v="56"/>
    <n v="23"/>
    <x v="1"/>
    <n v="282123"/>
    <x v="0"/>
    <n v="450"/>
    <n v="155459"/>
    <n v="14.22"/>
    <x v="2"/>
    <n v="23871"/>
    <x v="0"/>
    <x v="1"/>
    <s v="Married"/>
    <x v="2"/>
    <n v="0"/>
  </r>
  <r>
    <x v="57"/>
    <n v="23"/>
    <x v="0"/>
    <n v="283529"/>
    <x v="1"/>
    <n v="577"/>
    <n v="155811"/>
    <n v="9.0500000000000007"/>
    <x v="1"/>
    <n v="24159"/>
    <x v="0"/>
    <x v="1"/>
    <s v="Single"/>
    <x v="2"/>
    <n v="1"/>
  </r>
  <r>
    <x v="58"/>
    <n v="23"/>
    <x v="0"/>
    <n v="285833"/>
    <x v="1"/>
    <n v="612"/>
    <n v="156997"/>
    <n v="13.06"/>
    <x v="0"/>
    <n v="24448"/>
    <x v="3"/>
    <x v="1"/>
    <s v="Married"/>
    <x v="1"/>
    <n v="0"/>
  </r>
  <r>
    <x v="59"/>
    <n v="23"/>
    <x v="1"/>
    <n v="287184"/>
    <x v="1"/>
    <n v="468"/>
    <n v="157345"/>
    <n v="10.119999999999999"/>
    <x v="4"/>
    <n v="24480"/>
    <x v="2"/>
    <x v="0"/>
    <s v="Married"/>
    <x v="0"/>
    <n v="0"/>
  </r>
  <r>
    <x v="60"/>
    <n v="23"/>
    <x v="0"/>
    <n v="288858"/>
    <x v="0"/>
    <n v="826"/>
    <n v="164613"/>
    <n v="7.84"/>
    <x v="4"/>
    <n v="24830"/>
    <x v="1"/>
    <x v="1"/>
    <s v="Single"/>
    <x v="2"/>
    <n v="0"/>
  </r>
  <r>
    <x v="61"/>
    <n v="23"/>
    <x v="1"/>
    <n v="288908"/>
    <x v="1"/>
    <n v="410"/>
    <n v="166971"/>
    <n v="12.48"/>
    <x v="3"/>
    <n v="25367"/>
    <x v="0"/>
    <x v="1"/>
    <s v="Single"/>
    <x v="1"/>
    <n v="1"/>
  </r>
  <r>
    <x v="62"/>
    <n v="23"/>
    <x v="1"/>
    <n v="288967"/>
    <x v="0"/>
    <n v="759"/>
    <n v="168387"/>
    <n v="13.14"/>
    <x v="0"/>
    <n v="26995"/>
    <x v="2"/>
    <x v="1"/>
    <s v="Married"/>
    <x v="1"/>
    <n v="0"/>
  </r>
  <r>
    <x v="63"/>
    <n v="23"/>
    <x v="0"/>
    <n v="289591"/>
    <x v="1"/>
    <n v="460"/>
    <n v="170702"/>
    <n v="9.0299999999999994"/>
    <x v="2"/>
    <n v="27737"/>
    <x v="0"/>
    <x v="0"/>
    <s v="Single"/>
    <x v="2"/>
    <n v="0"/>
  </r>
  <r>
    <x v="64"/>
    <n v="23"/>
    <x v="1"/>
    <n v="291105"/>
    <x v="0"/>
    <n v="671"/>
    <n v="171230"/>
    <n v="13.79"/>
    <x v="1"/>
    <n v="28196"/>
    <x v="3"/>
    <x v="1"/>
    <s v="Married"/>
    <x v="0"/>
    <n v="1"/>
  </r>
  <r>
    <x v="65"/>
    <n v="23"/>
    <x v="1"/>
    <n v="293910"/>
    <x v="0"/>
    <n v="703"/>
    <n v="171923"/>
    <n v="15.98"/>
    <x v="0"/>
    <n v="28461"/>
    <x v="3"/>
    <x v="1"/>
    <s v="Single"/>
    <x v="2"/>
    <n v="0"/>
  </r>
  <r>
    <x v="66"/>
    <n v="23"/>
    <x v="0"/>
    <n v="294824"/>
    <x v="0"/>
    <n v="746"/>
    <n v="174162"/>
    <n v="12.3"/>
    <x v="1"/>
    <n v="28601"/>
    <x v="0"/>
    <x v="0"/>
    <s v="Married"/>
    <x v="2"/>
    <n v="0"/>
  </r>
  <r>
    <x v="67"/>
    <n v="23"/>
    <x v="1"/>
    <n v="295783"/>
    <x v="1"/>
    <n v="492"/>
    <n v="174204"/>
    <n v="8.73"/>
    <x v="0"/>
    <n v="29025"/>
    <x v="1"/>
    <x v="0"/>
    <s v="Single"/>
    <x v="0"/>
    <n v="0"/>
  </r>
  <r>
    <x v="68"/>
    <n v="23"/>
    <x v="1"/>
    <n v="298971"/>
    <x v="1"/>
    <n v="381"/>
    <n v="176936"/>
    <n v="12.29"/>
    <x v="4"/>
    <n v="29328"/>
    <x v="4"/>
    <x v="0"/>
    <s v="Single"/>
    <x v="2"/>
    <n v="1"/>
  </r>
  <r>
    <x v="69"/>
    <n v="23"/>
    <x v="0"/>
    <n v="300306"/>
    <x v="1"/>
    <n v="392"/>
    <n v="177888"/>
    <n v="14.11"/>
    <x v="4"/>
    <n v="29668"/>
    <x v="2"/>
    <x v="0"/>
    <s v="Married"/>
    <x v="2"/>
    <n v="0"/>
  </r>
  <r>
    <x v="70"/>
    <n v="23"/>
    <x v="1"/>
    <n v="300872"/>
    <x v="0"/>
    <n v="674"/>
    <n v="178836"/>
    <n v="14.56"/>
    <x v="4"/>
    <n v="29807"/>
    <x v="4"/>
    <x v="0"/>
    <s v="Single"/>
    <x v="2"/>
    <n v="1"/>
  </r>
  <r>
    <x v="71"/>
    <n v="23"/>
    <x v="0"/>
    <n v="300872"/>
    <x v="1"/>
    <n v="884"/>
    <n v="184074"/>
    <n v="15.04"/>
    <x v="1"/>
    <n v="33200"/>
    <x v="2"/>
    <x v="0"/>
    <s v="Single"/>
    <x v="1"/>
    <n v="0"/>
  </r>
  <r>
    <x v="72"/>
    <n v="23"/>
    <x v="1"/>
    <n v="302325"/>
    <x v="1"/>
    <n v="616"/>
    <n v="186515"/>
    <n v="10.95"/>
    <x v="3"/>
    <n v="33506"/>
    <x v="0"/>
    <x v="0"/>
    <s v="Married"/>
    <x v="0"/>
    <n v="0"/>
  </r>
  <r>
    <x v="44"/>
    <n v="23"/>
    <x v="0"/>
    <n v="304311"/>
    <x v="1"/>
    <n v="540"/>
    <n v="188226"/>
    <n v="13.62"/>
    <x v="1"/>
    <n v="34657"/>
    <x v="3"/>
    <x v="1"/>
    <s v="Single"/>
    <x v="0"/>
    <n v="1"/>
  </r>
  <r>
    <x v="45"/>
    <n v="23"/>
    <x v="0"/>
    <n v="304388"/>
    <x v="0"/>
    <m/>
    <n v="190289"/>
    <n v="10.4"/>
    <x v="4"/>
    <n v="35113"/>
    <x v="1"/>
    <x v="1"/>
    <s v="Single"/>
    <x v="1"/>
    <n v="1"/>
  </r>
  <r>
    <x v="73"/>
    <n v="24"/>
    <x v="1"/>
    <n v="304500"/>
    <x v="0"/>
    <n v="613"/>
    <n v="190773"/>
    <n v="12.89"/>
    <x v="3"/>
    <n v="35453"/>
    <x v="4"/>
    <x v="1"/>
    <s v="Single"/>
    <x v="2"/>
    <n v="0"/>
  </r>
  <r>
    <x v="74"/>
    <n v="24"/>
    <x v="0"/>
    <n v="304757"/>
    <x v="0"/>
    <n v="643"/>
    <n v="191571"/>
    <n v="11.93"/>
    <x v="3"/>
    <n v="37718"/>
    <x v="0"/>
    <x v="0"/>
    <s v="Married"/>
    <x v="0"/>
    <n v="0"/>
  </r>
  <r>
    <x v="75"/>
    <n v="24"/>
    <x v="1"/>
    <n v="306065"/>
    <x v="0"/>
    <n v="600"/>
    <n v="199466"/>
    <n v="7.98"/>
    <x v="0"/>
    <n v="37976"/>
    <x v="0"/>
    <x v="1"/>
    <s v="Single"/>
    <x v="0"/>
    <n v="0"/>
  </r>
  <r>
    <x v="76"/>
    <n v="24"/>
    <x v="1"/>
    <n v="308985"/>
    <x v="1"/>
    <n v="522"/>
    <n v="199599"/>
    <n v="14.7"/>
    <x v="3"/>
    <n v="38168"/>
    <x v="4"/>
    <x v="0"/>
    <s v="Married"/>
    <x v="1"/>
    <n v="0"/>
  </r>
  <r>
    <x v="77"/>
    <n v="24"/>
    <x v="0"/>
    <n v="309550"/>
    <x v="0"/>
    <m/>
    <n v="200825"/>
    <n v="12.73"/>
    <x v="3"/>
    <n v="38618"/>
    <x v="1"/>
    <x v="0"/>
    <s v="Married"/>
    <x v="1"/>
    <n v="0"/>
  </r>
  <r>
    <x v="78"/>
    <n v="24"/>
    <x v="0"/>
    <n v="309800"/>
    <x v="1"/>
    <n v="683"/>
    <n v="201828"/>
    <n v="15.87"/>
    <x v="2"/>
    <n v="39727"/>
    <x v="0"/>
    <x v="0"/>
    <s v="Single"/>
    <x v="0"/>
    <n v="1"/>
  </r>
  <r>
    <x v="79"/>
    <n v="24"/>
    <x v="0"/>
    <n v="311487"/>
    <x v="1"/>
    <n v="614"/>
    <n v="202318"/>
    <n v="14.23"/>
    <x v="1"/>
    <n v="40203"/>
    <x v="3"/>
    <x v="1"/>
    <s v="Married"/>
    <x v="1"/>
    <n v="0"/>
  </r>
  <r>
    <x v="80"/>
    <n v="24"/>
    <x v="1"/>
    <n v="312946"/>
    <x v="0"/>
    <n v="812"/>
    <n v="205316"/>
    <n v="15.81"/>
    <x v="2"/>
    <n v="40669"/>
    <x v="2"/>
    <x v="0"/>
    <s v="Married"/>
    <x v="1"/>
    <n v="0"/>
  </r>
  <r>
    <x v="81"/>
    <n v="24"/>
    <x v="1"/>
    <n v="316428"/>
    <x v="0"/>
    <n v="661"/>
    <n v="205958"/>
    <n v="12.77"/>
    <x v="4"/>
    <n v="44272"/>
    <x v="1"/>
    <x v="1"/>
    <s v="Married"/>
    <x v="1"/>
    <n v="0"/>
  </r>
  <r>
    <x v="82"/>
    <n v="24"/>
    <x v="0"/>
    <n v="322165"/>
    <x v="0"/>
    <n v="764"/>
    <n v="208304"/>
    <n v="14.33"/>
    <x v="3"/>
    <n v="44852"/>
    <x v="3"/>
    <x v="0"/>
    <s v="Married"/>
    <x v="0"/>
    <n v="0"/>
  </r>
  <r>
    <x v="83"/>
    <n v="24"/>
    <x v="0"/>
    <n v="323031"/>
    <x v="0"/>
    <n v="625"/>
    <n v="209078"/>
    <n v="15.49"/>
    <x v="1"/>
    <n v="45037"/>
    <x v="0"/>
    <x v="1"/>
    <s v="Married"/>
    <x v="1"/>
    <n v="0"/>
  </r>
  <r>
    <x v="84"/>
    <n v="24"/>
    <x v="1"/>
    <n v="325016"/>
    <x v="0"/>
    <n v="443"/>
    <n v="211254"/>
    <n v="11.85"/>
    <x v="2"/>
    <n v="45221"/>
    <x v="4"/>
    <x v="1"/>
    <s v="Married"/>
    <x v="0"/>
    <n v="1"/>
  </r>
  <r>
    <x v="85"/>
    <n v="24"/>
    <x v="1"/>
    <n v="326069"/>
    <x v="1"/>
    <n v="651"/>
    <n v="211516"/>
    <n v="15.39"/>
    <x v="1"/>
    <n v="46355"/>
    <x v="2"/>
    <x v="0"/>
    <s v="Single"/>
    <x v="0"/>
    <n v="0"/>
  </r>
  <r>
    <x v="86"/>
    <n v="24"/>
    <x v="1"/>
    <n v="326613"/>
    <x v="1"/>
    <n v="741"/>
    <n v="212506"/>
    <n v="12.07"/>
    <x v="1"/>
    <n v="47212"/>
    <x v="0"/>
    <x v="0"/>
    <s v="Single"/>
    <x v="1"/>
    <n v="0"/>
  </r>
  <r>
    <x v="87"/>
    <n v="24"/>
    <x v="0"/>
    <n v="327974"/>
    <x v="1"/>
    <n v="793"/>
    <n v="213519"/>
    <n v="16.28"/>
    <x v="2"/>
    <n v="47701"/>
    <x v="4"/>
    <x v="0"/>
    <s v="Single"/>
    <x v="2"/>
    <n v="0"/>
  </r>
  <r>
    <x v="88"/>
    <n v="24"/>
    <x v="0"/>
    <n v="329640"/>
    <x v="1"/>
    <m/>
    <n v="217685"/>
    <n v="8.7200000000000006"/>
    <x v="1"/>
    <n v="48469"/>
    <x v="0"/>
    <x v="0"/>
    <s v="Married"/>
    <x v="1"/>
    <n v="0"/>
  </r>
  <r>
    <x v="89"/>
    <n v="24"/>
    <x v="1"/>
    <n v="330395"/>
    <x v="1"/>
    <n v="307"/>
    <n v="219006"/>
    <n v="8.68"/>
    <x v="0"/>
    <n v="48634"/>
    <x v="2"/>
    <x v="0"/>
    <s v="Married"/>
    <x v="2"/>
    <n v="1"/>
  </r>
  <r>
    <x v="90"/>
    <n v="24"/>
    <x v="1"/>
    <n v="330631"/>
    <x v="1"/>
    <n v="307"/>
    <n v="220210"/>
    <n v="14.88"/>
    <x v="0"/>
    <n v="48691"/>
    <x v="4"/>
    <x v="1"/>
    <s v="Single"/>
    <x v="0"/>
    <n v="0"/>
  </r>
  <r>
    <x v="91"/>
    <n v="24"/>
    <x v="0"/>
    <n v="331078"/>
    <x v="0"/>
    <n v="806"/>
    <n v="221037"/>
    <n v="9.0399999999999991"/>
    <x v="2"/>
    <n v="49384"/>
    <x v="0"/>
    <x v="1"/>
    <s v="Single"/>
    <x v="0"/>
    <n v="0"/>
  </r>
  <r>
    <x v="92"/>
    <n v="24"/>
    <x v="0"/>
    <n v="332785"/>
    <x v="1"/>
    <n v="649"/>
    <n v="221563"/>
    <n v="7.64"/>
    <x v="4"/>
    <n v="50097"/>
    <x v="2"/>
    <x v="1"/>
    <s v="Married"/>
    <x v="1"/>
    <n v="0"/>
  </r>
  <r>
    <x v="93"/>
    <n v="24"/>
    <x v="1"/>
    <n v="334757"/>
    <x v="0"/>
    <n v="896"/>
    <n v="221751"/>
    <n v="14.33"/>
    <x v="1"/>
    <n v="52155"/>
    <x v="1"/>
    <x v="0"/>
    <s v="Single"/>
    <x v="2"/>
    <n v="0"/>
  </r>
  <r>
    <x v="94"/>
    <n v="24"/>
    <x v="0"/>
    <n v="336948"/>
    <x v="0"/>
    <n v="308"/>
    <n v="224126"/>
    <n v="7.94"/>
    <x v="2"/>
    <n v="52577"/>
    <x v="1"/>
    <x v="0"/>
    <s v="Married"/>
    <x v="1"/>
    <n v="0"/>
  </r>
  <r>
    <x v="73"/>
    <n v="24"/>
    <x v="1"/>
    <n v="338894"/>
    <x v="0"/>
    <n v="613"/>
    <n v="225381"/>
    <n v="12.89"/>
    <x v="3"/>
    <n v="52653"/>
    <x v="4"/>
    <x v="1"/>
    <s v="Single"/>
    <x v="2"/>
    <n v="0"/>
  </r>
  <r>
    <x v="95"/>
    <n v="25"/>
    <x v="0"/>
    <n v="343850"/>
    <x v="0"/>
    <n v="638"/>
    <n v="227750"/>
    <n v="12.69"/>
    <x v="2"/>
    <n v="52967"/>
    <x v="1"/>
    <x v="0"/>
    <s v="Single"/>
    <x v="0"/>
    <n v="1"/>
  </r>
  <r>
    <x v="96"/>
    <n v="25"/>
    <x v="1"/>
    <n v="344563"/>
    <x v="0"/>
    <n v="386"/>
    <n v="228080"/>
    <n v="15.56"/>
    <x v="4"/>
    <n v="54149"/>
    <x v="2"/>
    <x v="1"/>
    <s v="Married"/>
    <x v="2"/>
    <n v="1"/>
  </r>
  <r>
    <x v="97"/>
    <n v="25"/>
    <x v="1"/>
    <n v="345499"/>
    <x v="0"/>
    <n v="891"/>
    <n v="229784"/>
    <n v="9.27"/>
    <x v="2"/>
    <n v="55434"/>
    <x v="1"/>
    <x v="0"/>
    <s v="Married"/>
    <x v="2"/>
    <n v="0"/>
  </r>
  <r>
    <x v="98"/>
    <n v="25"/>
    <x v="1"/>
    <n v="346278"/>
    <x v="1"/>
    <n v="378"/>
    <n v="236779"/>
    <n v="14.81"/>
    <x v="2"/>
    <n v="56849"/>
    <x v="3"/>
    <x v="0"/>
    <s v="Single"/>
    <x v="1"/>
    <n v="1"/>
  </r>
  <r>
    <x v="99"/>
    <n v="25"/>
    <x v="1"/>
    <n v="352693"/>
    <x v="1"/>
    <n v="466"/>
    <n v="237204"/>
    <n v="12.75"/>
    <x v="2"/>
    <n v="57050"/>
    <x v="0"/>
    <x v="0"/>
    <s v="Married"/>
    <x v="2"/>
    <n v="1"/>
  </r>
  <r>
    <x v="100"/>
    <n v="25"/>
    <x v="0"/>
    <n v="352891"/>
    <x v="1"/>
    <n v="334"/>
    <n v="237351"/>
    <n v="14.77"/>
    <x v="0"/>
    <n v="57110"/>
    <x v="3"/>
    <x v="0"/>
    <s v="Married"/>
    <x v="2"/>
    <n v="0"/>
  </r>
  <r>
    <x v="101"/>
    <n v="25"/>
    <x v="0"/>
    <n v="353836"/>
    <x v="0"/>
    <n v="592"/>
    <n v="239739"/>
    <n v="11.69"/>
    <x v="0"/>
    <n v="57152"/>
    <x v="3"/>
    <x v="1"/>
    <s v="Married"/>
    <x v="0"/>
    <n v="0"/>
  </r>
  <r>
    <x v="102"/>
    <n v="25"/>
    <x v="1"/>
    <n v="357256"/>
    <x v="0"/>
    <n v="767"/>
    <n v="240600"/>
    <n v="7.53"/>
    <x v="3"/>
    <n v="57660"/>
    <x v="0"/>
    <x v="0"/>
    <s v="Married"/>
    <x v="0"/>
    <n v="0"/>
  </r>
  <r>
    <x v="103"/>
    <n v="25"/>
    <x v="0"/>
    <n v="359182"/>
    <x v="0"/>
    <n v="815"/>
    <n v="245862"/>
    <n v="13.45"/>
    <x v="1"/>
    <n v="57884"/>
    <x v="4"/>
    <x v="0"/>
    <s v="Single"/>
    <x v="1"/>
    <n v="0"/>
  </r>
  <r>
    <x v="104"/>
    <n v="25"/>
    <x v="1"/>
    <n v="360603"/>
    <x v="0"/>
    <n v="773"/>
    <n v="246944"/>
    <n v="15.15"/>
    <x v="1"/>
    <n v="58266"/>
    <x v="2"/>
    <x v="0"/>
    <s v="Married"/>
    <x v="1"/>
    <n v="0"/>
  </r>
  <r>
    <x v="105"/>
    <n v="25"/>
    <x v="0"/>
    <n v="362340"/>
    <x v="1"/>
    <n v="884"/>
    <n v="249823"/>
    <n v="11.08"/>
    <x v="0"/>
    <n v="58296"/>
    <x v="4"/>
    <x v="0"/>
    <s v="Married"/>
    <x v="2"/>
    <n v="0"/>
  </r>
  <r>
    <x v="106"/>
    <n v="25"/>
    <x v="1"/>
    <n v="362362"/>
    <x v="0"/>
    <n v="662"/>
    <n v="251051"/>
    <n v="12.69"/>
    <x v="2"/>
    <n v="59910"/>
    <x v="3"/>
    <x v="0"/>
    <s v="Single"/>
    <x v="1"/>
    <n v="0"/>
  </r>
  <r>
    <x v="107"/>
    <n v="25"/>
    <x v="0"/>
    <n v="364032"/>
    <x v="0"/>
    <n v="678"/>
    <n v="254983"/>
    <n v="10.1"/>
    <x v="2"/>
    <n v="60686"/>
    <x v="4"/>
    <x v="0"/>
    <s v="Married"/>
    <x v="0"/>
    <n v="0"/>
  </r>
  <r>
    <x v="108"/>
    <n v="25"/>
    <x v="1"/>
    <n v="364250"/>
    <x v="0"/>
    <n v="759"/>
    <n v="258470"/>
    <n v="16.170000000000002"/>
    <x v="0"/>
    <n v="60699"/>
    <x v="1"/>
    <x v="1"/>
    <s v="Single"/>
    <x v="1"/>
    <n v="0"/>
  </r>
  <r>
    <x v="109"/>
    <n v="25"/>
    <x v="1"/>
    <n v="366126"/>
    <x v="0"/>
    <n v="897"/>
    <n v="261705"/>
    <n v="8.57"/>
    <x v="1"/>
    <n v="61020"/>
    <x v="3"/>
    <x v="1"/>
    <s v="Single"/>
    <x v="2"/>
    <n v="1"/>
  </r>
  <r>
    <x v="110"/>
    <n v="25"/>
    <x v="1"/>
    <n v="366863"/>
    <x v="1"/>
    <n v="735"/>
    <n v="266416"/>
    <n v="14.81"/>
    <x v="3"/>
    <n v="61543"/>
    <x v="0"/>
    <x v="1"/>
    <s v="Single"/>
    <x v="1"/>
    <n v="0"/>
  </r>
  <r>
    <x v="111"/>
    <n v="25"/>
    <x v="1"/>
    <n v="367670"/>
    <x v="0"/>
    <n v="463"/>
    <n v="266786"/>
    <n v="11.17"/>
    <x v="1"/>
    <n v="61555"/>
    <x v="0"/>
    <x v="0"/>
    <s v="Single"/>
    <x v="2"/>
    <n v="1"/>
  </r>
  <r>
    <x v="112"/>
    <n v="25"/>
    <x v="1"/>
    <n v="368003"/>
    <x v="0"/>
    <n v="885"/>
    <n v="267579"/>
    <n v="16.149999999999999"/>
    <x v="2"/>
    <n v="61993"/>
    <x v="4"/>
    <x v="0"/>
    <s v="Single"/>
    <x v="1"/>
    <n v="0"/>
  </r>
  <r>
    <x v="113"/>
    <n v="25"/>
    <x v="0"/>
    <n v="368584"/>
    <x v="0"/>
    <n v="794"/>
    <n v="268959"/>
    <n v="8.57"/>
    <x v="3"/>
    <n v="62792"/>
    <x v="1"/>
    <x v="0"/>
    <s v="Married"/>
    <x v="2"/>
    <n v="0"/>
  </r>
  <r>
    <x v="114"/>
    <n v="25"/>
    <x v="1"/>
    <n v="369227"/>
    <x v="0"/>
    <n v="681"/>
    <n v="269750"/>
    <n v="8.98"/>
    <x v="4"/>
    <n v="63373"/>
    <x v="3"/>
    <x v="0"/>
    <s v="Single"/>
    <x v="0"/>
    <n v="1"/>
  </r>
  <r>
    <x v="115"/>
    <n v="25"/>
    <x v="0"/>
    <n v="373105"/>
    <x v="1"/>
    <n v="530"/>
    <n v="270445"/>
    <n v="12.78"/>
    <x v="2"/>
    <n v="63475"/>
    <x v="0"/>
    <x v="1"/>
    <s v="Married"/>
    <x v="2"/>
    <n v="0"/>
  </r>
  <r>
    <x v="116"/>
    <n v="25"/>
    <x v="0"/>
    <n v="373232"/>
    <x v="1"/>
    <n v="850"/>
    <n v="273398"/>
    <n v="10.039999999999999"/>
    <x v="3"/>
    <n v="65512"/>
    <x v="2"/>
    <x v="0"/>
    <s v="Single"/>
    <x v="0"/>
    <n v="0"/>
  </r>
  <r>
    <x v="117"/>
    <n v="25"/>
    <x v="1"/>
    <n v="374132"/>
    <x v="1"/>
    <n v="692"/>
    <n v="278222"/>
    <n v="16"/>
    <x v="0"/>
    <n v="66004"/>
    <x v="3"/>
    <x v="0"/>
    <s v="Married"/>
    <x v="2"/>
    <n v="0"/>
  </r>
  <r>
    <x v="118"/>
    <n v="25"/>
    <x v="0"/>
    <n v="375900"/>
    <x v="1"/>
    <n v="671"/>
    <n v="279051"/>
    <n v="14.83"/>
    <x v="2"/>
    <n v="66158"/>
    <x v="3"/>
    <x v="0"/>
    <s v="Married"/>
    <x v="0"/>
    <n v="0"/>
  </r>
  <r>
    <x v="119"/>
    <n v="25"/>
    <x v="1"/>
    <n v="377610"/>
    <x v="1"/>
    <n v="873"/>
    <n v="279308"/>
    <n v="13.6"/>
    <x v="2"/>
    <n v="66257"/>
    <x v="0"/>
    <x v="1"/>
    <s v="Married"/>
    <x v="1"/>
    <n v="0"/>
  </r>
  <r>
    <x v="120"/>
    <n v="25"/>
    <x v="0"/>
    <n v="385824"/>
    <x v="0"/>
    <n v="397"/>
    <n v="279537"/>
    <n v="13.59"/>
    <x v="3"/>
    <n v="66257"/>
    <x v="3"/>
    <x v="0"/>
    <s v="Married"/>
    <x v="1"/>
    <n v="0"/>
  </r>
  <r>
    <x v="121"/>
    <n v="25"/>
    <x v="0"/>
    <n v="388528"/>
    <x v="0"/>
    <n v="527"/>
    <n v="280728"/>
    <n v="10.93"/>
    <x v="1"/>
    <n v="66642"/>
    <x v="0"/>
    <x v="1"/>
    <s v="Single"/>
    <x v="1"/>
    <n v="1"/>
  </r>
  <r>
    <x v="122"/>
    <n v="25"/>
    <x v="0"/>
    <n v="388718"/>
    <x v="0"/>
    <n v="346"/>
    <n v="282540"/>
    <n v="12.05"/>
    <x v="0"/>
    <n v="67519"/>
    <x v="2"/>
    <x v="1"/>
    <s v="Married"/>
    <x v="1"/>
    <n v="0"/>
  </r>
  <r>
    <x v="123"/>
    <n v="25"/>
    <x v="1"/>
    <n v="389429"/>
    <x v="0"/>
    <n v="801"/>
    <n v="285559"/>
    <n v="14.63"/>
    <x v="4"/>
    <n v="67810"/>
    <x v="4"/>
    <x v="0"/>
    <s v="Single"/>
    <x v="1"/>
    <n v="0"/>
  </r>
  <r>
    <x v="124"/>
    <n v="25"/>
    <x v="0"/>
    <n v="394178"/>
    <x v="1"/>
    <n v="742"/>
    <n v="291497"/>
    <n v="8.42"/>
    <x v="1"/>
    <n v="68357"/>
    <x v="1"/>
    <x v="0"/>
    <s v="Married"/>
    <x v="1"/>
    <n v="0"/>
  </r>
  <r>
    <x v="125"/>
    <n v="25"/>
    <x v="0"/>
    <n v="395040"/>
    <x v="0"/>
    <n v="393"/>
    <n v="292091"/>
    <n v="7.98"/>
    <x v="1"/>
    <n v="68879"/>
    <x v="4"/>
    <x v="1"/>
    <s v="Married"/>
    <x v="2"/>
    <n v="0"/>
  </r>
  <r>
    <x v="126"/>
    <n v="25"/>
    <x v="0"/>
    <n v="395278"/>
    <x v="0"/>
    <n v="642"/>
    <n v="292609"/>
    <n v="13.97"/>
    <x v="1"/>
    <n v="68889"/>
    <x v="4"/>
    <x v="0"/>
    <s v="Married"/>
    <x v="2"/>
    <n v="0"/>
  </r>
  <r>
    <x v="127"/>
    <n v="25"/>
    <x v="0"/>
    <n v="396007"/>
    <x v="0"/>
    <n v="658"/>
    <n v="292709"/>
    <n v="15.51"/>
    <x v="1"/>
    <n v="69683"/>
    <x v="1"/>
    <x v="0"/>
    <s v="Married"/>
    <x v="0"/>
    <n v="0"/>
  </r>
  <r>
    <x v="128"/>
    <n v="26"/>
    <x v="1"/>
    <n v="396606"/>
    <x v="0"/>
    <n v="735"/>
    <n v="295106"/>
    <n v="15.95"/>
    <x v="0"/>
    <n v="69713"/>
    <x v="3"/>
    <x v="0"/>
    <s v="Single"/>
    <x v="0"/>
    <n v="0"/>
  </r>
  <r>
    <x v="129"/>
    <n v="26"/>
    <x v="1"/>
    <n v="397068"/>
    <x v="0"/>
    <n v="425"/>
    <n v="296831"/>
    <n v="7.66"/>
    <x v="2"/>
    <n v="70493"/>
    <x v="1"/>
    <x v="0"/>
    <s v="Single"/>
    <x v="2"/>
    <n v="1"/>
  </r>
  <r>
    <x v="130"/>
    <n v="26"/>
    <x v="0"/>
    <n v="397186"/>
    <x v="0"/>
    <n v="503"/>
    <n v="298343"/>
    <n v="15.02"/>
    <x v="1"/>
    <n v="70836"/>
    <x v="2"/>
    <x v="1"/>
    <s v="Married"/>
    <x v="1"/>
    <n v="1"/>
  </r>
  <r>
    <x v="131"/>
    <n v="26"/>
    <x v="0"/>
    <n v="401295"/>
    <x v="1"/>
    <n v="423"/>
    <n v="299058"/>
    <n v="13.21"/>
    <x v="4"/>
    <n v="70982"/>
    <x v="1"/>
    <x v="0"/>
    <s v="Married"/>
    <x v="1"/>
    <n v="0"/>
  </r>
  <r>
    <x v="132"/>
    <n v="26"/>
    <x v="1"/>
    <n v="402496"/>
    <x v="1"/>
    <n v="708"/>
    <n v="300536"/>
    <n v="15.82"/>
    <x v="2"/>
    <n v="71134"/>
    <x v="3"/>
    <x v="1"/>
    <s v="Single"/>
    <x v="0"/>
    <n v="0"/>
  </r>
  <r>
    <x v="133"/>
    <n v="26"/>
    <x v="1"/>
    <n v="404813"/>
    <x v="1"/>
    <n v="652"/>
    <n v="302836"/>
    <n v="10.24"/>
    <x v="3"/>
    <n v="71479"/>
    <x v="3"/>
    <x v="0"/>
    <s v="Single"/>
    <x v="1"/>
    <n v="0"/>
  </r>
  <r>
    <x v="134"/>
    <n v="26"/>
    <x v="1"/>
    <n v="405389"/>
    <x v="1"/>
    <n v="397"/>
    <n v="306610"/>
    <n v="10.01"/>
    <x v="2"/>
    <n v="71535"/>
    <x v="4"/>
    <x v="1"/>
    <s v="Married"/>
    <x v="2"/>
    <n v="0"/>
  </r>
  <r>
    <x v="135"/>
    <n v="26"/>
    <x v="1"/>
    <n v="406299"/>
    <x v="0"/>
    <n v="894"/>
    <n v="306998"/>
    <n v="14.9"/>
    <x v="2"/>
    <n v="71925"/>
    <x v="3"/>
    <x v="1"/>
    <s v="Single"/>
    <x v="1"/>
    <n v="0"/>
  </r>
  <r>
    <x v="136"/>
    <n v="26"/>
    <x v="1"/>
    <n v="407162"/>
    <x v="1"/>
    <n v="384"/>
    <n v="307246"/>
    <n v="8.7899999999999991"/>
    <x v="2"/>
    <n v="72465"/>
    <x v="4"/>
    <x v="0"/>
    <s v="Single"/>
    <x v="1"/>
    <n v="0"/>
  </r>
  <r>
    <x v="137"/>
    <n v="26"/>
    <x v="1"/>
    <n v="409469"/>
    <x v="1"/>
    <n v="881"/>
    <n v="307493"/>
    <n v="15.4"/>
    <x v="2"/>
    <n v="72625"/>
    <x v="0"/>
    <x v="0"/>
    <s v="Single"/>
    <x v="0"/>
    <n v="0"/>
  </r>
  <r>
    <x v="138"/>
    <n v="26"/>
    <x v="1"/>
    <n v="412193"/>
    <x v="0"/>
    <n v="593"/>
    <n v="313935"/>
    <n v="15.98"/>
    <x v="0"/>
    <n v="72718"/>
    <x v="4"/>
    <x v="1"/>
    <s v="Single"/>
    <x v="0"/>
    <n v="0"/>
  </r>
  <r>
    <x v="139"/>
    <n v="26"/>
    <x v="1"/>
    <n v="412404"/>
    <x v="0"/>
    <n v="464"/>
    <n v="318763"/>
    <n v="8.9499999999999993"/>
    <x v="3"/>
    <n v="73317"/>
    <x v="4"/>
    <x v="0"/>
    <s v="Single"/>
    <x v="2"/>
    <n v="1"/>
  </r>
  <r>
    <x v="140"/>
    <n v="26"/>
    <x v="0"/>
    <n v="415410"/>
    <x v="1"/>
    <n v="442"/>
    <n v="320159"/>
    <n v="9.61"/>
    <x v="2"/>
    <n v="73402"/>
    <x v="1"/>
    <x v="1"/>
    <s v="Married"/>
    <x v="0"/>
    <n v="0"/>
  </r>
  <r>
    <x v="141"/>
    <n v="26"/>
    <x v="0"/>
    <n v="420343"/>
    <x v="1"/>
    <n v="840"/>
    <n v="322974"/>
    <n v="10.61"/>
    <x v="4"/>
    <n v="74075"/>
    <x v="4"/>
    <x v="1"/>
    <s v="Married"/>
    <x v="1"/>
    <n v="0"/>
  </r>
  <r>
    <x v="142"/>
    <n v="26"/>
    <x v="0"/>
    <n v="420874"/>
    <x v="0"/>
    <n v="876"/>
    <n v="325449"/>
    <n v="9.61"/>
    <x v="3"/>
    <n v="74650"/>
    <x v="0"/>
    <x v="1"/>
    <s v="Single"/>
    <x v="1"/>
    <n v="0"/>
  </r>
  <r>
    <x v="143"/>
    <n v="26"/>
    <x v="1"/>
    <n v="422687"/>
    <x v="1"/>
    <n v="540"/>
    <n v="325646"/>
    <n v="9.56"/>
    <x v="3"/>
    <n v="74916"/>
    <x v="3"/>
    <x v="0"/>
    <s v="Single"/>
    <x v="2"/>
    <n v="0"/>
  </r>
  <r>
    <x v="144"/>
    <n v="26"/>
    <x v="1"/>
    <n v="424250"/>
    <x v="0"/>
    <n v="423"/>
    <n v="327907"/>
    <n v="10.220000000000001"/>
    <x v="2"/>
    <n v="74964"/>
    <x v="1"/>
    <x v="0"/>
    <s v="Single"/>
    <x v="1"/>
    <n v="0"/>
  </r>
  <r>
    <x v="145"/>
    <n v="26"/>
    <x v="1"/>
    <n v="425499"/>
    <x v="1"/>
    <n v="885"/>
    <n v="331897"/>
    <n v="10.38"/>
    <x v="1"/>
    <n v="75492"/>
    <x v="1"/>
    <x v="1"/>
    <s v="Single"/>
    <x v="0"/>
    <n v="1"/>
  </r>
  <r>
    <x v="146"/>
    <n v="26"/>
    <x v="0"/>
    <n v="427256"/>
    <x v="0"/>
    <n v="413"/>
    <n v="332612"/>
    <n v="9.39"/>
    <x v="4"/>
    <n v="76182"/>
    <x v="3"/>
    <x v="1"/>
    <s v="Single"/>
    <x v="1"/>
    <n v="0"/>
  </r>
  <r>
    <x v="147"/>
    <n v="26"/>
    <x v="0"/>
    <n v="428961"/>
    <x v="1"/>
    <n v="789"/>
    <n v="333232"/>
    <n v="14.66"/>
    <x v="3"/>
    <n v="76911"/>
    <x v="3"/>
    <x v="0"/>
    <s v="Married"/>
    <x v="1"/>
    <n v="1"/>
  </r>
  <r>
    <x v="148"/>
    <n v="26"/>
    <x v="1"/>
    <n v="429662"/>
    <x v="1"/>
    <n v="826"/>
    <n v="333316"/>
    <n v="11.07"/>
    <x v="1"/>
    <n v="78061"/>
    <x v="2"/>
    <x v="0"/>
    <s v="Married"/>
    <x v="1"/>
    <n v="0"/>
  </r>
  <r>
    <x v="149"/>
    <n v="26"/>
    <x v="1"/>
    <n v="429662"/>
    <x v="1"/>
    <n v="814"/>
    <n v="339501"/>
    <n v="9.7100000000000009"/>
    <x v="4"/>
    <n v="78463"/>
    <x v="4"/>
    <x v="0"/>
    <s v="Single"/>
    <x v="0"/>
    <n v="0"/>
  </r>
  <r>
    <x v="150"/>
    <n v="26"/>
    <x v="0"/>
    <n v="429748"/>
    <x v="1"/>
    <n v="878"/>
    <n v="340747"/>
    <n v="11.97"/>
    <x v="4"/>
    <n v="78530"/>
    <x v="3"/>
    <x v="1"/>
    <s v="Single"/>
    <x v="0"/>
    <n v="0"/>
  </r>
  <r>
    <x v="151"/>
    <n v="26"/>
    <x v="1"/>
    <n v="431109"/>
    <x v="1"/>
    <n v="300"/>
    <n v="345862"/>
    <n v="7.71"/>
    <x v="1"/>
    <n v="78564"/>
    <x v="3"/>
    <x v="1"/>
    <s v="Single"/>
    <x v="0"/>
    <n v="1"/>
  </r>
  <r>
    <x v="152"/>
    <n v="26"/>
    <x v="0"/>
    <n v="431241"/>
    <x v="0"/>
    <n v="809"/>
    <n v="346920"/>
    <n v="9.8800000000000008"/>
    <x v="3"/>
    <n v="79137"/>
    <x v="0"/>
    <x v="1"/>
    <s v="Single"/>
    <x v="2"/>
    <n v="0"/>
  </r>
  <r>
    <x v="153"/>
    <n v="26"/>
    <x v="1"/>
    <n v="431288"/>
    <x v="1"/>
    <n v="587"/>
    <n v="347645"/>
    <n v="7.69"/>
    <x v="4"/>
    <n v="81002"/>
    <x v="3"/>
    <x v="0"/>
    <s v="Married"/>
    <x v="1"/>
    <n v="0"/>
  </r>
  <r>
    <x v="154"/>
    <n v="26"/>
    <x v="0"/>
    <n v="431819"/>
    <x v="1"/>
    <n v="398"/>
    <n v="348234"/>
    <n v="10.02"/>
    <x v="4"/>
    <n v="81240"/>
    <x v="3"/>
    <x v="1"/>
    <s v="Married"/>
    <x v="2"/>
    <n v="0"/>
  </r>
  <r>
    <x v="155"/>
    <n v="26"/>
    <x v="0"/>
    <n v="431931"/>
    <x v="0"/>
    <n v="780"/>
    <n v="354593"/>
    <n v="11.29"/>
    <x v="3"/>
    <n v="82239"/>
    <x v="0"/>
    <x v="0"/>
    <s v="Married"/>
    <x v="0"/>
    <n v="0"/>
  </r>
  <r>
    <x v="156"/>
    <n v="26"/>
    <x v="1"/>
    <n v="435220"/>
    <x v="0"/>
    <n v="521"/>
    <n v="356150"/>
    <n v="12.38"/>
    <x v="3"/>
    <n v="82503"/>
    <x v="3"/>
    <x v="0"/>
    <s v="Married"/>
    <x v="1"/>
    <n v="0"/>
  </r>
  <r>
    <x v="157"/>
    <n v="26"/>
    <x v="0"/>
    <n v="435370"/>
    <x v="0"/>
    <n v="612"/>
    <n v="358204"/>
    <n v="13.17"/>
    <x v="2"/>
    <n v="84348"/>
    <x v="2"/>
    <x v="1"/>
    <s v="Single"/>
    <x v="1"/>
    <n v="0"/>
  </r>
  <r>
    <x v="158"/>
    <n v="26"/>
    <x v="0"/>
    <n v="436211"/>
    <x v="1"/>
    <n v="606"/>
    <n v="360193"/>
    <n v="8.01"/>
    <x v="3"/>
    <n v="84646"/>
    <x v="2"/>
    <x v="1"/>
    <s v="Married"/>
    <x v="0"/>
    <n v="0"/>
  </r>
  <r>
    <x v="159"/>
    <n v="26"/>
    <x v="1"/>
    <n v="437281"/>
    <x v="1"/>
    <n v="662"/>
    <n v="361967"/>
    <n v="7.95"/>
    <x v="4"/>
    <n v="84883"/>
    <x v="2"/>
    <x v="1"/>
    <s v="Married"/>
    <x v="1"/>
    <n v="0"/>
  </r>
  <r>
    <x v="160"/>
    <n v="26"/>
    <x v="0"/>
    <n v="437343"/>
    <x v="1"/>
    <n v="618"/>
    <n v="363631"/>
    <n v="11.98"/>
    <x v="1"/>
    <n v="85077"/>
    <x v="3"/>
    <x v="0"/>
    <s v="Married"/>
    <x v="0"/>
    <n v="0"/>
  </r>
  <r>
    <x v="161"/>
    <n v="26"/>
    <x v="1"/>
    <n v="438031"/>
    <x v="1"/>
    <n v="638"/>
    <n v="365689"/>
    <n v="12.95"/>
    <x v="1"/>
    <n v="85744"/>
    <x v="2"/>
    <x v="0"/>
    <s v="Married"/>
    <x v="0"/>
    <n v="0"/>
  </r>
  <r>
    <x v="162"/>
    <n v="27"/>
    <x v="1"/>
    <n v="440161"/>
    <x v="0"/>
    <n v="499"/>
    <n v="367853"/>
    <n v="15.94"/>
    <x v="2"/>
    <n v="86775"/>
    <x v="4"/>
    <x v="1"/>
    <s v="Single"/>
    <x v="2"/>
    <n v="0"/>
  </r>
  <r>
    <x v="163"/>
    <n v="27"/>
    <x v="1"/>
    <n v="441142"/>
    <x v="1"/>
    <n v="529"/>
    <n v="368137"/>
    <n v="8.58"/>
    <x v="3"/>
    <n v="87114"/>
    <x v="3"/>
    <x v="1"/>
    <s v="Married"/>
    <x v="1"/>
    <n v="0"/>
  </r>
  <r>
    <x v="164"/>
    <n v="27"/>
    <x v="1"/>
    <n v="441255"/>
    <x v="1"/>
    <n v="400"/>
    <n v="369882"/>
    <n v="10.5"/>
    <x v="1"/>
    <n v="88102"/>
    <x v="3"/>
    <x v="1"/>
    <s v="Married"/>
    <x v="1"/>
    <n v="0"/>
  </r>
  <r>
    <x v="165"/>
    <n v="27"/>
    <x v="1"/>
    <n v="441972"/>
    <x v="0"/>
    <n v="894"/>
    <n v="370425"/>
    <n v="15.14"/>
    <x v="4"/>
    <n v="89801"/>
    <x v="4"/>
    <x v="1"/>
    <s v="Married"/>
    <x v="0"/>
    <n v="0"/>
  </r>
  <r>
    <x v="166"/>
    <n v="27"/>
    <x v="0"/>
    <n v="442824"/>
    <x v="0"/>
    <n v="524"/>
    <n v="370731"/>
    <n v="16.13"/>
    <x v="3"/>
    <n v="89954"/>
    <x v="4"/>
    <x v="0"/>
    <s v="Single"/>
    <x v="0"/>
    <n v="0"/>
  </r>
  <r>
    <x v="167"/>
    <n v="27"/>
    <x v="1"/>
    <n v="443683"/>
    <x v="1"/>
    <n v="452"/>
    <n v="371126"/>
    <n v="11.9"/>
    <x v="3"/>
    <n v="91255"/>
    <x v="3"/>
    <x v="1"/>
    <s v="Married"/>
    <x v="2"/>
    <n v="0"/>
  </r>
  <r>
    <x v="168"/>
    <n v="27"/>
    <x v="1"/>
    <n v="445081"/>
    <x v="0"/>
    <n v="838"/>
    <n v="371441"/>
    <n v="11.94"/>
    <x v="1"/>
    <n v="91329"/>
    <x v="2"/>
    <x v="1"/>
    <s v="Married"/>
    <x v="2"/>
    <n v="1"/>
  </r>
  <r>
    <x v="169"/>
    <n v="27"/>
    <x v="0"/>
    <n v="446815"/>
    <x v="0"/>
    <n v="330"/>
    <n v="379360"/>
    <n v="14.76"/>
    <x v="1"/>
    <n v="92177"/>
    <x v="3"/>
    <x v="0"/>
    <s v="Married"/>
    <x v="1"/>
    <n v="0"/>
  </r>
  <r>
    <x v="170"/>
    <n v="27"/>
    <x v="0"/>
    <n v="448221"/>
    <x v="0"/>
    <n v="767"/>
    <n v="385845"/>
    <n v="15.16"/>
    <x v="3"/>
    <n v="92252"/>
    <x v="0"/>
    <x v="1"/>
    <s v="Married"/>
    <x v="0"/>
    <n v="0"/>
  </r>
  <r>
    <x v="171"/>
    <n v="27"/>
    <x v="0"/>
    <n v="448428"/>
    <x v="0"/>
    <n v="702"/>
    <n v="386057"/>
    <n v="16"/>
    <x v="0"/>
    <n v="92953"/>
    <x v="0"/>
    <x v="0"/>
    <s v="Single"/>
    <x v="2"/>
    <n v="0"/>
  </r>
  <r>
    <x v="172"/>
    <n v="27"/>
    <x v="1"/>
    <n v="450450"/>
    <x v="0"/>
    <n v="525"/>
    <n v="396298"/>
    <n v="12.01"/>
    <x v="3"/>
    <n v="93821"/>
    <x v="4"/>
    <x v="1"/>
    <s v="Single"/>
    <x v="1"/>
    <n v="0"/>
  </r>
  <r>
    <x v="173"/>
    <n v="27"/>
    <x v="0"/>
    <n v="452361"/>
    <x v="0"/>
    <n v="398"/>
    <n v="398887"/>
    <n v="12.58"/>
    <x v="1"/>
    <n v="94513"/>
    <x v="0"/>
    <x v="1"/>
    <s v="Married"/>
    <x v="1"/>
    <n v="0"/>
  </r>
  <r>
    <x v="174"/>
    <n v="27"/>
    <x v="0"/>
    <n v="453126"/>
    <x v="1"/>
    <n v="634"/>
    <n v="399016"/>
    <n v="13.58"/>
    <x v="2"/>
    <n v="95042"/>
    <x v="0"/>
    <x v="1"/>
    <s v="Married"/>
    <x v="1"/>
    <n v="0"/>
  </r>
  <r>
    <x v="175"/>
    <n v="27"/>
    <x v="0"/>
    <n v="454499"/>
    <x v="1"/>
    <n v="543"/>
    <n v="399036"/>
    <n v="8.75"/>
    <x v="1"/>
    <n v="95903"/>
    <x v="0"/>
    <x v="0"/>
    <s v="Single"/>
    <x v="2"/>
    <n v="0"/>
  </r>
  <r>
    <x v="176"/>
    <n v="27"/>
    <x v="0"/>
    <n v="457214"/>
    <x v="1"/>
    <n v="731"/>
    <n v="399880"/>
    <n v="10.83"/>
    <x v="3"/>
    <n v="95954"/>
    <x v="1"/>
    <x v="1"/>
    <s v="Single"/>
    <x v="2"/>
    <n v="0"/>
  </r>
  <r>
    <x v="177"/>
    <n v="27"/>
    <x v="0"/>
    <n v="457549"/>
    <x v="1"/>
    <n v="754"/>
    <n v="401455"/>
    <n v="15.02"/>
    <x v="1"/>
    <n v="95989"/>
    <x v="2"/>
    <x v="1"/>
    <s v="Married"/>
    <x v="0"/>
    <n v="0"/>
  </r>
  <r>
    <x v="178"/>
    <n v="27"/>
    <x v="1"/>
    <n v="457579"/>
    <x v="1"/>
    <n v="548"/>
    <n v="405555"/>
    <n v="11.16"/>
    <x v="4"/>
    <n v="96041"/>
    <x v="0"/>
    <x v="1"/>
    <s v="Single"/>
    <x v="1"/>
    <n v="1"/>
  </r>
  <r>
    <x v="179"/>
    <n v="27"/>
    <x v="1"/>
    <n v="458733"/>
    <x v="0"/>
    <n v="324"/>
    <n v="407828"/>
    <n v="9.36"/>
    <x v="0"/>
    <n v="96367"/>
    <x v="4"/>
    <x v="0"/>
    <s v="Single"/>
    <x v="0"/>
    <n v="1"/>
  </r>
  <r>
    <x v="180"/>
    <n v="27"/>
    <x v="0"/>
    <n v="460528"/>
    <x v="1"/>
    <n v="553"/>
    <n v="408240"/>
    <n v="11.24"/>
    <x v="4"/>
    <n v="96454"/>
    <x v="3"/>
    <x v="0"/>
    <s v="Married"/>
    <x v="2"/>
    <n v="0"/>
  </r>
  <r>
    <x v="181"/>
    <n v="27"/>
    <x v="0"/>
    <n v="460924"/>
    <x v="1"/>
    <n v="578"/>
    <n v="413529"/>
    <n v="9.89"/>
    <x v="1"/>
    <n v="98318"/>
    <x v="0"/>
    <x v="0"/>
    <s v="Married"/>
    <x v="1"/>
    <n v="0"/>
  </r>
  <r>
    <x v="182"/>
    <n v="27"/>
    <x v="0"/>
    <n v="464503"/>
    <x v="0"/>
    <n v="624"/>
    <n v="413568"/>
    <n v="8.0299999999999994"/>
    <x v="1"/>
    <n v="98431"/>
    <x v="3"/>
    <x v="0"/>
    <s v="Married"/>
    <x v="1"/>
    <n v="0"/>
  </r>
  <r>
    <x v="183"/>
    <n v="27"/>
    <x v="1"/>
    <n v="464574"/>
    <x v="0"/>
    <n v="429"/>
    <n v="414019"/>
    <n v="15.19"/>
    <x v="4"/>
    <n v="98482"/>
    <x v="2"/>
    <x v="0"/>
    <s v="Married"/>
    <x v="0"/>
    <n v="0"/>
  </r>
  <r>
    <x v="184"/>
    <n v="27"/>
    <x v="1"/>
    <n v="464807"/>
    <x v="0"/>
    <m/>
    <n v="414567"/>
    <n v="8.64"/>
    <x v="0"/>
    <n v="98730"/>
    <x v="1"/>
    <x v="1"/>
    <s v="Single"/>
    <x v="1"/>
    <n v="0"/>
  </r>
  <r>
    <x v="185"/>
    <n v="27"/>
    <x v="1"/>
    <n v="466274"/>
    <x v="1"/>
    <n v="498"/>
    <n v="414612"/>
    <n v="15.81"/>
    <x v="1"/>
    <n v="98985"/>
    <x v="2"/>
    <x v="0"/>
    <s v="Single"/>
    <x v="0"/>
    <n v="0"/>
  </r>
  <r>
    <x v="186"/>
    <n v="27"/>
    <x v="0"/>
    <n v="467564"/>
    <x v="1"/>
    <n v="355"/>
    <n v="416827"/>
    <n v="8.57"/>
    <x v="3"/>
    <n v="99218"/>
    <x v="1"/>
    <x v="1"/>
    <s v="Married"/>
    <x v="2"/>
    <n v="1"/>
  </r>
  <r>
    <x v="187"/>
    <n v="27"/>
    <x v="1"/>
    <n v="467767"/>
    <x v="0"/>
    <n v="778"/>
    <n v="416978"/>
    <n v="12.1"/>
    <x v="0"/>
    <n v="100511"/>
    <x v="2"/>
    <x v="1"/>
    <s v="Married"/>
    <x v="1"/>
    <n v="0"/>
  </r>
  <r>
    <x v="188"/>
    <n v="27"/>
    <x v="0"/>
    <n v="468611"/>
    <x v="0"/>
    <n v="409"/>
    <n v="417059"/>
    <n v="12.19"/>
    <x v="2"/>
    <n v="100710"/>
    <x v="1"/>
    <x v="0"/>
    <s v="Single"/>
    <x v="2"/>
    <n v="1"/>
  </r>
  <r>
    <x v="189"/>
    <n v="28"/>
    <x v="0"/>
    <n v="470804"/>
    <x v="0"/>
    <n v="556"/>
    <n v="418217"/>
    <n v="12.16"/>
    <x v="0"/>
    <n v="101777"/>
    <x v="0"/>
    <x v="1"/>
    <s v="Married"/>
    <x v="1"/>
    <n v="0"/>
  </r>
  <r>
    <x v="190"/>
    <n v="28"/>
    <x v="1"/>
    <n v="477382"/>
    <x v="1"/>
    <n v="768"/>
    <n v="419759"/>
    <n v="9.99"/>
    <x v="1"/>
    <n v="102184"/>
    <x v="4"/>
    <x v="0"/>
    <s v="Married"/>
    <x v="2"/>
    <n v="0"/>
  </r>
  <r>
    <x v="191"/>
    <n v="28"/>
    <x v="1"/>
    <n v="479135"/>
    <x v="0"/>
    <n v="815"/>
    <n v="420859"/>
    <n v="14.77"/>
    <x v="0"/>
    <n v="102198"/>
    <x v="0"/>
    <x v="1"/>
    <s v="Single"/>
    <x v="1"/>
    <n v="0"/>
  </r>
  <r>
    <x v="192"/>
    <n v="28"/>
    <x v="0"/>
    <n v="481340"/>
    <x v="0"/>
    <n v="632"/>
    <n v="423257"/>
    <n v="7.54"/>
    <x v="1"/>
    <n v="102212"/>
    <x v="4"/>
    <x v="0"/>
    <s v="Married"/>
    <x v="0"/>
    <n v="0"/>
  </r>
  <r>
    <x v="193"/>
    <n v="28"/>
    <x v="0"/>
    <n v="484098"/>
    <x v="0"/>
    <n v="661"/>
    <n v="425007"/>
    <n v="9.8800000000000008"/>
    <x v="2"/>
    <n v="105237"/>
    <x v="1"/>
    <x v="1"/>
    <s v="Single"/>
    <x v="2"/>
    <n v="1"/>
  </r>
  <r>
    <x v="194"/>
    <n v="28"/>
    <x v="1"/>
    <n v="485070"/>
    <x v="1"/>
    <n v="448"/>
    <n v="425297"/>
    <n v="10.93"/>
    <x v="4"/>
    <n v="106196"/>
    <x v="4"/>
    <x v="0"/>
    <s v="Married"/>
    <x v="2"/>
    <n v="1"/>
  </r>
  <r>
    <x v="195"/>
    <n v="28"/>
    <x v="1"/>
    <n v="485574"/>
    <x v="1"/>
    <n v="438"/>
    <n v="425528"/>
    <n v="14.55"/>
    <x v="4"/>
    <n v="106547"/>
    <x v="2"/>
    <x v="1"/>
    <s v="Single"/>
    <x v="2"/>
    <n v="0"/>
  </r>
  <r>
    <x v="196"/>
    <n v="28"/>
    <x v="0"/>
    <n v="486582"/>
    <x v="0"/>
    <n v="755"/>
    <n v="426382"/>
    <n v="10.08"/>
    <x v="0"/>
    <n v="106554"/>
    <x v="1"/>
    <x v="1"/>
    <s v="Married"/>
    <x v="0"/>
    <n v="1"/>
  </r>
  <r>
    <x v="197"/>
    <n v="28"/>
    <x v="0"/>
    <n v="488528"/>
    <x v="1"/>
    <n v="749"/>
    <n v="430940"/>
    <n v="10.34"/>
    <x v="3"/>
    <n v="107033"/>
    <x v="4"/>
    <x v="1"/>
    <s v="Married"/>
    <x v="0"/>
    <n v="0"/>
  </r>
  <r>
    <x v="198"/>
    <n v="28"/>
    <x v="1"/>
    <n v="489242"/>
    <x v="1"/>
    <n v="843"/>
    <n v="432319"/>
    <n v="13.66"/>
    <x v="2"/>
    <n v="107541"/>
    <x v="0"/>
    <x v="0"/>
    <s v="Married"/>
    <x v="2"/>
    <n v="0"/>
  </r>
  <r>
    <x v="199"/>
    <n v="28"/>
    <x v="1"/>
    <n v="491614"/>
    <x v="0"/>
    <n v="409"/>
    <n v="433954"/>
    <n v="9.5399999999999991"/>
    <x v="2"/>
    <n v="108084"/>
    <x v="4"/>
    <x v="0"/>
    <s v="Single"/>
    <x v="2"/>
    <n v="0"/>
  </r>
  <r>
    <x v="200"/>
    <n v="28"/>
    <x v="0"/>
    <n v="495407"/>
    <x v="0"/>
    <n v="455"/>
    <n v="435397"/>
    <n v="12.75"/>
    <x v="1"/>
    <n v="108914"/>
    <x v="1"/>
    <x v="1"/>
    <s v="Single"/>
    <x v="2"/>
    <n v="0"/>
  </r>
  <r>
    <x v="201"/>
    <n v="28"/>
    <x v="0"/>
    <n v="495663"/>
    <x v="1"/>
    <n v="816"/>
    <n v="439908"/>
    <n v="7.93"/>
    <x v="4"/>
    <n v="109703"/>
    <x v="1"/>
    <x v="1"/>
    <s v="Married"/>
    <x v="2"/>
    <n v="0"/>
  </r>
  <r>
    <x v="202"/>
    <n v="28"/>
    <x v="1"/>
    <n v="499023"/>
    <x v="1"/>
    <n v="784"/>
    <n v="444653"/>
    <n v="13.43"/>
    <x v="2"/>
    <n v="110281"/>
    <x v="1"/>
    <x v="0"/>
    <s v="Single"/>
    <x v="2"/>
    <n v="0"/>
  </r>
  <r>
    <x v="203"/>
    <n v="28"/>
    <x v="2"/>
    <n v="499150"/>
    <x v="0"/>
    <n v="898"/>
    <n v="445795"/>
    <n v="15.54"/>
    <x v="0"/>
    <n v="111006"/>
    <x v="4"/>
    <x v="0"/>
    <s v="Single"/>
    <x v="0"/>
    <n v="0"/>
  </r>
  <r>
    <x v="204"/>
    <n v="28"/>
    <x v="1"/>
    <n v="499207"/>
    <x v="1"/>
    <n v="774"/>
    <n v="446113"/>
    <n v="13.91"/>
    <x v="3"/>
    <n v="111098"/>
    <x v="2"/>
    <x v="1"/>
    <s v="Married"/>
    <x v="0"/>
    <n v="0"/>
  </r>
  <r>
    <x v="205"/>
    <n v="28"/>
    <x v="2"/>
    <n v="500208"/>
    <x v="0"/>
    <n v="495"/>
    <n v="447430"/>
    <n v="12.12"/>
    <x v="4"/>
    <n v="111422"/>
    <x v="4"/>
    <x v="1"/>
    <s v="Married"/>
    <x v="2"/>
    <n v="1"/>
  </r>
  <r>
    <x v="206"/>
    <n v="28"/>
    <x v="1"/>
    <n v="502045"/>
    <x v="0"/>
    <n v="719"/>
    <n v="447938"/>
    <n v="15.68"/>
    <x v="0"/>
    <n v="111685"/>
    <x v="3"/>
    <x v="1"/>
    <s v="Single"/>
    <x v="1"/>
    <n v="0"/>
  </r>
  <r>
    <x v="207"/>
    <n v="28"/>
    <x v="0"/>
    <n v="502669"/>
    <x v="0"/>
    <n v="603"/>
    <n v="448995"/>
    <n v="14.87"/>
    <x v="0"/>
    <n v="111961"/>
    <x v="4"/>
    <x v="1"/>
    <s v="Single"/>
    <x v="0"/>
    <n v="0"/>
  </r>
  <r>
    <x v="208"/>
    <n v="28"/>
    <x v="0"/>
    <n v="503066"/>
    <x v="1"/>
    <n v="511"/>
    <n v="449173"/>
    <n v="15.77"/>
    <x v="4"/>
    <n v="112035"/>
    <x v="0"/>
    <x v="0"/>
    <s v="Single"/>
    <x v="2"/>
    <n v="1"/>
  </r>
  <r>
    <x v="209"/>
    <n v="28"/>
    <x v="0"/>
    <n v="503828"/>
    <x v="1"/>
    <n v="447"/>
    <n v="449643"/>
    <n v="10.09"/>
    <x v="4"/>
    <n v="112035"/>
    <x v="1"/>
    <x v="0"/>
    <s v="Single"/>
    <x v="2"/>
    <n v="0"/>
  </r>
  <r>
    <x v="210"/>
    <n v="28"/>
    <x v="0"/>
    <n v="507026"/>
    <x v="0"/>
    <n v="873"/>
    <n v="451517"/>
    <n v="14.51"/>
    <x v="2"/>
    <n v="112179"/>
    <x v="2"/>
    <x v="0"/>
    <s v="Married"/>
    <x v="0"/>
    <n v="0"/>
  </r>
  <r>
    <x v="211"/>
    <n v="28"/>
    <x v="0"/>
    <n v="507174"/>
    <x v="1"/>
    <n v="449"/>
    <n v="451718"/>
    <n v="10.119999999999999"/>
    <x v="0"/>
    <n v="112295"/>
    <x v="0"/>
    <x v="0"/>
    <s v="Single"/>
    <x v="0"/>
    <n v="0"/>
  </r>
  <r>
    <x v="212"/>
    <n v="28"/>
    <x v="1"/>
    <n v="507174"/>
    <x v="1"/>
    <n v="734"/>
    <n v="451718"/>
    <n v="15.23"/>
    <x v="3"/>
    <n v="112578"/>
    <x v="2"/>
    <x v="0"/>
    <s v="Married"/>
    <x v="0"/>
    <n v="0"/>
  </r>
  <r>
    <x v="213"/>
    <n v="28"/>
    <x v="2"/>
    <n v="511742"/>
    <x v="0"/>
    <n v="775"/>
    <n v="454816"/>
    <n v="11.79"/>
    <x v="4"/>
    <n v="112901"/>
    <x v="3"/>
    <x v="0"/>
    <s v="Single"/>
    <x v="2"/>
    <n v="0"/>
  </r>
  <r>
    <x v="214"/>
    <n v="28"/>
    <x v="0"/>
    <n v="512252"/>
    <x v="0"/>
    <n v="778"/>
    <n v="457922"/>
    <n v="16.39"/>
    <x v="0"/>
    <n v="113206"/>
    <x v="0"/>
    <x v="0"/>
    <s v="Married"/>
    <x v="0"/>
    <n v="0"/>
  </r>
  <r>
    <x v="215"/>
    <n v="29"/>
    <x v="1"/>
    <n v="519557"/>
    <x v="0"/>
    <n v="534"/>
    <n v="459221"/>
    <n v="13.7"/>
    <x v="2"/>
    <n v="114273"/>
    <x v="3"/>
    <x v="1"/>
    <s v="Single"/>
    <x v="1"/>
    <n v="1"/>
  </r>
  <r>
    <x v="216"/>
    <n v="29"/>
    <x v="0"/>
    <n v="520191"/>
    <x v="1"/>
    <n v="535"/>
    <n v="463399"/>
    <n v="10.79"/>
    <x v="4"/>
    <n v="114288"/>
    <x v="1"/>
    <x v="1"/>
    <s v="Married"/>
    <x v="2"/>
    <n v="0"/>
  </r>
  <r>
    <x v="217"/>
    <n v="29"/>
    <x v="1"/>
    <n v="522146"/>
    <x v="1"/>
    <n v="677"/>
    <n v="465054"/>
    <n v="12.94"/>
    <x v="1"/>
    <n v="114490"/>
    <x v="3"/>
    <x v="0"/>
    <s v="Single"/>
    <x v="0"/>
    <n v="0"/>
  </r>
  <r>
    <x v="218"/>
    <n v="29"/>
    <x v="1"/>
    <n v="523972"/>
    <x v="1"/>
    <n v="453"/>
    <n v="465595"/>
    <n v="15.75"/>
    <x v="0"/>
    <n v="115234"/>
    <x v="0"/>
    <x v="0"/>
    <s v="Single"/>
    <x v="1"/>
    <n v="1"/>
  </r>
  <r>
    <x v="219"/>
    <n v="29"/>
    <x v="0"/>
    <n v="525833"/>
    <x v="0"/>
    <n v="599"/>
    <n v="466222"/>
    <n v="15.42"/>
    <x v="2"/>
    <n v="115378"/>
    <x v="3"/>
    <x v="1"/>
    <s v="Single"/>
    <x v="1"/>
    <n v="0"/>
  </r>
  <r>
    <x v="220"/>
    <n v="29"/>
    <x v="0"/>
    <n v="527412"/>
    <x v="1"/>
    <n v="665"/>
    <n v="469415"/>
    <n v="14.47"/>
    <x v="0"/>
    <n v="115461"/>
    <x v="1"/>
    <x v="0"/>
    <s v="Married"/>
    <x v="2"/>
    <n v="0"/>
  </r>
  <r>
    <x v="221"/>
    <n v="29"/>
    <x v="2"/>
    <n v="528171"/>
    <x v="1"/>
    <n v="361"/>
    <n v="469895"/>
    <n v="9.7799999999999994"/>
    <x v="1"/>
    <n v="115624"/>
    <x v="1"/>
    <x v="1"/>
    <s v="Married"/>
    <x v="2"/>
    <n v="1"/>
  </r>
  <r>
    <x v="222"/>
    <n v="29"/>
    <x v="1"/>
    <n v="529298"/>
    <x v="0"/>
    <n v="538"/>
    <n v="473693"/>
    <n v="13.37"/>
    <x v="1"/>
    <n v="115697"/>
    <x v="4"/>
    <x v="1"/>
    <s v="Single"/>
    <x v="0"/>
    <n v="0"/>
  </r>
  <r>
    <x v="223"/>
    <n v="29"/>
    <x v="1"/>
    <n v="530962"/>
    <x v="1"/>
    <n v="874"/>
    <n v="473890"/>
    <n v="11.92"/>
    <x v="4"/>
    <n v="116079"/>
    <x v="2"/>
    <x v="0"/>
    <s v="Single"/>
    <x v="1"/>
    <n v="0"/>
  </r>
  <r>
    <x v="224"/>
    <n v="29"/>
    <x v="0"/>
    <n v="531112"/>
    <x v="0"/>
    <n v="592"/>
    <n v="473978"/>
    <n v="10.17"/>
    <x v="3"/>
    <n v="116654"/>
    <x v="2"/>
    <x v="1"/>
    <s v="Single"/>
    <x v="0"/>
    <n v="0"/>
  </r>
  <r>
    <x v="225"/>
    <n v="29"/>
    <x v="1"/>
    <n v="531929"/>
    <x v="1"/>
    <n v="527"/>
    <n v="473996"/>
    <n v="9.85"/>
    <x v="2"/>
    <n v="116897"/>
    <x v="3"/>
    <x v="0"/>
    <s v="Married"/>
    <x v="2"/>
    <n v="0"/>
  </r>
  <r>
    <x v="226"/>
    <n v="29"/>
    <x v="1"/>
    <n v="531967"/>
    <x v="0"/>
    <n v="650"/>
    <n v="475530"/>
    <n v="15.45"/>
    <x v="2"/>
    <n v="117094"/>
    <x v="1"/>
    <x v="0"/>
    <s v="Single"/>
    <x v="2"/>
    <n v="0"/>
  </r>
  <r>
    <x v="227"/>
    <n v="29"/>
    <x v="0"/>
    <n v="534153"/>
    <x v="1"/>
    <n v="584"/>
    <n v="476321"/>
    <n v="8.24"/>
    <x v="4"/>
    <n v="117551"/>
    <x v="1"/>
    <x v="1"/>
    <s v="Single"/>
    <x v="1"/>
    <n v="0"/>
  </r>
  <r>
    <x v="228"/>
    <n v="29"/>
    <x v="1"/>
    <n v="534928"/>
    <x v="1"/>
    <n v="385"/>
    <n v="476650"/>
    <n v="11.32"/>
    <x v="3"/>
    <n v="118090"/>
    <x v="1"/>
    <x v="0"/>
    <s v="Single"/>
    <x v="0"/>
    <n v="0"/>
  </r>
  <r>
    <x v="229"/>
    <n v="29"/>
    <x v="0"/>
    <n v="536280"/>
    <x v="1"/>
    <n v="432"/>
    <n v="477205"/>
    <n v="7.87"/>
    <x v="3"/>
    <n v="118564"/>
    <x v="2"/>
    <x v="1"/>
    <s v="Single"/>
    <x v="0"/>
    <n v="0"/>
  </r>
  <r>
    <x v="230"/>
    <n v="29"/>
    <x v="0"/>
    <n v="536862"/>
    <x v="1"/>
    <n v="511"/>
    <n v="477455"/>
    <n v="14.06"/>
    <x v="4"/>
    <n v="118600"/>
    <x v="3"/>
    <x v="1"/>
    <s v="Single"/>
    <x v="0"/>
    <n v="0"/>
  </r>
  <r>
    <x v="231"/>
    <n v="29"/>
    <x v="1"/>
    <n v="537649"/>
    <x v="1"/>
    <n v="869"/>
    <n v="479381"/>
    <n v="12.42"/>
    <x v="1"/>
    <n v="118974"/>
    <x v="0"/>
    <x v="0"/>
    <s v="Single"/>
    <x v="0"/>
    <n v="0"/>
  </r>
  <r>
    <x v="232"/>
    <n v="29"/>
    <x v="1"/>
    <n v="539787"/>
    <x v="0"/>
    <n v="529"/>
    <n v="480729"/>
    <n v="7.58"/>
    <x v="4"/>
    <n v="119382"/>
    <x v="1"/>
    <x v="1"/>
    <s v="Single"/>
    <x v="2"/>
    <n v="1"/>
  </r>
  <r>
    <x v="233"/>
    <n v="29"/>
    <x v="1"/>
    <n v="540884"/>
    <x v="1"/>
    <n v="629"/>
    <n v="481202"/>
    <n v="14.64"/>
    <x v="0"/>
    <n v="119774"/>
    <x v="2"/>
    <x v="0"/>
    <s v="Married"/>
    <x v="2"/>
    <n v="0"/>
  </r>
  <r>
    <x v="234"/>
    <n v="29"/>
    <x v="1"/>
    <n v="541936"/>
    <x v="1"/>
    <n v="826"/>
    <n v="485051"/>
    <n v="8.93"/>
    <x v="0"/>
    <n v="120410"/>
    <x v="1"/>
    <x v="1"/>
    <s v="Married"/>
    <x v="2"/>
    <n v="0"/>
  </r>
  <r>
    <x v="235"/>
    <n v="29"/>
    <x v="1"/>
    <n v="543163"/>
    <x v="1"/>
    <n v="635"/>
    <n v="486789"/>
    <n v="10.36"/>
    <x v="1"/>
    <n v="120423"/>
    <x v="3"/>
    <x v="1"/>
    <s v="Married"/>
    <x v="2"/>
    <n v="0"/>
  </r>
  <r>
    <x v="236"/>
    <n v="29"/>
    <x v="2"/>
    <n v="543187"/>
    <x v="0"/>
    <n v="756"/>
    <n v="490108"/>
    <n v="8.81"/>
    <x v="4"/>
    <n v="120423"/>
    <x v="4"/>
    <x v="0"/>
    <s v="Single"/>
    <x v="2"/>
    <n v="1"/>
  </r>
  <r>
    <x v="237"/>
    <n v="29"/>
    <x v="0"/>
    <n v="545346"/>
    <x v="0"/>
    <n v="587"/>
    <n v="492338"/>
    <n v="8.6"/>
    <x v="2"/>
    <n v="120573"/>
    <x v="1"/>
    <x v="0"/>
    <s v="Single"/>
    <x v="1"/>
    <n v="1"/>
  </r>
  <r>
    <x v="238"/>
    <n v="29"/>
    <x v="0"/>
    <n v="547538"/>
    <x v="1"/>
    <n v="840"/>
    <n v="496387"/>
    <n v="9.81"/>
    <x v="1"/>
    <n v="120753"/>
    <x v="4"/>
    <x v="1"/>
    <s v="Single"/>
    <x v="1"/>
    <n v="0"/>
  </r>
  <r>
    <x v="239"/>
    <n v="30"/>
    <x v="1"/>
    <n v="549980"/>
    <x v="0"/>
    <n v="349"/>
    <n v="497614"/>
    <n v="7.7"/>
    <x v="3"/>
    <n v="120753"/>
    <x v="4"/>
    <x v="0"/>
    <s v="Single"/>
    <x v="1"/>
    <n v="0"/>
  </r>
  <r>
    <x v="240"/>
    <n v="30"/>
    <x v="1"/>
    <n v="550013"/>
    <x v="0"/>
    <n v="392"/>
    <n v="498015"/>
    <n v="10.1"/>
    <x v="4"/>
    <n v="120940"/>
    <x v="0"/>
    <x v="1"/>
    <s v="Single"/>
    <x v="1"/>
    <n v="1"/>
  </r>
  <r>
    <x v="241"/>
    <n v="30"/>
    <x v="0"/>
    <n v="550013"/>
    <x v="0"/>
    <n v="544"/>
    <n v="498409"/>
    <n v="13.62"/>
    <x v="4"/>
    <n v="121645"/>
    <x v="1"/>
    <x v="0"/>
    <s v="Married"/>
    <x v="1"/>
    <n v="1"/>
  </r>
  <r>
    <x v="242"/>
    <n v="30"/>
    <x v="0"/>
    <n v="550082"/>
    <x v="1"/>
    <n v="372"/>
    <n v="499772"/>
    <n v="11.11"/>
    <x v="1"/>
    <n v="122549"/>
    <x v="4"/>
    <x v="1"/>
    <s v="Married"/>
    <x v="1"/>
    <n v="1"/>
  </r>
  <r>
    <x v="243"/>
    <n v="30"/>
    <x v="0"/>
    <n v="551990"/>
    <x v="0"/>
    <n v="643"/>
    <n v="500292"/>
    <n v="9.3000000000000007"/>
    <x v="2"/>
    <n v="122817"/>
    <x v="3"/>
    <x v="1"/>
    <s v="Single"/>
    <x v="0"/>
    <n v="0"/>
  </r>
  <r>
    <x v="244"/>
    <n v="30"/>
    <x v="1"/>
    <n v="552597"/>
    <x v="0"/>
    <n v="689"/>
    <n v="500453"/>
    <n v="11.54"/>
    <x v="0"/>
    <n v="122900"/>
    <x v="3"/>
    <x v="1"/>
    <s v="Married"/>
    <x v="2"/>
    <n v="0"/>
  </r>
  <r>
    <x v="245"/>
    <n v="30"/>
    <x v="1"/>
    <n v="553842"/>
    <x v="1"/>
    <n v="369"/>
    <n v="504956"/>
    <n v="14.14"/>
    <x v="4"/>
    <n v="123503"/>
    <x v="1"/>
    <x v="1"/>
    <s v="Single"/>
    <x v="1"/>
    <n v="0"/>
  </r>
  <r>
    <x v="246"/>
    <n v="30"/>
    <x v="1"/>
    <n v="553976"/>
    <x v="0"/>
    <n v="871"/>
    <n v="506492"/>
    <n v="15.81"/>
    <x v="3"/>
    <n v="123583"/>
    <x v="1"/>
    <x v="0"/>
    <s v="Married"/>
    <x v="2"/>
    <n v="0"/>
  </r>
  <r>
    <x v="247"/>
    <n v="30"/>
    <x v="0"/>
    <n v="555440"/>
    <x v="1"/>
    <n v="885"/>
    <n v="506817"/>
    <n v="7.51"/>
    <x v="4"/>
    <n v="123945"/>
    <x v="4"/>
    <x v="1"/>
    <s v="Single"/>
    <x v="1"/>
    <n v="0"/>
  </r>
  <r>
    <x v="248"/>
    <n v="30"/>
    <x v="1"/>
    <n v="557797"/>
    <x v="0"/>
    <n v="354"/>
    <n v="507445"/>
    <n v="14.87"/>
    <x v="2"/>
    <n v="125268"/>
    <x v="1"/>
    <x v="1"/>
    <s v="Married"/>
    <x v="0"/>
    <n v="0"/>
  </r>
  <r>
    <x v="249"/>
    <n v="30"/>
    <x v="1"/>
    <n v="560663"/>
    <x v="1"/>
    <n v="563"/>
    <n v="511539"/>
    <n v="15.32"/>
    <x v="2"/>
    <n v="125286"/>
    <x v="3"/>
    <x v="0"/>
    <s v="Single"/>
    <x v="2"/>
    <n v="1"/>
  </r>
  <r>
    <x v="250"/>
    <n v="30"/>
    <x v="0"/>
    <n v="563320"/>
    <x v="0"/>
    <n v="334"/>
    <n v="514452"/>
    <n v="10.6"/>
    <x v="3"/>
    <n v="125405"/>
    <x v="2"/>
    <x v="1"/>
    <s v="Married"/>
    <x v="2"/>
    <n v="0"/>
  </r>
  <r>
    <x v="251"/>
    <n v="30"/>
    <x v="1"/>
    <n v="566469"/>
    <x v="0"/>
    <n v="561"/>
    <n v="515159"/>
    <n v="7.89"/>
    <x v="4"/>
    <n v="126219"/>
    <x v="2"/>
    <x v="0"/>
    <s v="Single"/>
    <x v="1"/>
    <n v="1"/>
  </r>
  <r>
    <x v="252"/>
    <n v="30"/>
    <x v="0"/>
    <n v="566886"/>
    <x v="1"/>
    <n v="566"/>
    <n v="516869"/>
    <n v="7.69"/>
    <x v="0"/>
    <n v="126325"/>
    <x v="0"/>
    <x v="0"/>
    <s v="Married"/>
    <x v="0"/>
    <n v="1"/>
  </r>
  <r>
    <x v="253"/>
    <n v="30"/>
    <x v="1"/>
    <n v="567521"/>
    <x v="0"/>
    <n v="631"/>
    <n v="518075"/>
    <n v="8.08"/>
    <x v="4"/>
    <n v="126730"/>
    <x v="1"/>
    <x v="1"/>
    <s v="Single"/>
    <x v="1"/>
    <n v="0"/>
  </r>
  <r>
    <x v="254"/>
    <n v="30"/>
    <x v="1"/>
    <n v="567547"/>
    <x v="0"/>
    <n v="589"/>
    <n v="524611"/>
    <n v="15.14"/>
    <x v="1"/>
    <n v="126903"/>
    <x v="0"/>
    <x v="0"/>
    <s v="Married"/>
    <x v="1"/>
    <n v="0"/>
  </r>
  <r>
    <x v="255"/>
    <n v="30"/>
    <x v="1"/>
    <n v="568517"/>
    <x v="0"/>
    <n v="734"/>
    <n v="525080"/>
    <n v="13.6"/>
    <x v="0"/>
    <n v="127657"/>
    <x v="4"/>
    <x v="0"/>
    <s v="Single"/>
    <x v="1"/>
    <n v="0"/>
  </r>
  <r>
    <x v="256"/>
    <n v="30"/>
    <x v="0"/>
    <n v="571212"/>
    <x v="0"/>
    <n v="482"/>
    <n v="525495"/>
    <n v="16.079999999999998"/>
    <x v="0"/>
    <n v="127992"/>
    <x v="1"/>
    <x v="0"/>
    <s v="Single"/>
    <x v="2"/>
    <n v="1"/>
  </r>
  <r>
    <x v="257"/>
    <n v="30"/>
    <x v="1"/>
    <n v="571889"/>
    <x v="0"/>
    <n v="517"/>
    <n v="527322"/>
    <n v="12.9"/>
    <x v="1"/>
    <n v="132573"/>
    <x v="1"/>
    <x v="0"/>
    <s v="Married"/>
    <x v="2"/>
    <n v="1"/>
  </r>
  <r>
    <x v="258"/>
    <n v="30"/>
    <x v="0"/>
    <n v="572483"/>
    <x v="1"/>
    <n v="388"/>
    <n v="529259"/>
    <n v="11.97"/>
    <x v="0"/>
    <n v="133637"/>
    <x v="2"/>
    <x v="1"/>
    <s v="Married"/>
    <x v="0"/>
    <n v="1"/>
  </r>
  <r>
    <x v="259"/>
    <n v="30"/>
    <x v="1"/>
    <n v="573076"/>
    <x v="0"/>
    <n v="594"/>
    <n v="533241"/>
    <n v="16.010000000000002"/>
    <x v="2"/>
    <n v="134646"/>
    <x v="4"/>
    <x v="0"/>
    <s v="Married"/>
    <x v="0"/>
    <n v="0"/>
  </r>
  <r>
    <x v="260"/>
    <n v="30"/>
    <x v="1"/>
    <n v="574685"/>
    <x v="1"/>
    <n v="796"/>
    <n v="533385"/>
    <n v="15.51"/>
    <x v="2"/>
    <n v="135594"/>
    <x v="2"/>
    <x v="1"/>
    <s v="Single"/>
    <x v="2"/>
    <n v="0"/>
  </r>
  <r>
    <x v="261"/>
    <n v="30"/>
    <x v="0"/>
    <n v="575402"/>
    <x v="1"/>
    <n v="706"/>
    <n v="535736"/>
    <n v="15.57"/>
    <x v="1"/>
    <n v="135653"/>
    <x v="0"/>
    <x v="1"/>
    <s v="Single"/>
    <x v="1"/>
    <n v="0"/>
  </r>
  <r>
    <x v="262"/>
    <n v="30"/>
    <x v="0"/>
    <n v="576583"/>
    <x v="1"/>
    <n v="673"/>
    <n v="536054"/>
    <n v="14.08"/>
    <x v="2"/>
    <n v="136243"/>
    <x v="3"/>
    <x v="1"/>
    <s v="Married"/>
    <x v="1"/>
    <n v="1"/>
  </r>
  <r>
    <x v="263"/>
    <n v="30"/>
    <x v="1"/>
    <n v="577600"/>
    <x v="1"/>
    <n v="772"/>
    <n v="537885"/>
    <n v="8.9700000000000006"/>
    <x v="2"/>
    <n v="136743"/>
    <x v="2"/>
    <x v="0"/>
    <s v="Married"/>
    <x v="0"/>
    <n v="0"/>
  </r>
  <r>
    <x v="264"/>
    <n v="30"/>
    <x v="1"/>
    <n v="578192"/>
    <x v="0"/>
    <n v="558"/>
    <n v="540976"/>
    <n v="14.88"/>
    <x v="3"/>
    <n v="138518"/>
    <x v="3"/>
    <x v="0"/>
    <s v="Single"/>
    <x v="0"/>
    <n v="1"/>
  </r>
  <r>
    <x v="265"/>
    <n v="30"/>
    <x v="0"/>
    <n v="581362"/>
    <x v="0"/>
    <n v="576"/>
    <n v="542298"/>
    <n v="11.81"/>
    <x v="1"/>
    <n v="140046"/>
    <x v="2"/>
    <x v="1"/>
    <s v="Married"/>
    <x v="1"/>
    <n v="0"/>
  </r>
  <r>
    <x v="266"/>
    <n v="30"/>
    <x v="0"/>
    <n v="581846"/>
    <x v="0"/>
    <n v="808"/>
    <n v="542623"/>
    <n v="15.69"/>
    <x v="2"/>
    <n v="141378"/>
    <x v="1"/>
    <x v="0"/>
    <s v="Single"/>
    <x v="1"/>
    <n v="0"/>
  </r>
  <r>
    <x v="267"/>
    <n v="31"/>
    <x v="2"/>
    <n v="581848"/>
    <x v="1"/>
    <n v="808"/>
    <n v="543032"/>
    <n v="14.38"/>
    <x v="0"/>
    <n v="141974"/>
    <x v="1"/>
    <x v="1"/>
    <s v="Single"/>
    <x v="0"/>
    <n v="0"/>
  </r>
  <r>
    <x v="268"/>
    <n v="31"/>
    <x v="1"/>
    <n v="584844"/>
    <x v="1"/>
    <n v="681"/>
    <n v="544016"/>
    <n v="8.82"/>
    <x v="4"/>
    <n v="142818"/>
    <x v="3"/>
    <x v="0"/>
    <s v="Single"/>
    <x v="1"/>
    <n v="0"/>
  </r>
  <r>
    <x v="269"/>
    <n v="31"/>
    <x v="0"/>
    <n v="590253"/>
    <x v="1"/>
    <n v="638"/>
    <n v="547571"/>
    <n v="8.5299999999999994"/>
    <x v="1"/>
    <n v="142865"/>
    <x v="4"/>
    <x v="1"/>
    <s v="Married"/>
    <x v="1"/>
    <n v="0"/>
  </r>
  <r>
    <x v="270"/>
    <n v="31"/>
    <x v="0"/>
    <n v="590905"/>
    <x v="1"/>
    <n v="599"/>
    <n v="548081"/>
    <n v="12.06"/>
    <x v="0"/>
    <n v="142878"/>
    <x v="1"/>
    <x v="1"/>
    <s v="Married"/>
    <x v="0"/>
    <n v="1"/>
  </r>
  <r>
    <x v="271"/>
    <n v="31"/>
    <x v="0"/>
    <n v="594335"/>
    <x v="0"/>
    <n v="530"/>
    <n v="548528"/>
    <n v="14.88"/>
    <x v="1"/>
    <n v="142937"/>
    <x v="1"/>
    <x v="1"/>
    <s v="Single"/>
    <x v="0"/>
    <n v="1"/>
  </r>
  <r>
    <x v="272"/>
    <n v="31"/>
    <x v="0"/>
    <n v="598338"/>
    <x v="1"/>
    <n v="875"/>
    <n v="549179"/>
    <n v="10.57"/>
    <x v="1"/>
    <n v="143151"/>
    <x v="3"/>
    <x v="0"/>
    <s v="Single"/>
    <x v="0"/>
    <n v="0"/>
  </r>
  <r>
    <x v="273"/>
    <n v="31"/>
    <x v="1"/>
    <n v="599763"/>
    <x v="1"/>
    <n v="679"/>
    <n v="553378"/>
    <n v="10.37"/>
    <x v="0"/>
    <n v="143632"/>
    <x v="1"/>
    <x v="0"/>
    <s v="Married"/>
    <x v="1"/>
    <n v="0"/>
  </r>
  <r>
    <x v="274"/>
    <n v="31"/>
    <x v="0"/>
    <n v="600225"/>
    <x v="1"/>
    <n v="377"/>
    <n v="554532"/>
    <n v="11.03"/>
    <x v="1"/>
    <n v="143704"/>
    <x v="3"/>
    <x v="1"/>
    <s v="Single"/>
    <x v="0"/>
    <n v="1"/>
  </r>
  <r>
    <x v="275"/>
    <n v="31"/>
    <x v="0"/>
    <n v="600505"/>
    <x v="1"/>
    <n v="736"/>
    <n v="555615"/>
    <n v="9.09"/>
    <x v="4"/>
    <n v="144109"/>
    <x v="1"/>
    <x v="0"/>
    <s v="Married"/>
    <x v="0"/>
    <n v="0"/>
  </r>
  <r>
    <x v="276"/>
    <n v="31"/>
    <x v="1"/>
    <n v="601082"/>
    <x v="1"/>
    <n v="666"/>
    <n v="559935"/>
    <n v="11.05"/>
    <x v="2"/>
    <n v="144666"/>
    <x v="0"/>
    <x v="1"/>
    <s v="Married"/>
    <x v="0"/>
    <n v="0"/>
  </r>
  <r>
    <x v="277"/>
    <n v="31"/>
    <x v="1"/>
    <n v="601306"/>
    <x v="0"/>
    <n v="339"/>
    <n v="560719"/>
    <n v="13.15"/>
    <x v="2"/>
    <n v="145404"/>
    <x v="1"/>
    <x v="0"/>
    <s v="Single"/>
    <x v="1"/>
    <n v="0"/>
  </r>
  <r>
    <x v="278"/>
    <n v="31"/>
    <x v="0"/>
    <n v="602075"/>
    <x v="0"/>
    <n v="818"/>
    <n v="561408"/>
    <n v="12.07"/>
    <x v="0"/>
    <n v="145703"/>
    <x v="4"/>
    <x v="1"/>
    <s v="Married"/>
    <x v="2"/>
    <n v="0"/>
  </r>
  <r>
    <x v="279"/>
    <n v="31"/>
    <x v="0"/>
    <n v="602969"/>
    <x v="1"/>
    <n v="340"/>
    <n v="561613"/>
    <n v="8.2200000000000006"/>
    <x v="3"/>
    <n v="146033"/>
    <x v="0"/>
    <x v="1"/>
    <s v="Single"/>
    <x v="0"/>
    <n v="0"/>
  </r>
  <r>
    <x v="280"/>
    <n v="31"/>
    <x v="1"/>
    <n v="603023"/>
    <x v="1"/>
    <n v="761"/>
    <n v="562809"/>
    <n v="10.84"/>
    <x v="4"/>
    <n v="146640"/>
    <x v="0"/>
    <x v="1"/>
    <s v="Single"/>
    <x v="1"/>
    <n v="0"/>
  </r>
  <r>
    <x v="281"/>
    <n v="31"/>
    <x v="0"/>
    <n v="605135"/>
    <x v="1"/>
    <n v="647"/>
    <n v="563256"/>
    <n v="8.67"/>
    <x v="0"/>
    <n v="146702"/>
    <x v="2"/>
    <x v="0"/>
    <s v="Married"/>
    <x v="1"/>
    <n v="0"/>
  </r>
  <r>
    <x v="282"/>
    <n v="31"/>
    <x v="2"/>
    <n v="609039"/>
    <x v="1"/>
    <n v="604"/>
    <n v="564333"/>
    <n v="12.9"/>
    <x v="0"/>
    <n v="146954"/>
    <x v="4"/>
    <x v="0"/>
    <s v="Single"/>
    <x v="2"/>
    <n v="0"/>
  </r>
  <r>
    <x v="283"/>
    <n v="31"/>
    <x v="0"/>
    <n v="609075"/>
    <x v="0"/>
    <n v="460"/>
    <n v="569557"/>
    <n v="12.24"/>
    <x v="2"/>
    <n v="148004"/>
    <x v="4"/>
    <x v="0"/>
    <s v="Married"/>
    <x v="0"/>
    <n v="1"/>
  </r>
  <r>
    <x v="284"/>
    <n v="31"/>
    <x v="0"/>
    <n v="610683"/>
    <x v="0"/>
    <n v="700"/>
    <n v="569810"/>
    <n v="8.91"/>
    <x v="4"/>
    <n v="148547"/>
    <x v="0"/>
    <x v="0"/>
    <s v="Single"/>
    <x v="2"/>
    <n v="0"/>
  </r>
  <r>
    <x v="285"/>
    <n v="31"/>
    <x v="1"/>
    <n v="612176"/>
    <x v="0"/>
    <n v="565"/>
    <n v="570574"/>
    <n v="10.25"/>
    <x v="1"/>
    <n v="148761"/>
    <x v="3"/>
    <x v="0"/>
    <s v="Married"/>
    <x v="2"/>
    <n v="0"/>
  </r>
  <r>
    <x v="286"/>
    <n v="31"/>
    <x v="0"/>
    <n v="615565"/>
    <x v="0"/>
    <n v="860"/>
    <n v="571048"/>
    <n v="12.17"/>
    <x v="3"/>
    <n v="148880"/>
    <x v="1"/>
    <x v="1"/>
    <s v="Married"/>
    <x v="2"/>
    <n v="0"/>
  </r>
  <r>
    <x v="287"/>
    <n v="31"/>
    <x v="1"/>
    <n v="616040"/>
    <x v="0"/>
    <n v="633"/>
    <n v="571516"/>
    <n v="13.66"/>
    <x v="4"/>
    <n v="149293"/>
    <x v="3"/>
    <x v="1"/>
    <s v="Married"/>
    <x v="1"/>
    <n v="0"/>
  </r>
  <r>
    <x v="288"/>
    <n v="31"/>
    <x v="0"/>
    <n v="618400"/>
    <x v="1"/>
    <m/>
    <n v="572642"/>
    <n v="15.79"/>
    <x v="2"/>
    <n v="149720"/>
    <x v="3"/>
    <x v="1"/>
    <s v="Single"/>
    <x v="1"/>
    <n v="1"/>
  </r>
  <r>
    <x v="289"/>
    <n v="31"/>
    <x v="1"/>
    <n v="618744"/>
    <x v="1"/>
    <n v="648"/>
    <n v="576294"/>
    <n v="13.61"/>
    <x v="2"/>
    <n v="149837"/>
    <x v="1"/>
    <x v="1"/>
    <s v="Single"/>
    <x v="1"/>
    <n v="0"/>
  </r>
  <r>
    <x v="290"/>
    <n v="31"/>
    <x v="1"/>
    <n v="618935"/>
    <x v="0"/>
    <n v="634"/>
    <n v="578151"/>
    <n v="11.76"/>
    <x v="3"/>
    <n v="151248"/>
    <x v="3"/>
    <x v="1"/>
    <s v="Married"/>
    <x v="1"/>
    <n v="0"/>
  </r>
  <r>
    <x v="291"/>
    <n v="32"/>
    <x v="0"/>
    <n v="620505"/>
    <x v="1"/>
    <n v="607"/>
    <n v="578825"/>
    <n v="8.27"/>
    <x v="3"/>
    <n v="152144"/>
    <x v="3"/>
    <x v="0"/>
    <s v="Single"/>
    <x v="0"/>
    <n v="0"/>
  </r>
  <r>
    <x v="292"/>
    <n v="32"/>
    <x v="0"/>
    <n v="624177"/>
    <x v="0"/>
    <n v="308"/>
    <n v="582652"/>
    <n v="10.33"/>
    <x v="1"/>
    <n v="152798"/>
    <x v="4"/>
    <x v="1"/>
    <s v="Single"/>
    <x v="2"/>
    <n v="0"/>
  </r>
  <r>
    <x v="293"/>
    <n v="32"/>
    <x v="1"/>
    <n v="625961"/>
    <x v="0"/>
    <n v="545"/>
    <n v="585415"/>
    <n v="16.11"/>
    <x v="2"/>
    <n v="152979"/>
    <x v="3"/>
    <x v="0"/>
    <s v="Single"/>
    <x v="1"/>
    <n v="0"/>
  </r>
  <r>
    <x v="294"/>
    <n v="32"/>
    <x v="0"/>
    <n v="627871"/>
    <x v="1"/>
    <n v="878"/>
    <n v="588223"/>
    <n v="16.47"/>
    <x v="1"/>
    <n v="153151"/>
    <x v="1"/>
    <x v="1"/>
    <s v="Married"/>
    <x v="1"/>
    <n v="0"/>
  </r>
  <r>
    <x v="295"/>
    <n v="32"/>
    <x v="1"/>
    <n v="628348"/>
    <x v="1"/>
    <n v="875"/>
    <n v="589169"/>
    <n v="13.32"/>
    <x v="4"/>
    <n v="153422"/>
    <x v="4"/>
    <x v="1"/>
    <s v="Single"/>
    <x v="0"/>
    <n v="0"/>
  </r>
  <r>
    <x v="296"/>
    <n v="32"/>
    <x v="0"/>
    <n v="629643"/>
    <x v="1"/>
    <n v="337"/>
    <n v="597208"/>
    <n v="13.7"/>
    <x v="0"/>
    <n v="154173"/>
    <x v="2"/>
    <x v="0"/>
    <s v="Single"/>
    <x v="2"/>
    <n v="0"/>
  </r>
  <r>
    <x v="297"/>
    <n v="32"/>
    <x v="2"/>
    <n v="630971"/>
    <x v="0"/>
    <n v="476"/>
    <n v="599709"/>
    <n v="10.19"/>
    <x v="2"/>
    <n v="154598"/>
    <x v="3"/>
    <x v="0"/>
    <s v="Single"/>
    <x v="2"/>
    <n v="1"/>
  </r>
  <r>
    <x v="298"/>
    <n v="32"/>
    <x v="0"/>
    <n v="631491"/>
    <x v="0"/>
    <n v="616"/>
    <n v="600673"/>
    <n v="13.7"/>
    <x v="3"/>
    <n v="155823"/>
    <x v="0"/>
    <x v="0"/>
    <s v="Single"/>
    <x v="2"/>
    <n v="0"/>
  </r>
  <r>
    <x v="299"/>
    <n v="32"/>
    <x v="1"/>
    <n v="632233"/>
    <x v="0"/>
    <n v="729"/>
    <n v="603033"/>
    <n v="13.5"/>
    <x v="4"/>
    <n v="155931"/>
    <x v="2"/>
    <x v="1"/>
    <s v="Single"/>
    <x v="1"/>
    <n v="0"/>
  </r>
  <r>
    <x v="300"/>
    <n v="32"/>
    <x v="0"/>
    <n v="633306"/>
    <x v="1"/>
    <n v="477"/>
    <n v="603167"/>
    <n v="13.66"/>
    <x v="0"/>
    <n v="157416"/>
    <x v="3"/>
    <x v="0"/>
    <s v="Single"/>
    <x v="2"/>
    <n v="1"/>
  </r>
  <r>
    <x v="301"/>
    <n v="32"/>
    <x v="1"/>
    <n v="634138"/>
    <x v="0"/>
    <n v="699"/>
    <n v="603257"/>
    <n v="10.130000000000001"/>
    <x v="3"/>
    <n v="158029"/>
    <x v="0"/>
    <x v="0"/>
    <s v="Married"/>
    <x v="2"/>
    <n v="1"/>
  </r>
  <r>
    <x v="302"/>
    <n v="32"/>
    <x v="1"/>
    <n v="641632"/>
    <x v="1"/>
    <n v="524"/>
    <n v="607762"/>
    <n v="11.9"/>
    <x v="3"/>
    <n v="159216"/>
    <x v="1"/>
    <x v="0"/>
    <s v="Single"/>
    <x v="1"/>
    <n v="1"/>
  </r>
  <r>
    <x v="303"/>
    <n v="32"/>
    <x v="1"/>
    <n v="643123"/>
    <x v="0"/>
    <n v="613"/>
    <n v="609107"/>
    <n v="10.08"/>
    <x v="2"/>
    <n v="159262"/>
    <x v="4"/>
    <x v="1"/>
    <s v="Single"/>
    <x v="0"/>
    <n v="0"/>
  </r>
  <r>
    <x v="304"/>
    <n v="32"/>
    <x v="1"/>
    <n v="643997"/>
    <x v="0"/>
    <n v="473"/>
    <n v="611716"/>
    <n v="11.06"/>
    <x v="4"/>
    <n v="160578"/>
    <x v="4"/>
    <x v="1"/>
    <s v="Single"/>
    <x v="2"/>
    <n v="1"/>
  </r>
  <r>
    <x v="305"/>
    <n v="32"/>
    <x v="1"/>
    <n v="648188"/>
    <x v="1"/>
    <n v="521"/>
    <n v="614859"/>
    <n v="15.94"/>
    <x v="3"/>
    <n v="160678"/>
    <x v="1"/>
    <x v="1"/>
    <s v="Married"/>
    <x v="0"/>
    <n v="1"/>
  </r>
  <r>
    <x v="306"/>
    <n v="32"/>
    <x v="1"/>
    <n v="648247"/>
    <x v="1"/>
    <n v="456"/>
    <n v="615212"/>
    <n v="10.57"/>
    <x v="2"/>
    <n v="160770"/>
    <x v="4"/>
    <x v="1"/>
    <s v="Single"/>
    <x v="2"/>
    <n v="0"/>
  </r>
  <r>
    <x v="307"/>
    <n v="32"/>
    <x v="0"/>
    <n v="649440"/>
    <x v="1"/>
    <m/>
    <n v="618816"/>
    <n v="14.1"/>
    <x v="4"/>
    <n v="160954"/>
    <x v="1"/>
    <x v="0"/>
    <s v="Married"/>
    <x v="0"/>
    <n v="0"/>
  </r>
  <r>
    <x v="308"/>
    <n v="32"/>
    <x v="1"/>
    <n v="649610"/>
    <x v="0"/>
    <n v="551"/>
    <n v="619567"/>
    <n v="7.64"/>
    <x v="3"/>
    <n v="162843"/>
    <x v="3"/>
    <x v="0"/>
    <s v="Single"/>
    <x v="0"/>
    <n v="0"/>
  </r>
  <r>
    <x v="309"/>
    <n v="32"/>
    <x v="0"/>
    <n v="651076"/>
    <x v="1"/>
    <n v="343"/>
    <n v="620901"/>
    <n v="14.98"/>
    <x v="3"/>
    <n v="163234"/>
    <x v="0"/>
    <x v="0"/>
    <s v="Married"/>
    <x v="2"/>
    <n v="0"/>
  </r>
  <r>
    <x v="310"/>
    <n v="32"/>
    <x v="1"/>
    <n v="651715"/>
    <x v="1"/>
    <n v="673"/>
    <n v="621468"/>
    <n v="16.05"/>
    <x v="4"/>
    <n v="163822"/>
    <x v="1"/>
    <x v="0"/>
    <s v="Married"/>
    <x v="0"/>
    <n v="1"/>
  </r>
  <r>
    <x v="311"/>
    <n v="32"/>
    <x v="1"/>
    <n v="653461"/>
    <x v="0"/>
    <n v="492"/>
    <n v="623106"/>
    <n v="12.91"/>
    <x v="4"/>
    <n v="164548"/>
    <x v="4"/>
    <x v="0"/>
    <s v="Married"/>
    <x v="2"/>
    <n v="0"/>
  </r>
  <r>
    <x v="312"/>
    <n v="32"/>
    <x v="0"/>
    <n v="653954"/>
    <x v="1"/>
    <n v="456"/>
    <n v="624955"/>
    <n v="15.71"/>
    <x v="3"/>
    <n v="164754"/>
    <x v="1"/>
    <x v="0"/>
    <s v="Married"/>
    <x v="2"/>
    <n v="0"/>
  </r>
  <r>
    <x v="313"/>
    <n v="32"/>
    <x v="1"/>
    <n v="654664"/>
    <x v="1"/>
    <n v="304"/>
    <n v="630358"/>
    <n v="12.52"/>
    <x v="4"/>
    <n v="165326"/>
    <x v="4"/>
    <x v="0"/>
    <s v="Married"/>
    <x v="1"/>
    <n v="1"/>
  </r>
  <r>
    <x v="314"/>
    <n v="32"/>
    <x v="0"/>
    <n v="654664"/>
    <x v="0"/>
    <n v="457"/>
    <n v="630358"/>
    <n v="16.329999999999998"/>
    <x v="2"/>
    <n v="165495"/>
    <x v="0"/>
    <x v="0"/>
    <s v="Single"/>
    <x v="1"/>
    <n v="0"/>
  </r>
  <r>
    <x v="315"/>
    <n v="32"/>
    <x v="1"/>
    <n v="655981"/>
    <x v="0"/>
    <n v="410"/>
    <n v="632527"/>
    <n v="14.12"/>
    <x v="1"/>
    <n v="165565"/>
    <x v="2"/>
    <x v="1"/>
    <s v="Single"/>
    <x v="0"/>
    <n v="1"/>
  </r>
  <r>
    <x v="316"/>
    <n v="32"/>
    <x v="0"/>
    <n v="657362"/>
    <x v="0"/>
    <n v="504"/>
    <n v="632793"/>
    <n v="11.8"/>
    <x v="2"/>
    <n v="165592"/>
    <x v="4"/>
    <x v="1"/>
    <s v="Single"/>
    <x v="0"/>
    <n v="1"/>
  </r>
  <r>
    <x v="317"/>
    <n v="33"/>
    <x v="0"/>
    <n v="657508"/>
    <x v="0"/>
    <n v="613"/>
    <n v="634499"/>
    <n v="13.12"/>
    <x v="4"/>
    <n v="165659"/>
    <x v="2"/>
    <x v="0"/>
    <s v="Married"/>
    <x v="2"/>
    <n v="0"/>
  </r>
  <r>
    <x v="318"/>
    <n v="33"/>
    <x v="1"/>
    <n v="658087"/>
    <x v="0"/>
    <n v="610"/>
    <n v="635328"/>
    <n v="12.46"/>
    <x v="3"/>
    <n v="166126"/>
    <x v="1"/>
    <x v="0"/>
    <s v="Single"/>
    <x v="2"/>
    <n v="0"/>
  </r>
  <r>
    <x v="319"/>
    <n v="33"/>
    <x v="1"/>
    <n v="661133"/>
    <x v="0"/>
    <n v="395"/>
    <n v="635411"/>
    <n v="14.11"/>
    <x v="0"/>
    <n v="166667"/>
    <x v="4"/>
    <x v="1"/>
    <s v="Married"/>
    <x v="2"/>
    <n v="0"/>
  </r>
  <r>
    <x v="320"/>
    <n v="33"/>
    <x v="0"/>
    <n v="662877"/>
    <x v="1"/>
    <n v="897"/>
    <n v="635458"/>
    <n v="13.18"/>
    <x v="3"/>
    <n v="167026"/>
    <x v="0"/>
    <x v="1"/>
    <s v="Single"/>
    <x v="1"/>
    <n v="1"/>
  </r>
  <r>
    <x v="321"/>
    <n v="33"/>
    <x v="1"/>
    <n v="664113"/>
    <x v="1"/>
    <n v="305"/>
    <n v="637431"/>
    <n v="16.329999999999998"/>
    <x v="0"/>
    <n v="168111"/>
    <x v="2"/>
    <x v="0"/>
    <s v="Single"/>
    <x v="1"/>
    <n v="0"/>
  </r>
  <r>
    <x v="322"/>
    <n v="33"/>
    <x v="1"/>
    <n v="665434"/>
    <x v="0"/>
    <n v="538"/>
    <n v="637743"/>
    <n v="14.74"/>
    <x v="0"/>
    <n v="169212"/>
    <x v="3"/>
    <x v="0"/>
    <s v="Married"/>
    <x v="0"/>
    <n v="0"/>
  </r>
  <r>
    <x v="323"/>
    <n v="33"/>
    <x v="0"/>
    <n v="665627"/>
    <x v="1"/>
    <n v="301"/>
    <n v="637975"/>
    <n v="12.04"/>
    <x v="2"/>
    <n v="169497"/>
    <x v="4"/>
    <x v="1"/>
    <s v="Single"/>
    <x v="2"/>
    <n v="0"/>
  </r>
  <r>
    <x v="324"/>
    <n v="33"/>
    <x v="1"/>
    <n v="666440"/>
    <x v="0"/>
    <m/>
    <n v="641846"/>
    <n v="11.96"/>
    <x v="2"/>
    <n v="169694"/>
    <x v="1"/>
    <x v="1"/>
    <s v="Single"/>
    <x v="2"/>
    <n v="1"/>
  </r>
  <r>
    <x v="325"/>
    <n v="33"/>
    <x v="1"/>
    <n v="666542"/>
    <x v="0"/>
    <n v="336"/>
    <n v="641846"/>
    <n v="15.23"/>
    <x v="3"/>
    <n v="170185"/>
    <x v="2"/>
    <x v="0"/>
    <s v="Married"/>
    <x v="1"/>
    <n v="0"/>
  </r>
  <r>
    <x v="326"/>
    <n v="33"/>
    <x v="1"/>
    <n v="667856"/>
    <x v="0"/>
    <n v="557"/>
    <n v="650395"/>
    <n v="13.11"/>
    <x v="1"/>
    <n v="171359"/>
    <x v="1"/>
    <x v="0"/>
    <s v="Married"/>
    <x v="1"/>
    <n v="1"/>
  </r>
  <r>
    <x v="327"/>
    <n v="33"/>
    <x v="0"/>
    <n v="672581"/>
    <x v="1"/>
    <n v="677"/>
    <n v="651615"/>
    <n v="9.67"/>
    <x v="4"/>
    <n v="172147"/>
    <x v="3"/>
    <x v="0"/>
    <s v="Married"/>
    <x v="2"/>
    <n v="0"/>
  </r>
  <r>
    <x v="328"/>
    <n v="33"/>
    <x v="0"/>
    <n v="675910"/>
    <x v="0"/>
    <n v="523"/>
    <n v="652078"/>
    <n v="11.61"/>
    <x v="4"/>
    <n v="172726"/>
    <x v="4"/>
    <x v="1"/>
    <s v="Married"/>
    <x v="0"/>
    <n v="1"/>
  </r>
  <r>
    <x v="329"/>
    <n v="33"/>
    <x v="1"/>
    <n v="676190"/>
    <x v="1"/>
    <n v="869"/>
    <n v="652263"/>
    <n v="8.6199999999999992"/>
    <x v="0"/>
    <n v="172951"/>
    <x v="0"/>
    <x v="1"/>
    <s v="Married"/>
    <x v="0"/>
    <n v="1"/>
  </r>
  <r>
    <x v="330"/>
    <n v="33"/>
    <x v="0"/>
    <n v="678889"/>
    <x v="0"/>
    <n v="334"/>
    <n v="654075"/>
    <n v="9.67"/>
    <x v="4"/>
    <n v="173016"/>
    <x v="4"/>
    <x v="1"/>
    <s v="Married"/>
    <x v="0"/>
    <n v="0"/>
  </r>
  <r>
    <x v="331"/>
    <n v="33"/>
    <x v="1"/>
    <n v="679247"/>
    <x v="1"/>
    <n v="765"/>
    <n v="654325"/>
    <n v="16.46"/>
    <x v="4"/>
    <n v="174237"/>
    <x v="0"/>
    <x v="0"/>
    <s v="Married"/>
    <x v="1"/>
    <n v="0"/>
  </r>
  <r>
    <x v="332"/>
    <n v="33"/>
    <x v="0"/>
    <n v="679281"/>
    <x v="0"/>
    <n v="616"/>
    <n v="657913"/>
    <n v="9.4700000000000006"/>
    <x v="2"/>
    <n v="174283"/>
    <x v="0"/>
    <x v="1"/>
    <s v="Single"/>
    <x v="0"/>
    <n v="0"/>
  </r>
  <r>
    <x v="333"/>
    <n v="33"/>
    <x v="0"/>
    <n v="679784"/>
    <x v="0"/>
    <n v="749"/>
    <n v="659984"/>
    <n v="13.81"/>
    <x v="4"/>
    <n v="174614"/>
    <x v="0"/>
    <x v="1"/>
    <s v="Married"/>
    <x v="0"/>
    <n v="0"/>
  </r>
  <r>
    <x v="334"/>
    <n v="34"/>
    <x v="0"/>
    <n v="682120"/>
    <x v="0"/>
    <n v="747"/>
    <n v="662648"/>
    <n v="11.93"/>
    <x v="2"/>
    <n v="174889"/>
    <x v="0"/>
    <x v="1"/>
    <s v="Married"/>
    <x v="2"/>
    <n v="0"/>
  </r>
  <r>
    <x v="335"/>
    <n v="34"/>
    <x v="0"/>
    <n v="682366"/>
    <x v="1"/>
    <n v="537"/>
    <n v="667543"/>
    <n v="8.73"/>
    <x v="1"/>
    <n v="174972"/>
    <x v="2"/>
    <x v="1"/>
    <s v="Married"/>
    <x v="1"/>
    <n v="1"/>
  </r>
  <r>
    <x v="336"/>
    <n v="34"/>
    <x v="0"/>
    <n v="682821"/>
    <x v="0"/>
    <n v="787"/>
    <n v="668325"/>
    <n v="14.21"/>
    <x v="0"/>
    <n v="175438"/>
    <x v="1"/>
    <x v="1"/>
    <s v="Married"/>
    <x v="1"/>
    <n v="0"/>
  </r>
  <r>
    <x v="337"/>
    <n v="34"/>
    <x v="1"/>
    <n v="683100"/>
    <x v="1"/>
    <n v="449"/>
    <n v="668568"/>
    <n v="15.58"/>
    <x v="2"/>
    <n v="177089"/>
    <x v="0"/>
    <x v="0"/>
    <s v="Married"/>
    <x v="1"/>
    <n v="1"/>
  </r>
  <r>
    <x v="338"/>
    <n v="34"/>
    <x v="0"/>
    <n v="683972"/>
    <x v="0"/>
    <n v="800"/>
    <n v="668608"/>
    <n v="16.05"/>
    <x v="3"/>
    <n v="180412"/>
    <x v="0"/>
    <x v="1"/>
    <s v="Married"/>
    <x v="0"/>
    <n v="0"/>
  </r>
  <r>
    <x v="339"/>
    <n v="34"/>
    <x v="1"/>
    <n v="685550"/>
    <x v="1"/>
    <n v="370"/>
    <n v="678123"/>
    <n v="11.49"/>
    <x v="3"/>
    <n v="180656"/>
    <x v="3"/>
    <x v="0"/>
    <s v="Married"/>
    <x v="0"/>
    <n v="0"/>
  </r>
  <r>
    <x v="340"/>
    <n v="34"/>
    <x v="1"/>
    <n v="687317"/>
    <x v="1"/>
    <n v="657"/>
    <n v="678205"/>
    <n v="13.9"/>
    <x v="0"/>
    <n v="181899"/>
    <x v="4"/>
    <x v="0"/>
    <s v="Married"/>
    <x v="2"/>
    <n v="0"/>
  </r>
  <r>
    <x v="341"/>
    <n v="34"/>
    <x v="0"/>
    <n v="688489"/>
    <x v="0"/>
    <n v="900"/>
    <n v="680164"/>
    <n v="8.25"/>
    <x v="4"/>
    <n v="182046"/>
    <x v="1"/>
    <x v="1"/>
    <s v="Married"/>
    <x v="1"/>
    <n v="0"/>
  </r>
  <r>
    <x v="342"/>
    <n v="34"/>
    <x v="0"/>
    <n v="689018"/>
    <x v="1"/>
    <n v="412"/>
    <n v="682001"/>
    <n v="12.31"/>
    <x v="4"/>
    <n v="182311"/>
    <x v="1"/>
    <x v="1"/>
    <s v="Single"/>
    <x v="2"/>
    <n v="1"/>
  </r>
  <r>
    <x v="343"/>
    <n v="34"/>
    <x v="0"/>
    <n v="691335"/>
    <x v="0"/>
    <n v="761"/>
    <n v="682873"/>
    <n v="15.86"/>
    <x v="2"/>
    <n v="182425"/>
    <x v="4"/>
    <x v="1"/>
    <s v="Single"/>
    <x v="1"/>
    <n v="0"/>
  </r>
  <r>
    <x v="344"/>
    <n v="34"/>
    <x v="1"/>
    <n v="693811"/>
    <x v="1"/>
    <n v="899"/>
    <n v="682873"/>
    <n v="16.079999999999998"/>
    <x v="1"/>
    <n v="182886"/>
    <x v="2"/>
    <x v="0"/>
    <s v="Single"/>
    <x v="0"/>
    <n v="1"/>
  </r>
  <r>
    <x v="345"/>
    <n v="34"/>
    <x v="1"/>
    <n v="695690"/>
    <x v="1"/>
    <n v="336"/>
    <n v="683277"/>
    <n v="9.48"/>
    <x v="3"/>
    <n v="184319"/>
    <x v="4"/>
    <x v="0"/>
    <s v="Married"/>
    <x v="2"/>
    <n v="0"/>
  </r>
  <r>
    <x v="346"/>
    <n v="34"/>
    <x v="0"/>
    <n v="696394"/>
    <x v="0"/>
    <n v="417"/>
    <n v="685056"/>
    <n v="10.78"/>
    <x v="1"/>
    <n v="184357"/>
    <x v="1"/>
    <x v="0"/>
    <s v="Married"/>
    <x v="1"/>
    <n v="1"/>
  </r>
  <r>
    <x v="347"/>
    <n v="34"/>
    <x v="1"/>
    <n v="696829"/>
    <x v="0"/>
    <n v="682"/>
    <n v="687003"/>
    <n v="13.94"/>
    <x v="0"/>
    <n v="184645"/>
    <x v="1"/>
    <x v="1"/>
    <s v="Single"/>
    <x v="2"/>
    <n v="1"/>
  </r>
  <r>
    <x v="348"/>
    <n v="34"/>
    <x v="1"/>
    <n v="698303"/>
    <x v="1"/>
    <n v="439"/>
    <n v="687328"/>
    <n v="14.83"/>
    <x v="4"/>
    <n v="186393"/>
    <x v="0"/>
    <x v="0"/>
    <s v="Married"/>
    <x v="2"/>
    <n v="0"/>
  </r>
  <r>
    <x v="349"/>
    <n v="34"/>
    <x v="0"/>
    <n v="702054"/>
    <x v="0"/>
    <n v="881"/>
    <n v="690833"/>
    <n v="14.18"/>
    <x v="3"/>
    <n v="187274"/>
    <x v="4"/>
    <x v="1"/>
    <s v="Single"/>
    <x v="1"/>
    <n v="0"/>
  </r>
  <r>
    <x v="350"/>
    <n v="34"/>
    <x v="0"/>
    <n v="702932"/>
    <x v="1"/>
    <n v="419"/>
    <n v="690845"/>
    <n v="15.06"/>
    <x v="4"/>
    <n v="187345"/>
    <x v="1"/>
    <x v="0"/>
    <s v="Single"/>
    <x v="0"/>
    <n v="1"/>
  </r>
  <r>
    <x v="351"/>
    <n v="34"/>
    <x v="1"/>
    <n v="703595"/>
    <x v="1"/>
    <n v="896"/>
    <n v="692499"/>
    <n v="12.39"/>
    <x v="4"/>
    <n v="187584"/>
    <x v="4"/>
    <x v="0"/>
    <s v="Single"/>
    <x v="1"/>
    <n v="0"/>
  </r>
  <r>
    <x v="352"/>
    <n v="34"/>
    <x v="0"/>
    <n v="705938"/>
    <x v="0"/>
    <n v="469"/>
    <n v="695498"/>
    <n v="8.65"/>
    <x v="0"/>
    <n v="188734"/>
    <x v="3"/>
    <x v="1"/>
    <s v="Married"/>
    <x v="2"/>
    <n v="0"/>
  </r>
  <r>
    <x v="353"/>
    <n v="34"/>
    <x v="1"/>
    <n v="705982"/>
    <x v="0"/>
    <n v="800"/>
    <n v="697107"/>
    <n v="8.5500000000000007"/>
    <x v="0"/>
    <n v="189543"/>
    <x v="0"/>
    <x v="0"/>
    <s v="Married"/>
    <x v="2"/>
    <n v="0"/>
  </r>
  <r>
    <x v="354"/>
    <n v="34"/>
    <x v="1"/>
    <n v="705982"/>
    <x v="0"/>
    <n v="335"/>
    <n v="699956"/>
    <n v="16.25"/>
    <x v="0"/>
    <n v="190269"/>
    <x v="0"/>
    <x v="1"/>
    <s v="Single"/>
    <x v="0"/>
    <n v="1"/>
  </r>
  <r>
    <x v="355"/>
    <n v="34"/>
    <x v="1"/>
    <n v="707044"/>
    <x v="1"/>
    <n v="673"/>
    <n v="700969"/>
    <n v="13.73"/>
    <x v="4"/>
    <n v="190574"/>
    <x v="4"/>
    <x v="0"/>
    <s v="Single"/>
    <x v="1"/>
    <n v="1"/>
  </r>
  <r>
    <x v="356"/>
    <n v="34"/>
    <x v="1"/>
    <n v="709833"/>
    <x v="1"/>
    <n v="540"/>
    <n v="703013"/>
    <n v="9.56"/>
    <x v="0"/>
    <n v="191685"/>
    <x v="0"/>
    <x v="0"/>
    <s v="Married"/>
    <x v="1"/>
    <n v="1"/>
  </r>
  <r>
    <x v="357"/>
    <n v="34"/>
    <x v="1"/>
    <n v="710366"/>
    <x v="0"/>
    <n v="809"/>
    <n v="703613"/>
    <n v="12.13"/>
    <x v="1"/>
    <n v="191885"/>
    <x v="2"/>
    <x v="0"/>
    <s v="Single"/>
    <x v="0"/>
    <n v="0"/>
  </r>
  <r>
    <x v="358"/>
    <n v="34"/>
    <x v="0"/>
    <n v="710893"/>
    <x v="0"/>
    <n v="356"/>
    <n v="704449"/>
    <n v="8.75"/>
    <x v="3"/>
    <n v="192114"/>
    <x v="1"/>
    <x v="1"/>
    <s v="Single"/>
    <x v="0"/>
    <n v="1"/>
  </r>
  <r>
    <x v="359"/>
    <n v="34"/>
    <x v="0"/>
    <n v="713329"/>
    <x v="0"/>
    <n v="847"/>
    <n v="705170"/>
    <n v="14.58"/>
    <x v="1"/>
    <n v="194729"/>
    <x v="3"/>
    <x v="0"/>
    <s v="Married"/>
    <x v="1"/>
    <n v="1"/>
  </r>
  <r>
    <x v="360"/>
    <n v="34"/>
    <x v="1"/>
    <n v="713329"/>
    <x v="0"/>
    <n v="322"/>
    <n v="705944"/>
    <n v="12.69"/>
    <x v="2"/>
    <n v="195303"/>
    <x v="1"/>
    <x v="0"/>
    <s v="Married"/>
    <x v="2"/>
    <n v="0"/>
  </r>
  <r>
    <x v="361"/>
    <n v="34"/>
    <x v="0"/>
    <n v="713784"/>
    <x v="1"/>
    <n v="398"/>
    <n v="705944"/>
    <n v="10.039999999999999"/>
    <x v="4"/>
    <n v="195504"/>
    <x v="1"/>
    <x v="0"/>
    <s v="Single"/>
    <x v="2"/>
    <n v="0"/>
  </r>
  <r>
    <x v="362"/>
    <n v="34"/>
    <x v="0"/>
    <n v="715165"/>
    <x v="1"/>
    <n v="308"/>
    <n v="706403"/>
    <n v="13.19"/>
    <x v="2"/>
    <n v="196384"/>
    <x v="3"/>
    <x v="0"/>
    <s v="Single"/>
    <x v="2"/>
    <n v="0"/>
  </r>
  <r>
    <x v="334"/>
    <n v="34"/>
    <x v="0"/>
    <n v="715731"/>
    <x v="0"/>
    <n v="747"/>
    <n v="707666"/>
    <n v="11.93"/>
    <x v="2"/>
    <n v="196557"/>
    <x v="0"/>
    <x v="1"/>
    <s v="Married"/>
    <x v="2"/>
    <n v="0"/>
  </r>
  <r>
    <x v="363"/>
    <n v="35"/>
    <x v="0"/>
    <n v="718582"/>
    <x v="0"/>
    <n v="313"/>
    <n v="709540"/>
    <n v="9.85"/>
    <x v="3"/>
    <n v="197482"/>
    <x v="1"/>
    <x v="0"/>
    <s v="Single"/>
    <x v="1"/>
    <n v="0"/>
  </r>
  <r>
    <x v="364"/>
    <n v="35"/>
    <x v="0"/>
    <n v="718909"/>
    <x v="0"/>
    <n v="670"/>
    <n v="711493"/>
    <n v="12.78"/>
    <x v="1"/>
    <n v="197548"/>
    <x v="1"/>
    <x v="0"/>
    <s v="Married"/>
    <x v="0"/>
    <n v="0"/>
  </r>
  <r>
    <x v="365"/>
    <n v="35"/>
    <x v="0"/>
    <n v="720996"/>
    <x v="0"/>
    <n v="875"/>
    <n v="714815"/>
    <n v="9.23"/>
    <x v="0"/>
    <n v="198054"/>
    <x v="0"/>
    <x v="1"/>
    <s v="Single"/>
    <x v="0"/>
    <n v="0"/>
  </r>
  <r>
    <x v="366"/>
    <n v="35"/>
    <x v="1"/>
    <n v="724768"/>
    <x v="1"/>
    <n v="471"/>
    <n v="718390"/>
    <n v="7.76"/>
    <x v="0"/>
    <n v="198063"/>
    <x v="1"/>
    <x v="0"/>
    <s v="Single"/>
    <x v="1"/>
    <n v="0"/>
  </r>
  <r>
    <x v="367"/>
    <n v="35"/>
    <x v="1"/>
    <n v="725598"/>
    <x v="0"/>
    <n v="407"/>
    <n v="721399"/>
    <n v="15"/>
    <x v="0"/>
    <n v="199462"/>
    <x v="4"/>
    <x v="0"/>
    <s v="Married"/>
    <x v="1"/>
    <n v="0"/>
  </r>
  <r>
    <x v="368"/>
    <n v="35"/>
    <x v="1"/>
    <n v="727975"/>
    <x v="1"/>
    <n v="756"/>
    <n v="722740"/>
    <n v="15.14"/>
    <x v="1"/>
    <n v="199984"/>
    <x v="4"/>
    <x v="1"/>
    <s v="Married"/>
    <x v="2"/>
    <n v="0"/>
  </r>
  <r>
    <x v="369"/>
    <n v="35"/>
    <x v="0"/>
    <n v="729297"/>
    <x v="0"/>
    <m/>
    <n v="723115"/>
    <n v="10.1"/>
    <x v="2"/>
    <n v="200348"/>
    <x v="3"/>
    <x v="0"/>
    <s v="Single"/>
    <x v="0"/>
    <n v="0"/>
  </r>
  <r>
    <x v="370"/>
    <n v="35"/>
    <x v="1"/>
    <n v="730608"/>
    <x v="0"/>
    <n v="346"/>
    <n v="723160"/>
    <n v="13.84"/>
    <x v="4"/>
    <n v="201805"/>
    <x v="2"/>
    <x v="0"/>
    <s v="Single"/>
    <x v="2"/>
    <n v="0"/>
  </r>
  <r>
    <x v="371"/>
    <n v="35"/>
    <x v="1"/>
    <n v="730709"/>
    <x v="0"/>
    <n v="328"/>
    <n v="724447"/>
    <n v="11.31"/>
    <x v="2"/>
    <n v="202070"/>
    <x v="0"/>
    <x v="1"/>
    <s v="Married"/>
    <x v="1"/>
    <n v="0"/>
  </r>
  <r>
    <x v="372"/>
    <n v="35"/>
    <x v="1"/>
    <n v="731343"/>
    <x v="0"/>
    <n v="374"/>
    <n v="728341"/>
    <n v="14.79"/>
    <x v="2"/>
    <n v="202762"/>
    <x v="4"/>
    <x v="1"/>
    <s v="Single"/>
    <x v="2"/>
    <n v="0"/>
  </r>
  <r>
    <x v="373"/>
    <n v="35"/>
    <x v="1"/>
    <n v="732512"/>
    <x v="0"/>
    <n v="478"/>
    <n v="729569"/>
    <n v="7.77"/>
    <x v="0"/>
    <n v="202930"/>
    <x v="3"/>
    <x v="1"/>
    <s v="Single"/>
    <x v="0"/>
    <n v="1"/>
  </r>
  <r>
    <x v="374"/>
    <n v="35"/>
    <x v="0"/>
    <n v="734797"/>
    <x v="0"/>
    <n v="894"/>
    <n v="730052"/>
    <n v="13.4"/>
    <x v="3"/>
    <n v="205203"/>
    <x v="2"/>
    <x v="1"/>
    <s v="Married"/>
    <x v="0"/>
    <n v="0"/>
  </r>
  <r>
    <x v="375"/>
    <n v="35"/>
    <x v="0"/>
    <n v="736985"/>
    <x v="0"/>
    <n v="724"/>
    <n v="733937"/>
    <n v="9.27"/>
    <x v="3"/>
    <n v="205439"/>
    <x v="4"/>
    <x v="1"/>
    <s v="Married"/>
    <x v="1"/>
    <n v="0"/>
  </r>
  <r>
    <x v="376"/>
    <n v="35"/>
    <x v="0"/>
    <n v="738088"/>
    <x v="0"/>
    <n v="879"/>
    <n v="734303"/>
    <n v="10.02"/>
    <x v="4"/>
    <n v="206053"/>
    <x v="3"/>
    <x v="1"/>
    <s v="Single"/>
    <x v="1"/>
    <n v="0"/>
  </r>
  <r>
    <x v="377"/>
    <n v="35"/>
    <x v="0"/>
    <n v="740966"/>
    <x v="1"/>
    <n v="581"/>
    <n v="735529"/>
    <n v="12.12"/>
    <x v="1"/>
    <n v="206178"/>
    <x v="0"/>
    <x v="1"/>
    <s v="Single"/>
    <x v="1"/>
    <n v="1"/>
  </r>
  <r>
    <x v="378"/>
    <n v="35"/>
    <x v="1"/>
    <n v="741688"/>
    <x v="0"/>
    <n v="774"/>
    <n v="736791"/>
    <n v="9.84"/>
    <x v="2"/>
    <n v="207067"/>
    <x v="1"/>
    <x v="1"/>
    <s v="Married"/>
    <x v="2"/>
    <n v="0"/>
  </r>
  <r>
    <x v="379"/>
    <n v="35"/>
    <x v="1"/>
    <n v="741854"/>
    <x v="1"/>
    <n v="363"/>
    <n v="737476"/>
    <n v="11.02"/>
    <x v="1"/>
    <n v="207911"/>
    <x v="4"/>
    <x v="1"/>
    <s v="Married"/>
    <x v="0"/>
    <n v="1"/>
  </r>
  <r>
    <x v="380"/>
    <n v="35"/>
    <x v="1"/>
    <n v="743407"/>
    <x v="0"/>
    <n v="845"/>
    <n v="739986"/>
    <n v="12.05"/>
    <x v="1"/>
    <n v="208462"/>
    <x v="3"/>
    <x v="1"/>
    <s v="Married"/>
    <x v="2"/>
    <n v="1"/>
  </r>
  <r>
    <x v="381"/>
    <n v="35"/>
    <x v="0"/>
    <n v="744831"/>
    <x v="1"/>
    <n v="665"/>
    <n v="740642"/>
    <n v="15.27"/>
    <x v="3"/>
    <n v="208875"/>
    <x v="1"/>
    <x v="1"/>
    <s v="Single"/>
    <x v="2"/>
    <n v="0"/>
  </r>
  <r>
    <x v="382"/>
    <n v="35"/>
    <x v="0"/>
    <n v="745677"/>
    <x v="0"/>
    <n v="671"/>
    <n v="741057"/>
    <n v="13.82"/>
    <x v="1"/>
    <n v="208945"/>
    <x v="1"/>
    <x v="0"/>
    <s v="Married"/>
    <x v="0"/>
    <n v="0"/>
  </r>
  <r>
    <x v="383"/>
    <n v="35"/>
    <x v="1"/>
    <n v="746220"/>
    <x v="1"/>
    <n v="580"/>
    <n v="743482"/>
    <n v="13.51"/>
    <x v="2"/>
    <n v="209560"/>
    <x v="3"/>
    <x v="1"/>
    <s v="Married"/>
    <x v="1"/>
    <n v="1"/>
  </r>
  <r>
    <x v="384"/>
    <n v="35"/>
    <x v="0"/>
    <n v="749894"/>
    <x v="1"/>
    <n v="817"/>
    <n v="743734"/>
    <n v="12.52"/>
    <x v="4"/>
    <n v="210331"/>
    <x v="3"/>
    <x v="1"/>
    <s v="Single"/>
    <x v="0"/>
    <n v="0"/>
  </r>
  <r>
    <x v="385"/>
    <n v="35"/>
    <x v="0"/>
    <n v="752552"/>
    <x v="1"/>
    <n v="735"/>
    <n v="745120"/>
    <n v="8.6"/>
    <x v="4"/>
    <n v="210361"/>
    <x v="2"/>
    <x v="0"/>
    <s v="Single"/>
    <x v="0"/>
    <n v="0"/>
  </r>
  <r>
    <x v="386"/>
    <n v="35"/>
    <x v="1"/>
    <n v="755423"/>
    <x v="1"/>
    <n v="561"/>
    <n v="747352"/>
    <n v="9.93"/>
    <x v="3"/>
    <n v="211419"/>
    <x v="2"/>
    <x v="0"/>
    <s v="Married"/>
    <x v="0"/>
    <n v="0"/>
  </r>
  <r>
    <x v="387"/>
    <n v="35"/>
    <x v="1"/>
    <n v="757219"/>
    <x v="1"/>
    <n v="556"/>
    <n v="748662"/>
    <n v="12.2"/>
    <x v="1"/>
    <n v="211481"/>
    <x v="4"/>
    <x v="0"/>
    <s v="Married"/>
    <x v="0"/>
    <n v="0"/>
  </r>
  <r>
    <x v="388"/>
    <n v="36"/>
    <x v="0"/>
    <n v="757822"/>
    <x v="0"/>
    <n v="742"/>
    <n v="751126"/>
    <n v="15.68"/>
    <x v="1"/>
    <n v="211839"/>
    <x v="2"/>
    <x v="1"/>
    <s v="Married"/>
    <x v="1"/>
    <n v="0"/>
  </r>
  <r>
    <x v="389"/>
    <n v="36"/>
    <x v="0"/>
    <n v="760917"/>
    <x v="0"/>
    <n v="881"/>
    <n v="752995"/>
    <n v="8.08"/>
    <x v="1"/>
    <n v="212430"/>
    <x v="0"/>
    <x v="1"/>
    <s v="Single"/>
    <x v="0"/>
    <n v="0"/>
  </r>
  <r>
    <x v="390"/>
    <n v="36"/>
    <x v="0"/>
    <n v="761014"/>
    <x v="1"/>
    <m/>
    <n v="753811"/>
    <n v="12.77"/>
    <x v="1"/>
    <n v="212609"/>
    <x v="1"/>
    <x v="1"/>
    <s v="Married"/>
    <x v="1"/>
    <n v="0"/>
  </r>
  <r>
    <x v="391"/>
    <n v="36"/>
    <x v="0"/>
    <n v="765609"/>
    <x v="1"/>
    <n v="431"/>
    <n v="755162"/>
    <n v="11.42"/>
    <x v="3"/>
    <n v="212704"/>
    <x v="4"/>
    <x v="0"/>
    <s v="Single"/>
    <x v="0"/>
    <n v="0"/>
  </r>
  <r>
    <x v="392"/>
    <n v="36"/>
    <x v="0"/>
    <n v="767619"/>
    <x v="0"/>
    <n v="550"/>
    <n v="758839"/>
    <n v="14.05"/>
    <x v="1"/>
    <n v="212854"/>
    <x v="3"/>
    <x v="0"/>
    <s v="Single"/>
    <x v="2"/>
    <n v="0"/>
  </r>
  <r>
    <x v="393"/>
    <n v="36"/>
    <x v="0"/>
    <n v="768418"/>
    <x v="0"/>
    <n v="415"/>
    <n v="759151"/>
    <n v="10.92"/>
    <x v="0"/>
    <n v="213559"/>
    <x v="3"/>
    <x v="0"/>
    <s v="Married"/>
    <x v="1"/>
    <n v="1"/>
  </r>
  <r>
    <x v="394"/>
    <n v="36"/>
    <x v="1"/>
    <n v="769783"/>
    <x v="1"/>
    <n v="589"/>
    <n v="760855"/>
    <n v="10.52"/>
    <x v="2"/>
    <n v="213805"/>
    <x v="3"/>
    <x v="0"/>
    <s v="Married"/>
    <x v="0"/>
    <n v="0"/>
  </r>
  <r>
    <x v="395"/>
    <n v="36"/>
    <x v="1"/>
    <n v="773182"/>
    <x v="1"/>
    <n v="779"/>
    <n v="761004"/>
    <n v="10.01"/>
    <x v="4"/>
    <n v="213926"/>
    <x v="4"/>
    <x v="1"/>
    <s v="Married"/>
    <x v="0"/>
    <n v="0"/>
  </r>
  <r>
    <x v="396"/>
    <n v="36"/>
    <x v="1"/>
    <n v="773792"/>
    <x v="1"/>
    <n v="671"/>
    <n v="761184"/>
    <n v="9.33"/>
    <x v="1"/>
    <n v="214337"/>
    <x v="4"/>
    <x v="1"/>
    <s v="Single"/>
    <x v="0"/>
    <n v="0"/>
  </r>
  <r>
    <x v="397"/>
    <n v="36"/>
    <x v="0"/>
    <n v="774792"/>
    <x v="1"/>
    <n v="706"/>
    <n v="761952"/>
    <n v="13.7"/>
    <x v="2"/>
    <n v="214650"/>
    <x v="0"/>
    <x v="0"/>
    <s v="Single"/>
    <x v="1"/>
    <n v="0"/>
  </r>
  <r>
    <x v="398"/>
    <n v="36"/>
    <x v="1"/>
    <n v="775483"/>
    <x v="0"/>
    <n v="753"/>
    <n v="762109"/>
    <n v="9.61"/>
    <x v="3"/>
    <n v="214886"/>
    <x v="2"/>
    <x v="1"/>
    <s v="Married"/>
    <x v="1"/>
    <n v="0"/>
  </r>
  <r>
    <x v="399"/>
    <n v="36"/>
    <x v="0"/>
    <n v="775674"/>
    <x v="0"/>
    <n v="607"/>
    <n v="765703"/>
    <n v="9.58"/>
    <x v="1"/>
    <n v="215461"/>
    <x v="1"/>
    <x v="1"/>
    <s v="Married"/>
    <x v="1"/>
    <n v="0"/>
  </r>
  <r>
    <x v="400"/>
    <n v="36"/>
    <x v="1"/>
    <n v="776243"/>
    <x v="1"/>
    <n v="501"/>
    <n v="766735"/>
    <n v="8.5500000000000007"/>
    <x v="4"/>
    <n v="216079"/>
    <x v="1"/>
    <x v="0"/>
    <s v="Single"/>
    <x v="2"/>
    <n v="0"/>
  </r>
  <r>
    <x v="401"/>
    <n v="36"/>
    <x v="1"/>
    <n v="777124"/>
    <x v="0"/>
    <n v="735"/>
    <n v="768595"/>
    <n v="10.4"/>
    <x v="4"/>
    <n v="216373"/>
    <x v="1"/>
    <x v="1"/>
    <s v="Married"/>
    <x v="1"/>
    <n v="0"/>
  </r>
  <r>
    <x v="402"/>
    <n v="36"/>
    <x v="1"/>
    <n v="778920"/>
    <x v="1"/>
    <n v="480"/>
    <n v="768640"/>
    <n v="14.24"/>
    <x v="2"/>
    <n v="217539"/>
    <x v="0"/>
    <x v="1"/>
    <s v="Single"/>
    <x v="2"/>
    <n v="1"/>
  </r>
  <r>
    <x v="403"/>
    <n v="36"/>
    <x v="0"/>
    <n v="780019"/>
    <x v="0"/>
    <n v="302"/>
    <n v="770423"/>
    <n v="9.7100000000000009"/>
    <x v="0"/>
    <n v="218101"/>
    <x v="3"/>
    <x v="1"/>
    <s v="Married"/>
    <x v="0"/>
    <n v="0"/>
  </r>
  <r>
    <x v="404"/>
    <n v="36"/>
    <x v="1"/>
    <n v="780781"/>
    <x v="0"/>
    <n v="670"/>
    <n v="770953"/>
    <n v="15.15"/>
    <x v="1"/>
    <n v="219018"/>
    <x v="4"/>
    <x v="1"/>
    <s v="Married"/>
    <x v="1"/>
    <n v="1"/>
  </r>
  <r>
    <x v="405"/>
    <n v="36"/>
    <x v="0"/>
    <n v="783250"/>
    <x v="1"/>
    <n v="542"/>
    <n v="772371"/>
    <n v="12.63"/>
    <x v="2"/>
    <n v="219262"/>
    <x v="0"/>
    <x v="0"/>
    <s v="Single"/>
    <x v="1"/>
    <n v="1"/>
  </r>
  <r>
    <x v="406"/>
    <n v="36"/>
    <x v="0"/>
    <n v="783657"/>
    <x v="0"/>
    <n v="852"/>
    <n v="773595"/>
    <n v="9.5"/>
    <x v="1"/>
    <n v="219340"/>
    <x v="3"/>
    <x v="1"/>
    <s v="Married"/>
    <x v="0"/>
    <n v="0"/>
  </r>
  <r>
    <x v="407"/>
    <n v="36"/>
    <x v="0"/>
    <n v="785020"/>
    <x v="1"/>
    <n v="627"/>
    <n v="774716"/>
    <n v="8.6999999999999993"/>
    <x v="3"/>
    <n v="220166"/>
    <x v="2"/>
    <x v="1"/>
    <s v="Married"/>
    <x v="1"/>
    <n v="0"/>
  </r>
  <r>
    <x v="408"/>
    <n v="36"/>
    <x v="0"/>
    <n v="787536"/>
    <x v="0"/>
    <n v="839"/>
    <n v="774968"/>
    <n v="10.84"/>
    <x v="2"/>
    <n v="220488"/>
    <x v="2"/>
    <x v="0"/>
    <s v="Single"/>
    <x v="1"/>
    <n v="1"/>
  </r>
  <r>
    <x v="409"/>
    <n v="36"/>
    <x v="0"/>
    <n v="789359"/>
    <x v="0"/>
    <n v="311"/>
    <n v="775484"/>
    <n v="9.9"/>
    <x v="4"/>
    <n v="220685"/>
    <x v="4"/>
    <x v="0"/>
    <s v="Married"/>
    <x v="1"/>
    <n v="1"/>
  </r>
  <r>
    <x v="410"/>
    <n v="36"/>
    <x v="1"/>
    <n v="790902"/>
    <x v="0"/>
    <n v="523"/>
    <n v="782545"/>
    <n v="9.2899999999999991"/>
    <x v="4"/>
    <n v="221139"/>
    <x v="3"/>
    <x v="0"/>
    <s v="Single"/>
    <x v="2"/>
    <n v="0"/>
  </r>
  <r>
    <x v="411"/>
    <n v="36"/>
    <x v="1"/>
    <n v="792082"/>
    <x v="0"/>
    <n v="347"/>
    <n v="790790"/>
    <n v="11.73"/>
    <x v="2"/>
    <n v="221506"/>
    <x v="1"/>
    <x v="1"/>
    <s v="Married"/>
    <x v="1"/>
    <n v="0"/>
  </r>
  <r>
    <x v="412"/>
    <n v="36"/>
    <x v="0"/>
    <n v="795044"/>
    <x v="0"/>
    <n v="698"/>
    <n v="793690"/>
    <n v="15.41"/>
    <x v="0"/>
    <n v="222070"/>
    <x v="4"/>
    <x v="1"/>
    <s v="Single"/>
    <x v="1"/>
    <n v="0"/>
  </r>
  <r>
    <x v="413"/>
    <n v="36"/>
    <x v="0"/>
    <n v="796782"/>
    <x v="1"/>
    <n v="538"/>
    <n v="795737"/>
    <n v="10.47"/>
    <x v="2"/>
    <n v="222107"/>
    <x v="4"/>
    <x v="0"/>
    <s v="Married"/>
    <x v="2"/>
    <n v="0"/>
  </r>
  <r>
    <x v="414"/>
    <n v="36"/>
    <x v="0"/>
    <n v="797763"/>
    <x v="0"/>
    <n v="775"/>
    <n v="797139"/>
    <n v="15.47"/>
    <x v="2"/>
    <n v="222379"/>
    <x v="4"/>
    <x v="0"/>
    <s v="Single"/>
    <x v="0"/>
    <n v="0"/>
  </r>
  <r>
    <x v="415"/>
    <n v="36"/>
    <x v="1"/>
    <n v="798970"/>
    <x v="0"/>
    <n v="554"/>
    <n v="797518"/>
    <n v="10.49"/>
    <x v="3"/>
    <n v="222805"/>
    <x v="0"/>
    <x v="1"/>
    <s v="Single"/>
    <x v="0"/>
    <n v="0"/>
  </r>
  <r>
    <x v="416"/>
    <n v="36"/>
    <x v="0"/>
    <n v="800647"/>
    <x v="1"/>
    <n v="611"/>
    <n v="799747"/>
    <n v="14.68"/>
    <x v="0"/>
    <n v="222998"/>
    <x v="2"/>
    <x v="0"/>
    <s v="Married"/>
    <x v="2"/>
    <n v="0"/>
  </r>
  <r>
    <x v="417"/>
    <n v="36"/>
    <x v="1"/>
    <n v="800763"/>
    <x v="1"/>
    <n v="587"/>
    <n v="801351"/>
    <n v="9.39"/>
    <x v="4"/>
    <n v="223391"/>
    <x v="2"/>
    <x v="0"/>
    <s v="Married"/>
    <x v="2"/>
    <n v="1"/>
  </r>
  <r>
    <x v="418"/>
    <n v="36"/>
    <x v="1"/>
    <n v="802575"/>
    <x v="1"/>
    <n v="649"/>
    <n v="802783"/>
    <n v="9.3699999999999992"/>
    <x v="2"/>
    <n v="223931"/>
    <x v="2"/>
    <x v="0"/>
    <s v="Married"/>
    <x v="1"/>
    <n v="0"/>
  </r>
  <r>
    <x v="419"/>
    <n v="36"/>
    <x v="0"/>
    <n v="803797"/>
    <x v="0"/>
    <n v="754"/>
    <n v="803074"/>
    <n v="8.9700000000000006"/>
    <x v="1"/>
    <n v="224754"/>
    <x v="2"/>
    <x v="0"/>
    <s v="Married"/>
    <x v="0"/>
    <n v="0"/>
  </r>
  <r>
    <x v="388"/>
    <n v="36"/>
    <x v="0"/>
    <n v="805227"/>
    <x v="0"/>
    <n v="742"/>
    <n v="809037"/>
    <n v="15.68"/>
    <x v="1"/>
    <n v="224942"/>
    <x v="2"/>
    <x v="1"/>
    <s v="Married"/>
    <x v="1"/>
    <n v="0"/>
  </r>
  <r>
    <x v="420"/>
    <n v="37"/>
    <x v="0"/>
    <n v="806822"/>
    <x v="1"/>
    <n v="413"/>
    <n v="810070"/>
    <n v="7.68"/>
    <x v="2"/>
    <n v="225368"/>
    <x v="0"/>
    <x v="1"/>
    <s v="Single"/>
    <x v="2"/>
    <n v="0"/>
  </r>
  <r>
    <x v="421"/>
    <n v="37"/>
    <x v="0"/>
    <n v="811256"/>
    <x v="0"/>
    <n v="398"/>
    <n v="811130"/>
    <n v="10.77"/>
    <x v="3"/>
    <n v="225689"/>
    <x v="2"/>
    <x v="0"/>
    <s v="Single"/>
    <x v="1"/>
    <n v="0"/>
  </r>
  <r>
    <x v="422"/>
    <n v="37"/>
    <x v="1"/>
    <n v="815015"/>
    <x v="1"/>
    <n v="695"/>
    <n v="811212"/>
    <n v="10"/>
    <x v="3"/>
    <n v="225849"/>
    <x v="4"/>
    <x v="1"/>
    <s v="Single"/>
    <x v="0"/>
    <n v="0"/>
  </r>
  <r>
    <x v="423"/>
    <n v="37"/>
    <x v="1"/>
    <n v="816885"/>
    <x v="0"/>
    <n v="335"/>
    <n v="812418"/>
    <n v="10.23"/>
    <x v="0"/>
    <n v="225949"/>
    <x v="4"/>
    <x v="0"/>
    <s v="Married"/>
    <x v="0"/>
    <n v="0"/>
  </r>
  <r>
    <x v="424"/>
    <n v="37"/>
    <x v="1"/>
    <n v="817357"/>
    <x v="0"/>
    <n v="764"/>
    <n v="813969"/>
    <n v="12.87"/>
    <x v="2"/>
    <n v="226198"/>
    <x v="3"/>
    <x v="0"/>
    <s v="Single"/>
    <x v="0"/>
    <n v="0"/>
  </r>
  <r>
    <x v="425"/>
    <n v="37"/>
    <x v="0"/>
    <n v="817433"/>
    <x v="1"/>
    <n v="883"/>
    <n v="820282"/>
    <n v="8.83"/>
    <x v="4"/>
    <n v="226472"/>
    <x v="0"/>
    <x v="1"/>
    <s v="Married"/>
    <x v="2"/>
    <n v="0"/>
  </r>
  <r>
    <x v="426"/>
    <n v="37"/>
    <x v="1"/>
    <n v="817538"/>
    <x v="0"/>
    <n v="670"/>
    <n v="824682"/>
    <n v="13.38"/>
    <x v="1"/>
    <n v="227128"/>
    <x v="1"/>
    <x v="1"/>
    <s v="Married"/>
    <x v="2"/>
    <n v="0"/>
  </r>
  <r>
    <x v="427"/>
    <n v="37"/>
    <x v="1"/>
    <n v="818430"/>
    <x v="0"/>
    <n v="693"/>
    <n v="825991"/>
    <n v="7.67"/>
    <x v="4"/>
    <n v="227302"/>
    <x v="3"/>
    <x v="0"/>
    <s v="Married"/>
    <x v="0"/>
    <n v="0"/>
  </r>
  <r>
    <x v="428"/>
    <n v="37"/>
    <x v="0"/>
    <n v="819072"/>
    <x v="0"/>
    <n v="525"/>
    <n v="826798"/>
    <n v="12.58"/>
    <x v="1"/>
    <n v="227730"/>
    <x v="3"/>
    <x v="1"/>
    <s v="Single"/>
    <x v="2"/>
    <n v="0"/>
  </r>
  <r>
    <x v="429"/>
    <n v="37"/>
    <x v="0"/>
    <n v="820237"/>
    <x v="0"/>
    <n v="832"/>
    <n v="827694"/>
    <n v="9.52"/>
    <x v="2"/>
    <n v="228570"/>
    <x v="1"/>
    <x v="1"/>
    <s v="Married"/>
    <x v="0"/>
    <n v="0"/>
  </r>
  <r>
    <x v="430"/>
    <n v="37"/>
    <x v="0"/>
    <n v="820341"/>
    <x v="1"/>
    <n v="399"/>
    <n v="828877"/>
    <n v="9.9600000000000009"/>
    <x v="3"/>
    <n v="229837"/>
    <x v="2"/>
    <x v="1"/>
    <s v="Single"/>
    <x v="1"/>
    <n v="0"/>
  </r>
  <r>
    <x v="431"/>
    <n v="37"/>
    <x v="0"/>
    <n v="821588"/>
    <x v="1"/>
    <n v="436"/>
    <n v="830130"/>
    <n v="8.92"/>
    <x v="3"/>
    <n v="230779"/>
    <x v="4"/>
    <x v="0"/>
    <s v="Married"/>
    <x v="1"/>
    <n v="0"/>
  </r>
  <r>
    <x v="432"/>
    <n v="37"/>
    <x v="0"/>
    <n v="822488"/>
    <x v="1"/>
    <n v="533"/>
    <n v="830188"/>
    <n v="14.08"/>
    <x v="3"/>
    <n v="230935"/>
    <x v="3"/>
    <x v="0"/>
    <s v="Single"/>
    <x v="2"/>
    <n v="1"/>
  </r>
  <r>
    <x v="433"/>
    <n v="37"/>
    <x v="0"/>
    <n v="822934"/>
    <x v="1"/>
    <n v="377"/>
    <n v="830804"/>
    <n v="8.27"/>
    <x v="3"/>
    <n v="231016"/>
    <x v="1"/>
    <x v="1"/>
    <s v="Single"/>
    <x v="1"/>
    <n v="0"/>
  </r>
  <r>
    <x v="434"/>
    <n v="37"/>
    <x v="0"/>
    <n v="823506"/>
    <x v="0"/>
    <n v="625"/>
    <n v="830990"/>
    <n v="8.57"/>
    <x v="1"/>
    <n v="232193"/>
    <x v="1"/>
    <x v="1"/>
    <s v="Married"/>
    <x v="0"/>
    <n v="0"/>
  </r>
  <r>
    <x v="435"/>
    <n v="37"/>
    <x v="1"/>
    <n v="823692"/>
    <x v="1"/>
    <n v="395"/>
    <n v="833585"/>
    <n v="12.97"/>
    <x v="1"/>
    <n v="232378"/>
    <x v="3"/>
    <x v="1"/>
    <s v="Married"/>
    <x v="2"/>
    <n v="0"/>
  </r>
  <r>
    <x v="436"/>
    <n v="37"/>
    <x v="0"/>
    <n v="824340"/>
    <x v="1"/>
    <n v="389"/>
    <n v="834236"/>
    <n v="8.4"/>
    <x v="1"/>
    <n v="232606"/>
    <x v="0"/>
    <x v="1"/>
    <s v="Single"/>
    <x v="0"/>
    <n v="0"/>
  </r>
  <r>
    <x v="437"/>
    <n v="37"/>
    <x v="1"/>
    <n v="824499"/>
    <x v="0"/>
    <n v="516"/>
    <n v="836526"/>
    <n v="12.6"/>
    <x v="0"/>
    <n v="232776"/>
    <x v="2"/>
    <x v="1"/>
    <s v="Single"/>
    <x v="0"/>
    <n v="1"/>
  </r>
  <r>
    <x v="438"/>
    <n v="37"/>
    <x v="0"/>
    <n v="824665"/>
    <x v="1"/>
    <n v="790"/>
    <n v="837405"/>
    <n v="14.16"/>
    <x v="1"/>
    <n v="234752"/>
    <x v="3"/>
    <x v="0"/>
    <s v="Single"/>
    <x v="2"/>
    <n v="0"/>
  </r>
  <r>
    <x v="439"/>
    <n v="37"/>
    <x v="0"/>
    <n v="824687"/>
    <x v="1"/>
    <n v="669"/>
    <n v="838246"/>
    <n v="8.15"/>
    <x v="3"/>
    <n v="235100"/>
    <x v="0"/>
    <x v="1"/>
    <s v="Single"/>
    <x v="2"/>
    <n v="0"/>
  </r>
  <r>
    <x v="440"/>
    <n v="37"/>
    <x v="1"/>
    <n v="825005"/>
    <x v="0"/>
    <n v="558"/>
    <n v="843602"/>
    <n v="12.7"/>
    <x v="1"/>
    <n v="235411"/>
    <x v="4"/>
    <x v="1"/>
    <s v="Married"/>
    <x v="1"/>
    <n v="1"/>
  </r>
  <r>
    <x v="441"/>
    <n v="37"/>
    <x v="0"/>
    <n v="825076"/>
    <x v="1"/>
    <n v="583"/>
    <n v="846623"/>
    <n v="8.35"/>
    <x v="2"/>
    <n v="235426"/>
    <x v="3"/>
    <x v="0"/>
    <s v="Married"/>
    <x v="1"/>
    <n v="1"/>
  </r>
  <r>
    <x v="442"/>
    <n v="37"/>
    <x v="1"/>
    <n v="825140"/>
    <x v="0"/>
    <n v="379"/>
    <n v="848648"/>
    <n v="8.11"/>
    <x v="1"/>
    <n v="235552"/>
    <x v="4"/>
    <x v="0"/>
    <s v="Married"/>
    <x v="1"/>
    <n v="1"/>
  </r>
  <r>
    <x v="443"/>
    <n v="38"/>
    <x v="1"/>
    <n v="825308"/>
    <x v="0"/>
    <n v="325"/>
    <n v="850464"/>
    <n v="8.27"/>
    <x v="2"/>
    <n v="235568"/>
    <x v="0"/>
    <x v="1"/>
    <s v="Single"/>
    <x v="2"/>
    <n v="0"/>
  </r>
  <r>
    <x v="444"/>
    <n v="38"/>
    <x v="0"/>
    <n v="828458"/>
    <x v="1"/>
    <n v="437"/>
    <n v="851239"/>
    <n v="11.43"/>
    <x v="2"/>
    <n v="235679"/>
    <x v="2"/>
    <x v="0"/>
    <s v="Married"/>
    <x v="1"/>
    <n v="0"/>
  </r>
  <r>
    <x v="445"/>
    <n v="38"/>
    <x v="0"/>
    <n v="831612"/>
    <x v="1"/>
    <n v="775"/>
    <n v="851257"/>
    <n v="16.38"/>
    <x v="1"/>
    <n v="236175"/>
    <x v="3"/>
    <x v="1"/>
    <s v="Married"/>
    <x v="2"/>
    <n v="0"/>
  </r>
  <r>
    <x v="446"/>
    <n v="38"/>
    <x v="1"/>
    <n v="832480"/>
    <x v="0"/>
    <n v="500"/>
    <n v="851344"/>
    <n v="13.65"/>
    <x v="1"/>
    <n v="236192"/>
    <x v="3"/>
    <x v="0"/>
    <s v="Married"/>
    <x v="1"/>
    <n v="1"/>
  </r>
  <r>
    <x v="447"/>
    <n v="38"/>
    <x v="0"/>
    <n v="833053"/>
    <x v="0"/>
    <n v="556"/>
    <n v="852725"/>
    <n v="14.8"/>
    <x v="1"/>
    <n v="236443"/>
    <x v="4"/>
    <x v="0"/>
    <s v="Single"/>
    <x v="2"/>
    <n v="0"/>
  </r>
  <r>
    <x v="448"/>
    <n v="38"/>
    <x v="0"/>
    <n v="835234"/>
    <x v="1"/>
    <n v="414"/>
    <n v="859100"/>
    <n v="14.99"/>
    <x v="3"/>
    <n v="236677"/>
    <x v="3"/>
    <x v="0"/>
    <s v="Married"/>
    <x v="1"/>
    <n v="0"/>
  </r>
  <r>
    <x v="449"/>
    <n v="38"/>
    <x v="0"/>
    <n v="835798"/>
    <x v="1"/>
    <n v="495"/>
    <n v="859313"/>
    <n v="8.9700000000000006"/>
    <x v="0"/>
    <n v="236847"/>
    <x v="3"/>
    <x v="1"/>
    <s v="Single"/>
    <x v="0"/>
    <n v="1"/>
  </r>
  <r>
    <x v="450"/>
    <n v="38"/>
    <x v="1"/>
    <n v="838818"/>
    <x v="0"/>
    <n v="596"/>
    <n v="863461"/>
    <n v="13.78"/>
    <x v="1"/>
    <n v="237396"/>
    <x v="2"/>
    <x v="0"/>
    <s v="Married"/>
    <x v="0"/>
    <n v="0"/>
  </r>
  <r>
    <x v="451"/>
    <n v="38"/>
    <x v="0"/>
    <n v="839275"/>
    <x v="1"/>
    <n v="532"/>
    <n v="864306"/>
    <n v="8.91"/>
    <x v="3"/>
    <n v="238236"/>
    <x v="3"/>
    <x v="1"/>
    <s v="Married"/>
    <x v="0"/>
    <n v="0"/>
  </r>
  <r>
    <x v="452"/>
    <n v="38"/>
    <x v="1"/>
    <n v="839353"/>
    <x v="0"/>
    <n v="567"/>
    <n v="864306"/>
    <n v="12.45"/>
    <x v="2"/>
    <n v="238462"/>
    <x v="2"/>
    <x v="1"/>
    <s v="Married"/>
    <x v="0"/>
    <n v="0"/>
  </r>
  <r>
    <x v="453"/>
    <n v="38"/>
    <x v="1"/>
    <n v="840353"/>
    <x v="1"/>
    <n v="836"/>
    <n v="864581"/>
    <n v="12.82"/>
    <x v="1"/>
    <n v="238761"/>
    <x v="1"/>
    <x v="1"/>
    <s v="Single"/>
    <x v="0"/>
    <n v="0"/>
  </r>
  <r>
    <x v="454"/>
    <n v="38"/>
    <x v="1"/>
    <n v="842870"/>
    <x v="1"/>
    <n v="337"/>
    <n v="865537"/>
    <n v="8.8000000000000007"/>
    <x v="1"/>
    <n v="239222"/>
    <x v="3"/>
    <x v="1"/>
    <s v="Married"/>
    <x v="0"/>
    <n v="0"/>
  </r>
  <r>
    <x v="455"/>
    <n v="38"/>
    <x v="0"/>
    <n v="843411"/>
    <x v="1"/>
    <n v="322"/>
    <n v="867257"/>
    <n v="16.21"/>
    <x v="4"/>
    <n v="239340"/>
    <x v="4"/>
    <x v="1"/>
    <s v="Single"/>
    <x v="1"/>
    <n v="0"/>
  </r>
  <r>
    <x v="456"/>
    <n v="38"/>
    <x v="0"/>
    <n v="843450"/>
    <x v="1"/>
    <n v="545"/>
    <n v="867561"/>
    <n v="11.48"/>
    <x v="0"/>
    <n v="239639"/>
    <x v="2"/>
    <x v="1"/>
    <s v="Single"/>
    <x v="2"/>
    <n v="0"/>
  </r>
  <r>
    <x v="457"/>
    <n v="38"/>
    <x v="0"/>
    <n v="844766"/>
    <x v="1"/>
    <n v="741"/>
    <n v="868789"/>
    <n v="11.87"/>
    <x v="3"/>
    <n v="239734"/>
    <x v="1"/>
    <x v="0"/>
    <s v="Single"/>
    <x v="1"/>
    <n v="0"/>
  </r>
  <r>
    <x v="458"/>
    <n v="38"/>
    <x v="1"/>
    <n v="847658"/>
    <x v="0"/>
    <n v="645"/>
    <n v="870305"/>
    <n v="12.38"/>
    <x v="3"/>
    <n v="239763"/>
    <x v="3"/>
    <x v="0"/>
    <s v="Married"/>
    <x v="0"/>
    <n v="1"/>
  </r>
  <r>
    <x v="459"/>
    <n v="38"/>
    <x v="0"/>
    <n v="847961"/>
    <x v="1"/>
    <n v="759"/>
    <n v="870926"/>
    <n v="10.88"/>
    <x v="0"/>
    <n v="239928"/>
    <x v="3"/>
    <x v="1"/>
    <s v="Married"/>
    <x v="0"/>
    <n v="0"/>
  </r>
  <r>
    <x v="460"/>
    <n v="38"/>
    <x v="0"/>
    <n v="848563"/>
    <x v="0"/>
    <n v="878"/>
    <n v="872760"/>
    <n v="13.56"/>
    <x v="2"/>
    <n v="239960"/>
    <x v="0"/>
    <x v="0"/>
    <s v="Single"/>
    <x v="1"/>
    <n v="0"/>
  </r>
  <r>
    <x v="461"/>
    <n v="38"/>
    <x v="1"/>
    <n v="848690"/>
    <x v="1"/>
    <n v="720"/>
    <n v="872760"/>
    <n v="13.81"/>
    <x v="2"/>
    <n v="240799"/>
    <x v="4"/>
    <x v="1"/>
    <s v="Single"/>
    <x v="0"/>
    <n v="0"/>
  </r>
  <r>
    <x v="462"/>
    <n v="38"/>
    <x v="0"/>
    <n v="850577"/>
    <x v="1"/>
    <n v="415"/>
    <n v="874693"/>
    <n v="14.45"/>
    <x v="1"/>
    <n v="240881"/>
    <x v="4"/>
    <x v="1"/>
    <s v="Married"/>
    <x v="2"/>
    <n v="0"/>
  </r>
  <r>
    <x v="463"/>
    <n v="38"/>
    <x v="0"/>
    <n v="856643"/>
    <x v="1"/>
    <n v="400"/>
    <n v="880851"/>
    <n v="9.9"/>
    <x v="2"/>
    <n v="240953"/>
    <x v="3"/>
    <x v="0"/>
    <s v="Single"/>
    <x v="1"/>
    <n v="0"/>
  </r>
  <r>
    <x v="464"/>
    <n v="39"/>
    <x v="1"/>
    <n v="858274"/>
    <x v="1"/>
    <n v="747"/>
    <n v="880908"/>
    <n v="13.31"/>
    <x v="1"/>
    <n v="241281"/>
    <x v="4"/>
    <x v="0"/>
    <s v="Single"/>
    <x v="0"/>
    <n v="0"/>
  </r>
  <r>
    <x v="465"/>
    <n v="39"/>
    <x v="0"/>
    <n v="859318"/>
    <x v="0"/>
    <n v="407"/>
    <n v="886744"/>
    <n v="9.09"/>
    <x v="0"/>
    <n v="241389"/>
    <x v="2"/>
    <x v="0"/>
    <s v="Married"/>
    <x v="1"/>
    <n v="0"/>
  </r>
  <r>
    <x v="466"/>
    <n v="39"/>
    <x v="1"/>
    <n v="861282"/>
    <x v="0"/>
    <n v="734"/>
    <n v="887143"/>
    <n v="16.010000000000002"/>
    <x v="2"/>
    <n v="242351"/>
    <x v="2"/>
    <x v="0"/>
    <s v="Single"/>
    <x v="1"/>
    <n v="0"/>
  </r>
  <r>
    <x v="467"/>
    <n v="39"/>
    <x v="0"/>
    <n v="861343"/>
    <x v="0"/>
    <n v="752"/>
    <n v="887449"/>
    <n v="13.81"/>
    <x v="3"/>
    <n v="242806"/>
    <x v="1"/>
    <x v="0"/>
    <s v="Married"/>
    <x v="0"/>
    <n v="0"/>
  </r>
  <r>
    <x v="468"/>
    <n v="39"/>
    <x v="0"/>
    <n v="861847"/>
    <x v="1"/>
    <n v="752"/>
    <n v="890125"/>
    <n v="14.45"/>
    <x v="4"/>
    <n v="243503"/>
    <x v="3"/>
    <x v="0"/>
    <s v="Married"/>
    <x v="1"/>
    <n v="0"/>
  </r>
  <r>
    <x v="469"/>
    <n v="39"/>
    <x v="1"/>
    <n v="862791"/>
    <x v="0"/>
    <n v="550"/>
    <n v="896974"/>
    <n v="9.85"/>
    <x v="4"/>
    <n v="244035"/>
    <x v="3"/>
    <x v="0"/>
    <s v="Married"/>
    <x v="2"/>
    <n v="1"/>
  </r>
  <r>
    <x v="470"/>
    <n v="39"/>
    <x v="0"/>
    <n v="863481"/>
    <x v="0"/>
    <n v="773"/>
    <n v="897148"/>
    <n v="13.52"/>
    <x v="3"/>
    <n v="246026"/>
    <x v="4"/>
    <x v="1"/>
    <s v="Married"/>
    <x v="1"/>
    <n v="0"/>
  </r>
  <r>
    <x v="471"/>
    <n v="39"/>
    <x v="1"/>
    <n v="864694"/>
    <x v="1"/>
    <m/>
    <n v="903461"/>
    <n v="15.57"/>
    <x v="1"/>
    <n v="246586"/>
    <x v="1"/>
    <x v="1"/>
    <s v="Single"/>
    <x v="0"/>
    <n v="0"/>
  </r>
  <r>
    <x v="472"/>
    <n v="39"/>
    <x v="0"/>
    <n v="866577"/>
    <x v="0"/>
    <n v="825"/>
    <n v="904658"/>
    <n v="14.45"/>
    <x v="4"/>
    <n v="246851"/>
    <x v="0"/>
    <x v="0"/>
    <s v="Married"/>
    <x v="1"/>
    <n v="1"/>
  </r>
  <r>
    <x v="473"/>
    <n v="39"/>
    <x v="0"/>
    <n v="867724"/>
    <x v="1"/>
    <n v="660"/>
    <n v="906019"/>
    <n v="14.1"/>
    <x v="4"/>
    <n v="246923"/>
    <x v="0"/>
    <x v="0"/>
    <s v="Married"/>
    <x v="0"/>
    <n v="0"/>
  </r>
  <r>
    <x v="474"/>
    <n v="39"/>
    <x v="0"/>
    <n v="868319"/>
    <x v="0"/>
    <n v="748"/>
    <n v="907560"/>
    <n v="8.02"/>
    <x v="2"/>
    <n v="247601"/>
    <x v="3"/>
    <x v="1"/>
    <s v="Married"/>
    <x v="1"/>
    <n v="0"/>
  </r>
  <r>
    <x v="475"/>
    <n v="39"/>
    <x v="1"/>
    <n v="870497"/>
    <x v="0"/>
    <n v="406"/>
    <n v="915072"/>
    <n v="9.02"/>
    <x v="2"/>
    <n v="247926"/>
    <x v="4"/>
    <x v="0"/>
    <s v="Single"/>
    <x v="1"/>
    <n v="0"/>
  </r>
  <r>
    <x v="476"/>
    <n v="39"/>
    <x v="0"/>
    <n v="870864"/>
    <x v="0"/>
    <n v="553"/>
    <n v="918395"/>
    <n v="13.51"/>
    <x v="1"/>
    <n v="248596"/>
    <x v="2"/>
    <x v="0"/>
    <s v="Married"/>
    <x v="2"/>
    <n v="1"/>
  </r>
  <r>
    <x v="477"/>
    <n v="39"/>
    <x v="0"/>
    <n v="871435"/>
    <x v="1"/>
    <m/>
    <n v="919427"/>
    <n v="11.76"/>
    <x v="2"/>
    <n v="249833"/>
    <x v="4"/>
    <x v="1"/>
    <s v="Single"/>
    <x v="2"/>
    <n v="0"/>
  </r>
  <r>
    <x v="478"/>
    <n v="39"/>
    <x v="0"/>
    <n v="872207"/>
    <x v="0"/>
    <n v="427"/>
    <n v="920546"/>
    <n v="9.4700000000000006"/>
    <x v="2"/>
    <n v="249859"/>
    <x v="3"/>
    <x v="1"/>
    <s v="Single"/>
    <x v="0"/>
    <n v="0"/>
  </r>
  <r>
    <x v="479"/>
    <n v="39"/>
    <x v="0"/>
    <n v="872207"/>
    <x v="1"/>
    <n v="826"/>
    <n v="921869"/>
    <n v="9.08"/>
    <x v="0"/>
    <n v="249976"/>
    <x v="4"/>
    <x v="0"/>
    <s v="Married"/>
    <x v="1"/>
    <n v="0"/>
  </r>
  <r>
    <x v="480"/>
    <n v="39"/>
    <x v="0"/>
    <n v="872526"/>
    <x v="0"/>
    <n v="617"/>
    <n v="923123"/>
    <n v="13.93"/>
    <x v="3"/>
    <n v="251045"/>
    <x v="1"/>
    <x v="0"/>
    <s v="Married"/>
    <x v="0"/>
    <n v="1"/>
  </r>
  <r>
    <x v="481"/>
    <n v="39"/>
    <x v="0"/>
    <n v="872798"/>
    <x v="0"/>
    <n v="434"/>
    <n v="924091"/>
    <n v="9.17"/>
    <x v="2"/>
    <n v="251213"/>
    <x v="0"/>
    <x v="0"/>
    <s v="Single"/>
    <x v="0"/>
    <n v="1"/>
  </r>
  <r>
    <x v="482"/>
    <n v="39"/>
    <x v="0"/>
    <n v="873976"/>
    <x v="0"/>
    <n v="417"/>
    <n v="924977"/>
    <n v="9.34"/>
    <x v="4"/>
    <n v="251743"/>
    <x v="0"/>
    <x v="1"/>
    <s v="Married"/>
    <x v="2"/>
    <n v="1"/>
  </r>
  <r>
    <x v="483"/>
    <n v="39"/>
    <x v="1"/>
    <n v="875492"/>
    <x v="0"/>
    <n v="675"/>
    <n v="925281"/>
    <n v="9.27"/>
    <x v="2"/>
    <n v="252193"/>
    <x v="1"/>
    <x v="0"/>
    <s v="Married"/>
    <x v="2"/>
    <n v="0"/>
  </r>
  <r>
    <x v="484"/>
    <n v="39"/>
    <x v="0"/>
    <n v="875916"/>
    <x v="1"/>
    <n v="639"/>
    <n v="925975"/>
    <n v="12.39"/>
    <x v="0"/>
    <n v="253293"/>
    <x v="3"/>
    <x v="1"/>
    <s v="Married"/>
    <x v="0"/>
    <n v="0"/>
  </r>
  <r>
    <x v="485"/>
    <n v="40"/>
    <x v="0"/>
    <n v="876348"/>
    <x v="1"/>
    <n v="616"/>
    <n v="926358"/>
    <n v="7.85"/>
    <x v="3"/>
    <n v="253587"/>
    <x v="4"/>
    <x v="1"/>
    <s v="Single"/>
    <x v="2"/>
    <n v="0"/>
  </r>
  <r>
    <x v="486"/>
    <n v="40"/>
    <x v="1"/>
    <n v="877415"/>
    <x v="1"/>
    <n v="798"/>
    <n v="927849"/>
    <n v="10.7"/>
    <x v="2"/>
    <n v="253709"/>
    <x v="2"/>
    <x v="0"/>
    <s v="Married"/>
    <x v="1"/>
    <n v="1"/>
  </r>
  <r>
    <x v="487"/>
    <n v="40"/>
    <x v="0"/>
    <n v="877448"/>
    <x v="1"/>
    <n v="610"/>
    <n v="929993"/>
    <n v="8.99"/>
    <x v="1"/>
    <n v="253719"/>
    <x v="1"/>
    <x v="0"/>
    <s v="Single"/>
    <x v="0"/>
    <n v="0"/>
  </r>
  <r>
    <x v="488"/>
    <n v="40"/>
    <x v="1"/>
    <n v="883188"/>
    <x v="1"/>
    <n v="391"/>
    <n v="931061"/>
    <n v="13.05"/>
    <x v="3"/>
    <n v="254332"/>
    <x v="0"/>
    <x v="0"/>
    <s v="Single"/>
    <x v="0"/>
    <n v="0"/>
  </r>
  <r>
    <x v="489"/>
    <n v="40"/>
    <x v="0"/>
    <n v="883895"/>
    <x v="0"/>
    <n v="503"/>
    <n v="936035"/>
    <n v="14.83"/>
    <x v="4"/>
    <n v="255455"/>
    <x v="1"/>
    <x v="1"/>
    <s v="Single"/>
    <x v="2"/>
    <n v="1"/>
  </r>
  <r>
    <x v="490"/>
    <n v="40"/>
    <x v="2"/>
    <n v="884895"/>
    <x v="1"/>
    <n v="742"/>
    <n v="939037"/>
    <n v="8.25"/>
    <x v="1"/>
    <n v="255848"/>
    <x v="0"/>
    <x v="1"/>
    <s v="Married"/>
    <x v="0"/>
    <n v="0"/>
  </r>
  <r>
    <x v="491"/>
    <n v="40"/>
    <x v="0"/>
    <n v="885233"/>
    <x v="1"/>
    <n v="334"/>
    <n v="939553"/>
    <n v="9.75"/>
    <x v="3"/>
    <n v="256245"/>
    <x v="2"/>
    <x v="1"/>
    <s v="Married"/>
    <x v="1"/>
    <n v="0"/>
  </r>
  <r>
    <x v="492"/>
    <n v="40"/>
    <x v="1"/>
    <n v="885359"/>
    <x v="0"/>
    <n v="595"/>
    <n v="940605"/>
    <n v="15.86"/>
    <x v="0"/>
    <n v="256671"/>
    <x v="2"/>
    <x v="1"/>
    <s v="Married"/>
    <x v="2"/>
    <n v="1"/>
  </r>
  <r>
    <x v="493"/>
    <n v="40"/>
    <x v="0"/>
    <n v="887333"/>
    <x v="0"/>
    <n v="675"/>
    <n v="941900"/>
    <n v="10.82"/>
    <x v="4"/>
    <n v="257546"/>
    <x v="4"/>
    <x v="0"/>
    <s v="Married"/>
    <x v="1"/>
    <n v="0"/>
  </r>
  <r>
    <x v="494"/>
    <n v="40"/>
    <x v="0"/>
    <n v="888657"/>
    <x v="1"/>
    <n v="644"/>
    <n v="943152"/>
    <n v="10.84"/>
    <x v="4"/>
    <n v="257828"/>
    <x v="2"/>
    <x v="1"/>
    <s v="Single"/>
    <x v="2"/>
    <n v="0"/>
  </r>
  <r>
    <x v="495"/>
    <n v="40"/>
    <x v="1"/>
    <n v="888746"/>
    <x v="0"/>
    <n v="329"/>
    <n v="947784"/>
    <n v="9.86"/>
    <x v="4"/>
    <n v="257917"/>
    <x v="3"/>
    <x v="1"/>
    <s v="Single"/>
    <x v="1"/>
    <n v="0"/>
  </r>
  <r>
    <x v="496"/>
    <n v="40"/>
    <x v="0"/>
    <n v="889992"/>
    <x v="0"/>
    <n v="530"/>
    <n v="948145"/>
    <n v="13.2"/>
    <x v="4"/>
    <n v="258908"/>
    <x v="4"/>
    <x v="1"/>
    <s v="Single"/>
    <x v="1"/>
    <n v="0"/>
  </r>
  <r>
    <x v="497"/>
    <n v="40"/>
    <x v="1"/>
    <n v="892582"/>
    <x v="1"/>
    <n v="611"/>
    <n v="949363"/>
    <n v="13.22"/>
    <x v="1"/>
    <n v="259769"/>
    <x v="3"/>
    <x v="0"/>
    <s v="Married"/>
    <x v="1"/>
    <n v="0"/>
  </r>
  <r>
    <x v="498"/>
    <n v="40"/>
    <x v="1"/>
    <n v="893874"/>
    <x v="1"/>
    <n v="418"/>
    <n v="951553"/>
    <n v="15.53"/>
    <x v="3"/>
    <n v="260700"/>
    <x v="2"/>
    <x v="0"/>
    <s v="Married"/>
    <x v="0"/>
    <n v="0"/>
  </r>
  <r>
    <x v="499"/>
    <n v="40"/>
    <x v="1"/>
    <n v="894865"/>
    <x v="1"/>
    <n v="489"/>
    <n v="955988"/>
    <n v="13.11"/>
    <x v="2"/>
    <n v="261214"/>
    <x v="4"/>
    <x v="1"/>
    <s v="Married"/>
    <x v="2"/>
    <n v="1"/>
  </r>
  <r>
    <x v="500"/>
    <n v="40"/>
    <x v="0"/>
    <n v="895724"/>
    <x v="1"/>
    <n v="817"/>
    <n v="959990"/>
    <n v="15.3"/>
    <x v="1"/>
    <n v="261254"/>
    <x v="3"/>
    <x v="0"/>
    <s v="Married"/>
    <x v="2"/>
    <n v="0"/>
  </r>
  <r>
    <x v="501"/>
    <n v="40"/>
    <x v="0"/>
    <n v="896479"/>
    <x v="0"/>
    <n v="600"/>
    <n v="960632"/>
    <n v="12.78"/>
    <x v="0"/>
    <n v="261412"/>
    <x v="2"/>
    <x v="1"/>
    <s v="Married"/>
    <x v="2"/>
    <n v="0"/>
  </r>
  <r>
    <x v="502"/>
    <n v="40"/>
    <x v="0"/>
    <n v="896858"/>
    <x v="0"/>
    <n v="524"/>
    <n v="963199"/>
    <n v="16.02"/>
    <x v="0"/>
    <n v="261566"/>
    <x v="2"/>
    <x v="0"/>
    <s v="Single"/>
    <x v="0"/>
    <n v="0"/>
  </r>
  <r>
    <x v="503"/>
    <n v="40"/>
    <x v="1"/>
    <n v="897361"/>
    <x v="1"/>
    <n v="346"/>
    <n v="964850"/>
    <n v="8.1300000000000008"/>
    <x v="0"/>
    <n v="261581"/>
    <x v="4"/>
    <x v="0"/>
    <s v="Married"/>
    <x v="0"/>
    <n v="0"/>
  </r>
  <r>
    <x v="504"/>
    <n v="40"/>
    <x v="0"/>
    <n v="898845"/>
    <x v="0"/>
    <n v="442"/>
    <n v="967069"/>
    <n v="12.73"/>
    <x v="1"/>
    <n v="262979"/>
    <x v="4"/>
    <x v="0"/>
    <s v="Single"/>
    <x v="1"/>
    <n v="1"/>
  </r>
  <r>
    <x v="505"/>
    <n v="40"/>
    <x v="0"/>
    <n v="899603"/>
    <x v="1"/>
    <n v="809"/>
    <n v="968530"/>
    <n v="15.26"/>
    <x v="4"/>
    <n v="263432"/>
    <x v="2"/>
    <x v="0"/>
    <s v="Single"/>
    <x v="1"/>
    <n v="0"/>
  </r>
  <r>
    <x v="506"/>
    <n v="40"/>
    <x v="0"/>
    <n v="899915"/>
    <x v="0"/>
    <n v="598"/>
    <n v="969222"/>
    <n v="8.07"/>
    <x v="0"/>
    <n v="263471"/>
    <x v="4"/>
    <x v="0"/>
    <s v="Single"/>
    <x v="2"/>
    <n v="0"/>
  </r>
  <r>
    <x v="507"/>
    <n v="40"/>
    <x v="0"/>
    <n v="900454"/>
    <x v="0"/>
    <n v="498"/>
    <n v="969406"/>
    <n v="8.51"/>
    <x v="2"/>
    <n v="263790"/>
    <x v="2"/>
    <x v="0"/>
    <s v="Married"/>
    <x v="1"/>
    <n v="0"/>
  </r>
  <r>
    <x v="508"/>
    <n v="40"/>
    <x v="0"/>
    <n v="900730"/>
    <x v="1"/>
    <n v="538"/>
    <n v="970135"/>
    <n v="15.53"/>
    <x v="0"/>
    <n v="264358"/>
    <x v="4"/>
    <x v="1"/>
    <s v="Married"/>
    <x v="0"/>
    <n v="0"/>
  </r>
  <r>
    <x v="509"/>
    <n v="40"/>
    <x v="0"/>
    <n v="902449"/>
    <x v="0"/>
    <n v="464"/>
    <n v="977058"/>
    <n v="10.74"/>
    <x v="0"/>
    <n v="264365"/>
    <x v="1"/>
    <x v="1"/>
    <s v="Single"/>
    <x v="2"/>
    <n v="0"/>
  </r>
  <r>
    <x v="510"/>
    <n v="40"/>
    <x v="0"/>
    <n v="902943"/>
    <x v="0"/>
    <n v="844"/>
    <n v="977706"/>
    <n v="8.66"/>
    <x v="0"/>
    <n v="264669"/>
    <x v="0"/>
    <x v="1"/>
    <s v="Single"/>
    <x v="0"/>
    <n v="1"/>
  </r>
  <r>
    <x v="511"/>
    <n v="40"/>
    <x v="1"/>
    <n v="904365"/>
    <x v="1"/>
    <n v="592"/>
    <n v="979287"/>
    <n v="14.58"/>
    <x v="2"/>
    <n v="264843"/>
    <x v="0"/>
    <x v="0"/>
    <s v="Single"/>
    <x v="1"/>
    <n v="0"/>
  </r>
  <r>
    <x v="512"/>
    <n v="40"/>
    <x v="1"/>
    <n v="904406"/>
    <x v="0"/>
    <n v="701"/>
    <n v="980476"/>
    <n v="8.68"/>
    <x v="3"/>
    <n v="265818"/>
    <x v="4"/>
    <x v="0"/>
    <s v="Married"/>
    <x v="0"/>
    <n v="0"/>
  </r>
  <r>
    <x v="513"/>
    <n v="40"/>
    <x v="1"/>
    <n v="906332"/>
    <x v="0"/>
    <n v="867"/>
    <n v="982413"/>
    <n v="12.32"/>
    <x v="2"/>
    <n v="265922"/>
    <x v="0"/>
    <x v="1"/>
    <s v="Single"/>
    <x v="1"/>
    <n v="0"/>
  </r>
  <r>
    <x v="514"/>
    <n v="40"/>
    <x v="0"/>
    <n v="906854"/>
    <x v="0"/>
    <n v="489"/>
    <n v="987255"/>
    <n v="9.69"/>
    <x v="3"/>
    <n v="265928"/>
    <x v="2"/>
    <x v="1"/>
    <s v="Single"/>
    <x v="2"/>
    <n v="0"/>
  </r>
  <r>
    <x v="515"/>
    <n v="41"/>
    <x v="0"/>
    <n v="912842"/>
    <x v="0"/>
    <n v="391"/>
    <n v="989214"/>
    <n v="8.3699999999999992"/>
    <x v="4"/>
    <n v="267401"/>
    <x v="0"/>
    <x v="0"/>
    <s v="Married"/>
    <x v="2"/>
    <n v="1"/>
  </r>
  <r>
    <x v="516"/>
    <n v="41"/>
    <x v="1"/>
    <n v="913942"/>
    <x v="0"/>
    <n v="625"/>
    <n v="989956"/>
    <n v="8.98"/>
    <x v="2"/>
    <n v="267659"/>
    <x v="0"/>
    <x v="0"/>
    <s v="Single"/>
    <x v="0"/>
    <n v="0"/>
  </r>
  <r>
    <x v="517"/>
    <n v="41"/>
    <x v="0"/>
    <n v="914555"/>
    <x v="0"/>
    <n v="841"/>
    <n v="992029"/>
    <n v="8.1"/>
    <x v="3"/>
    <n v="268173"/>
    <x v="3"/>
    <x v="0"/>
    <s v="Married"/>
    <x v="0"/>
    <n v="0"/>
  </r>
  <r>
    <x v="518"/>
    <n v="41"/>
    <x v="1"/>
    <n v="915638"/>
    <x v="1"/>
    <n v="893"/>
    <n v="994192"/>
    <n v="9.0500000000000007"/>
    <x v="0"/>
    <n v="268499"/>
    <x v="4"/>
    <x v="1"/>
    <s v="Married"/>
    <x v="0"/>
    <n v="0"/>
  </r>
  <r>
    <x v="519"/>
    <n v="41"/>
    <x v="0"/>
    <n v="917168"/>
    <x v="1"/>
    <n v="375"/>
    <n v="995214"/>
    <n v="13.14"/>
    <x v="1"/>
    <n v="268662"/>
    <x v="1"/>
    <x v="0"/>
    <s v="Married"/>
    <x v="0"/>
    <n v="1"/>
  </r>
  <r>
    <x v="520"/>
    <n v="41"/>
    <x v="1"/>
    <n v="920914"/>
    <x v="0"/>
    <n v="861"/>
    <n v="996288"/>
    <n v="12.29"/>
    <x v="2"/>
    <n v="269133"/>
    <x v="0"/>
    <x v="0"/>
    <s v="Married"/>
    <x v="1"/>
    <n v="0"/>
  </r>
  <r>
    <x v="521"/>
    <n v="41"/>
    <x v="0"/>
    <n v="925568"/>
    <x v="1"/>
    <n v="541"/>
    <n v="996669"/>
    <n v="8.24"/>
    <x v="3"/>
    <n v="269143"/>
    <x v="1"/>
    <x v="1"/>
    <s v="Married"/>
    <x v="0"/>
    <n v="0"/>
  </r>
  <r>
    <x v="522"/>
    <n v="41"/>
    <x v="1"/>
    <n v="927729"/>
    <x v="1"/>
    <n v="784"/>
    <n v="998541"/>
    <n v="8.43"/>
    <x v="1"/>
    <n v="270690"/>
    <x v="0"/>
    <x v="0"/>
    <s v="Single"/>
    <x v="0"/>
    <n v="1"/>
  </r>
  <r>
    <x v="523"/>
    <n v="41"/>
    <x v="0"/>
    <n v="927791"/>
    <x v="1"/>
    <n v="492"/>
    <n v="999286"/>
    <n v="9.3800000000000008"/>
    <x v="0"/>
    <n v="271439"/>
    <x v="1"/>
    <x v="0"/>
    <s v="Single"/>
    <x v="0"/>
    <n v="0"/>
  </r>
  <r>
    <x v="524"/>
    <n v="41"/>
    <x v="1"/>
    <n v="928627"/>
    <x v="0"/>
    <n v="849"/>
    <n v="1001268"/>
    <n v="8.08"/>
    <x v="4"/>
    <n v="271742"/>
    <x v="4"/>
    <x v="1"/>
    <s v="Single"/>
    <x v="2"/>
    <n v="0"/>
  </r>
  <r>
    <x v="525"/>
    <n v="41"/>
    <x v="1"/>
    <n v="928699"/>
    <x v="0"/>
    <n v="515"/>
    <n v="1006451"/>
    <n v="8.44"/>
    <x v="3"/>
    <n v="272102"/>
    <x v="4"/>
    <x v="0"/>
    <s v="Married"/>
    <x v="1"/>
    <n v="0"/>
  </r>
  <r>
    <x v="526"/>
    <n v="41"/>
    <x v="1"/>
    <n v="929532"/>
    <x v="1"/>
    <n v="316"/>
    <n v="1007058"/>
    <n v="11.57"/>
    <x v="1"/>
    <n v="273140"/>
    <x v="3"/>
    <x v="0"/>
    <s v="Single"/>
    <x v="2"/>
    <n v="0"/>
  </r>
  <r>
    <x v="527"/>
    <n v="41"/>
    <x v="1"/>
    <n v="933522"/>
    <x v="1"/>
    <n v="588"/>
    <n v="1008949"/>
    <n v="16.079999999999998"/>
    <x v="1"/>
    <n v="273904"/>
    <x v="2"/>
    <x v="1"/>
    <s v="Married"/>
    <x v="0"/>
    <n v="1"/>
  </r>
  <r>
    <x v="528"/>
    <n v="41"/>
    <x v="0"/>
    <n v="933992"/>
    <x v="1"/>
    <n v="896"/>
    <n v="1009834"/>
    <n v="12.71"/>
    <x v="2"/>
    <n v="274292"/>
    <x v="3"/>
    <x v="0"/>
    <s v="Single"/>
    <x v="2"/>
    <n v="0"/>
  </r>
  <r>
    <x v="529"/>
    <n v="41"/>
    <x v="1"/>
    <n v="934021"/>
    <x v="1"/>
    <n v="739"/>
    <n v="1013606"/>
    <n v="10.06"/>
    <x v="4"/>
    <n v="274661"/>
    <x v="2"/>
    <x v="1"/>
    <s v="Married"/>
    <x v="0"/>
    <n v="0"/>
  </r>
  <r>
    <x v="530"/>
    <n v="41"/>
    <x v="0"/>
    <n v="934388"/>
    <x v="1"/>
    <n v="422"/>
    <n v="1014537"/>
    <n v="14.37"/>
    <x v="0"/>
    <n v="274973"/>
    <x v="4"/>
    <x v="0"/>
    <s v="Married"/>
    <x v="2"/>
    <n v="1"/>
  </r>
  <r>
    <x v="531"/>
    <n v="41"/>
    <x v="1"/>
    <n v="936997"/>
    <x v="0"/>
    <n v="457"/>
    <n v="1014656"/>
    <n v="9.89"/>
    <x v="3"/>
    <n v="275050"/>
    <x v="2"/>
    <x v="0"/>
    <s v="Married"/>
    <x v="2"/>
    <n v="0"/>
  </r>
  <r>
    <x v="532"/>
    <n v="41"/>
    <x v="0"/>
    <n v="937177"/>
    <x v="1"/>
    <n v="678"/>
    <n v="1016507"/>
    <n v="8.16"/>
    <x v="3"/>
    <n v="275065"/>
    <x v="4"/>
    <x v="1"/>
    <s v="Married"/>
    <x v="2"/>
    <n v="0"/>
  </r>
  <r>
    <x v="533"/>
    <n v="41"/>
    <x v="2"/>
    <n v="938177"/>
    <x v="0"/>
    <n v="458"/>
    <n v="1017340"/>
    <n v="12.77"/>
    <x v="0"/>
    <n v="275873"/>
    <x v="1"/>
    <x v="1"/>
    <s v="Single"/>
    <x v="1"/>
    <n v="1"/>
  </r>
  <r>
    <x v="534"/>
    <n v="41"/>
    <x v="0"/>
    <n v="939062"/>
    <x v="0"/>
    <n v="476"/>
    <n v="1019673"/>
    <n v="7.88"/>
    <x v="0"/>
    <n v="275879"/>
    <x v="4"/>
    <x v="1"/>
    <s v="Single"/>
    <x v="0"/>
    <n v="1"/>
  </r>
  <r>
    <x v="535"/>
    <n v="41"/>
    <x v="1"/>
    <n v="940237"/>
    <x v="0"/>
    <n v="467"/>
    <n v="1024306"/>
    <n v="8.2100000000000009"/>
    <x v="4"/>
    <n v="276466"/>
    <x v="0"/>
    <x v="0"/>
    <s v="Single"/>
    <x v="0"/>
    <n v="1"/>
  </r>
  <r>
    <x v="536"/>
    <n v="41"/>
    <x v="0"/>
    <n v="940846"/>
    <x v="1"/>
    <n v="858"/>
    <n v="1024890"/>
    <n v="7.56"/>
    <x v="0"/>
    <n v="276505"/>
    <x v="1"/>
    <x v="1"/>
    <s v="Married"/>
    <x v="1"/>
    <n v="0"/>
  </r>
  <r>
    <x v="537"/>
    <n v="42"/>
    <x v="0"/>
    <n v="942753"/>
    <x v="0"/>
    <n v="594"/>
    <n v="1026123"/>
    <n v="13.74"/>
    <x v="2"/>
    <n v="276650"/>
    <x v="1"/>
    <x v="0"/>
    <s v="Single"/>
    <x v="0"/>
    <n v="0"/>
  </r>
  <r>
    <x v="538"/>
    <n v="42"/>
    <x v="0"/>
    <n v="944481"/>
    <x v="0"/>
    <n v="792"/>
    <n v="1027390"/>
    <n v="12.27"/>
    <x v="3"/>
    <n v="276707"/>
    <x v="3"/>
    <x v="0"/>
    <s v="Single"/>
    <x v="1"/>
    <n v="0"/>
  </r>
  <r>
    <x v="539"/>
    <n v="42"/>
    <x v="0"/>
    <n v="946165"/>
    <x v="1"/>
    <n v="577"/>
    <n v="1029182"/>
    <n v="12.1"/>
    <x v="1"/>
    <n v="276746"/>
    <x v="2"/>
    <x v="1"/>
    <s v="Single"/>
    <x v="2"/>
    <n v="1"/>
  </r>
  <r>
    <x v="540"/>
    <n v="42"/>
    <x v="0"/>
    <n v="946999"/>
    <x v="1"/>
    <n v="430"/>
    <n v="1039427"/>
    <n v="13.33"/>
    <x v="0"/>
    <n v="277051"/>
    <x v="4"/>
    <x v="0"/>
    <s v="Married"/>
    <x v="2"/>
    <n v="1"/>
  </r>
  <r>
    <x v="541"/>
    <n v="42"/>
    <x v="1"/>
    <n v="947177"/>
    <x v="1"/>
    <n v="525"/>
    <n v="1041236"/>
    <n v="8.69"/>
    <x v="1"/>
    <n v="277358"/>
    <x v="1"/>
    <x v="1"/>
    <s v="Married"/>
    <x v="0"/>
    <n v="1"/>
  </r>
  <r>
    <x v="542"/>
    <n v="42"/>
    <x v="1"/>
    <n v="948278"/>
    <x v="0"/>
    <n v="642"/>
    <n v="1042539"/>
    <n v="13.4"/>
    <x v="2"/>
    <n v="277469"/>
    <x v="4"/>
    <x v="0"/>
    <s v="Single"/>
    <x v="1"/>
    <n v="0"/>
  </r>
  <r>
    <x v="543"/>
    <n v="42"/>
    <x v="0"/>
    <n v="948910"/>
    <x v="0"/>
    <n v="381"/>
    <n v="1044568"/>
    <n v="15.19"/>
    <x v="0"/>
    <n v="278316"/>
    <x v="1"/>
    <x v="0"/>
    <s v="Single"/>
    <x v="1"/>
    <n v="1"/>
  </r>
  <r>
    <x v="544"/>
    <n v="42"/>
    <x v="0"/>
    <n v="949461"/>
    <x v="1"/>
    <m/>
    <n v="1045217"/>
    <n v="11.84"/>
    <x v="1"/>
    <n v="278334"/>
    <x v="2"/>
    <x v="0"/>
    <s v="Married"/>
    <x v="0"/>
    <n v="0"/>
  </r>
  <r>
    <x v="545"/>
    <n v="42"/>
    <x v="0"/>
    <n v="951093"/>
    <x v="1"/>
    <n v="694"/>
    <n v="1046634"/>
    <n v="9.68"/>
    <x v="1"/>
    <n v="278527"/>
    <x v="3"/>
    <x v="0"/>
    <s v="Married"/>
    <x v="0"/>
    <n v="1"/>
  </r>
  <r>
    <x v="546"/>
    <n v="42"/>
    <x v="0"/>
    <n v="954087"/>
    <x v="1"/>
    <n v="580"/>
    <n v="1046885"/>
    <n v="8.77"/>
    <x v="2"/>
    <n v="278664"/>
    <x v="0"/>
    <x v="0"/>
    <s v="Married"/>
    <x v="0"/>
    <n v="1"/>
  </r>
  <r>
    <x v="547"/>
    <n v="42"/>
    <x v="1"/>
    <n v="955594"/>
    <x v="0"/>
    <n v="835"/>
    <n v="1047116"/>
    <n v="12.15"/>
    <x v="1"/>
    <n v="278685"/>
    <x v="4"/>
    <x v="0"/>
    <s v="Married"/>
    <x v="1"/>
    <n v="0"/>
  </r>
  <r>
    <x v="548"/>
    <n v="42"/>
    <x v="1"/>
    <n v="957333"/>
    <x v="1"/>
    <n v="502"/>
    <n v="1048748"/>
    <n v="13.13"/>
    <x v="1"/>
    <n v="279244"/>
    <x v="1"/>
    <x v="0"/>
    <s v="Single"/>
    <x v="2"/>
    <n v="0"/>
  </r>
  <r>
    <x v="549"/>
    <n v="42"/>
    <x v="1"/>
    <n v="957912"/>
    <x v="1"/>
    <n v="832"/>
    <n v="1049062"/>
    <n v="9.5"/>
    <x v="2"/>
    <n v="279804"/>
    <x v="1"/>
    <x v="0"/>
    <s v="Single"/>
    <x v="2"/>
    <n v="0"/>
  </r>
  <r>
    <x v="550"/>
    <n v="42"/>
    <x v="1"/>
    <n v="959179"/>
    <x v="0"/>
    <n v="344"/>
    <n v="1050528"/>
    <n v="15.66"/>
    <x v="0"/>
    <n v="279954"/>
    <x v="0"/>
    <x v="0"/>
    <s v="Married"/>
    <x v="2"/>
    <n v="0"/>
  </r>
  <r>
    <x v="551"/>
    <n v="42"/>
    <x v="1"/>
    <n v="961276"/>
    <x v="1"/>
    <n v="531"/>
    <n v="1051410"/>
    <n v="12.77"/>
    <x v="0"/>
    <n v="280316"/>
    <x v="4"/>
    <x v="1"/>
    <s v="Single"/>
    <x v="2"/>
    <n v="1"/>
  </r>
  <r>
    <x v="552"/>
    <n v="42"/>
    <x v="0"/>
    <n v="961750"/>
    <x v="0"/>
    <n v="696"/>
    <n v="1054373"/>
    <n v="11.65"/>
    <x v="0"/>
    <n v="283339"/>
    <x v="1"/>
    <x v="1"/>
    <s v="Single"/>
    <x v="2"/>
    <n v="1"/>
  </r>
  <r>
    <x v="553"/>
    <n v="43"/>
    <x v="0"/>
    <n v="962570"/>
    <x v="0"/>
    <n v="735"/>
    <n v="1061467"/>
    <n v="9.15"/>
    <x v="4"/>
    <n v="284110"/>
    <x v="4"/>
    <x v="1"/>
    <s v="Married"/>
    <x v="0"/>
    <n v="0"/>
  </r>
  <r>
    <x v="554"/>
    <n v="43"/>
    <x v="0"/>
    <n v="962654"/>
    <x v="1"/>
    <n v="566"/>
    <n v="1062574"/>
    <n v="7.5"/>
    <x v="2"/>
    <n v="284669"/>
    <x v="0"/>
    <x v="1"/>
    <s v="Married"/>
    <x v="0"/>
    <n v="1"/>
  </r>
  <r>
    <x v="555"/>
    <n v="43"/>
    <x v="0"/>
    <n v="964391"/>
    <x v="0"/>
    <n v="754"/>
    <n v="1062697"/>
    <n v="13.29"/>
    <x v="2"/>
    <n v="285271"/>
    <x v="1"/>
    <x v="0"/>
    <s v="Single"/>
    <x v="2"/>
    <n v="0"/>
  </r>
  <r>
    <x v="556"/>
    <n v="43"/>
    <x v="2"/>
    <n v="965946"/>
    <x v="0"/>
    <n v="617"/>
    <n v="1062820"/>
    <n v="11.78"/>
    <x v="0"/>
    <n v="286708"/>
    <x v="2"/>
    <x v="1"/>
    <s v="Married"/>
    <x v="1"/>
    <n v="0"/>
  </r>
  <r>
    <x v="557"/>
    <n v="43"/>
    <x v="0"/>
    <n v="966014"/>
    <x v="0"/>
    <n v="542"/>
    <n v="1067421"/>
    <n v="8.48"/>
    <x v="1"/>
    <n v="287341"/>
    <x v="2"/>
    <x v="1"/>
    <s v="Single"/>
    <x v="0"/>
    <n v="0"/>
  </r>
  <r>
    <x v="558"/>
    <n v="43"/>
    <x v="1"/>
    <n v="966470"/>
    <x v="0"/>
    <n v="634"/>
    <n v="1068505"/>
    <n v="7.74"/>
    <x v="1"/>
    <n v="288220"/>
    <x v="2"/>
    <x v="0"/>
    <s v="Single"/>
    <x v="0"/>
    <n v="0"/>
  </r>
  <r>
    <x v="559"/>
    <n v="43"/>
    <x v="1"/>
    <n v="967833"/>
    <x v="0"/>
    <n v="586"/>
    <n v="1069531"/>
    <n v="9.8000000000000007"/>
    <x v="1"/>
    <n v="288288"/>
    <x v="2"/>
    <x v="0"/>
    <s v="Married"/>
    <x v="1"/>
    <n v="0"/>
  </r>
  <r>
    <x v="560"/>
    <n v="43"/>
    <x v="1"/>
    <n v="968181"/>
    <x v="1"/>
    <n v="627"/>
    <n v="1073687"/>
    <n v="9.8000000000000007"/>
    <x v="2"/>
    <n v="289120"/>
    <x v="0"/>
    <x v="0"/>
    <s v="Single"/>
    <x v="1"/>
    <n v="0"/>
  </r>
  <r>
    <x v="561"/>
    <n v="43"/>
    <x v="0"/>
    <n v="968946"/>
    <x v="1"/>
    <m/>
    <n v="1073977"/>
    <n v="11.69"/>
    <x v="0"/>
    <n v="289635"/>
    <x v="2"/>
    <x v="0"/>
    <s v="Single"/>
    <x v="1"/>
    <n v="0"/>
  </r>
  <r>
    <x v="562"/>
    <n v="43"/>
    <x v="1"/>
    <n v="971051"/>
    <x v="0"/>
    <n v="729"/>
    <n v="1074524"/>
    <n v="8.0500000000000007"/>
    <x v="1"/>
    <n v="290029"/>
    <x v="4"/>
    <x v="0"/>
    <s v="Married"/>
    <x v="2"/>
    <n v="0"/>
  </r>
  <r>
    <x v="563"/>
    <n v="43"/>
    <x v="1"/>
    <n v="971836"/>
    <x v="0"/>
    <n v="689"/>
    <n v="1081023"/>
    <n v="10.18"/>
    <x v="0"/>
    <n v="290250"/>
    <x v="0"/>
    <x v="0"/>
    <s v="Single"/>
    <x v="0"/>
    <n v="0"/>
  </r>
  <r>
    <x v="564"/>
    <n v="43"/>
    <x v="1"/>
    <n v="972223"/>
    <x v="1"/>
    <n v="830"/>
    <n v="1083813"/>
    <n v="12.02"/>
    <x v="2"/>
    <n v="290928"/>
    <x v="0"/>
    <x v="1"/>
    <s v="Married"/>
    <x v="2"/>
    <n v="0"/>
  </r>
  <r>
    <x v="565"/>
    <n v="43"/>
    <x v="0"/>
    <n v="973712"/>
    <x v="0"/>
    <n v="526"/>
    <n v="1085671"/>
    <n v="15.58"/>
    <x v="2"/>
    <n v="293115"/>
    <x v="3"/>
    <x v="0"/>
    <s v="Married"/>
    <x v="2"/>
    <n v="0"/>
  </r>
  <r>
    <x v="566"/>
    <n v="43"/>
    <x v="1"/>
    <n v="975016"/>
    <x v="1"/>
    <n v="511"/>
    <n v="1088224"/>
    <n v="7.99"/>
    <x v="0"/>
    <n v="294572"/>
    <x v="3"/>
    <x v="0"/>
    <s v="Single"/>
    <x v="0"/>
    <n v="1"/>
  </r>
  <r>
    <x v="567"/>
    <n v="43"/>
    <x v="1"/>
    <n v="976349"/>
    <x v="1"/>
    <n v="689"/>
    <n v="1088454"/>
    <n v="13.03"/>
    <x v="3"/>
    <n v="295164"/>
    <x v="0"/>
    <x v="1"/>
    <s v="Married"/>
    <x v="2"/>
    <n v="0"/>
  </r>
  <r>
    <x v="568"/>
    <n v="43"/>
    <x v="1"/>
    <n v="977598"/>
    <x v="1"/>
    <n v="617"/>
    <n v="1090698"/>
    <n v="11.34"/>
    <x v="3"/>
    <n v="295409"/>
    <x v="0"/>
    <x v="0"/>
    <s v="Single"/>
    <x v="1"/>
    <n v="0"/>
  </r>
  <r>
    <x v="569"/>
    <n v="43"/>
    <x v="0"/>
    <n v="978261"/>
    <x v="1"/>
    <n v="700"/>
    <n v="1091837"/>
    <n v="16.309999999999999"/>
    <x v="3"/>
    <n v="296128"/>
    <x v="2"/>
    <x v="0"/>
    <s v="Single"/>
    <x v="1"/>
    <n v="0"/>
  </r>
  <r>
    <x v="570"/>
    <n v="43"/>
    <x v="0"/>
    <n v="979162"/>
    <x v="0"/>
    <n v="395"/>
    <n v="1093908"/>
    <n v="16.03"/>
    <x v="2"/>
    <n v="296953"/>
    <x v="3"/>
    <x v="0"/>
    <s v="Single"/>
    <x v="1"/>
    <n v="0"/>
  </r>
  <r>
    <x v="571"/>
    <n v="43"/>
    <x v="0"/>
    <n v="979185"/>
    <x v="1"/>
    <n v="734"/>
    <n v="1094951"/>
    <n v="12.63"/>
    <x v="1"/>
    <n v="297118"/>
    <x v="1"/>
    <x v="1"/>
    <s v="Single"/>
    <x v="1"/>
    <n v="0"/>
  </r>
  <r>
    <x v="572"/>
    <n v="43"/>
    <x v="0"/>
    <n v="980221"/>
    <x v="1"/>
    <n v="708"/>
    <n v="1097273"/>
    <n v="14.04"/>
    <x v="3"/>
    <n v="297118"/>
    <x v="1"/>
    <x v="0"/>
    <s v="Single"/>
    <x v="2"/>
    <n v="1"/>
  </r>
  <r>
    <x v="573"/>
    <n v="43"/>
    <x v="1"/>
    <n v="980323"/>
    <x v="0"/>
    <n v="693"/>
    <n v="1097908"/>
    <n v="12.42"/>
    <x v="0"/>
    <n v="298057"/>
    <x v="4"/>
    <x v="1"/>
    <s v="Single"/>
    <x v="0"/>
    <n v="0"/>
  </r>
  <r>
    <x v="574"/>
    <n v="43"/>
    <x v="1"/>
    <n v="982296"/>
    <x v="0"/>
    <n v="348"/>
    <n v="1099267"/>
    <n v="11.53"/>
    <x v="4"/>
    <n v="298207"/>
    <x v="0"/>
    <x v="1"/>
    <s v="Married"/>
    <x v="0"/>
    <n v="0"/>
  </r>
  <r>
    <x v="575"/>
    <n v="43"/>
    <x v="0"/>
    <n v="985373"/>
    <x v="0"/>
    <n v="572"/>
    <n v="1102962"/>
    <n v="14.66"/>
    <x v="3"/>
    <n v="298426"/>
    <x v="1"/>
    <x v="0"/>
    <s v="Married"/>
    <x v="2"/>
    <n v="1"/>
  </r>
  <r>
    <x v="576"/>
    <n v="43"/>
    <x v="0"/>
    <n v="989192"/>
    <x v="1"/>
    <n v="377"/>
    <n v="1103406"/>
    <n v="8.0399999999999991"/>
    <x v="3"/>
    <n v="298766"/>
    <x v="2"/>
    <x v="1"/>
    <s v="Single"/>
    <x v="1"/>
    <n v="0"/>
  </r>
  <r>
    <x v="577"/>
    <n v="43"/>
    <x v="1"/>
    <n v="991159"/>
    <x v="1"/>
    <n v="374"/>
    <n v="1105448"/>
    <n v="10.35"/>
    <x v="0"/>
    <n v="299059"/>
    <x v="4"/>
    <x v="1"/>
    <s v="Married"/>
    <x v="2"/>
    <n v="0"/>
  </r>
  <r>
    <x v="578"/>
    <n v="43"/>
    <x v="1"/>
    <n v="992195"/>
    <x v="1"/>
    <n v="690"/>
    <n v="1105469"/>
    <n v="11.96"/>
    <x v="4"/>
    <n v="299386"/>
    <x v="4"/>
    <x v="0"/>
    <s v="Married"/>
    <x v="0"/>
    <n v="0"/>
  </r>
  <r>
    <x v="579"/>
    <n v="43"/>
    <x v="0"/>
    <n v="992434"/>
    <x v="0"/>
    <n v="404"/>
    <n v="1105668"/>
    <n v="15"/>
    <x v="0"/>
    <n v="299538"/>
    <x v="1"/>
    <x v="1"/>
    <s v="Married"/>
    <x v="2"/>
    <n v="1"/>
  </r>
  <r>
    <x v="580"/>
    <n v="43"/>
    <x v="0"/>
    <n v="992585"/>
    <x v="1"/>
    <n v="798"/>
    <n v="1110835"/>
    <n v="12.03"/>
    <x v="0"/>
    <n v="299724"/>
    <x v="0"/>
    <x v="0"/>
    <s v="Single"/>
    <x v="2"/>
    <n v="0"/>
  </r>
  <r>
    <x v="581"/>
    <n v="43"/>
    <x v="1"/>
    <n v="992585"/>
    <x v="0"/>
    <n v="470"/>
    <n v="1111150"/>
    <n v="12.71"/>
    <x v="3"/>
    <n v="299912"/>
    <x v="0"/>
    <x v="0"/>
    <s v="Single"/>
    <x v="0"/>
    <n v="0"/>
  </r>
  <r>
    <x v="582"/>
    <n v="43"/>
    <x v="1"/>
    <n v="992937"/>
    <x v="0"/>
    <n v="585"/>
    <n v="1114032"/>
    <n v="9.0399999999999991"/>
    <x v="4"/>
    <n v="300504"/>
    <x v="2"/>
    <x v="0"/>
    <s v="Married"/>
    <x v="0"/>
    <n v="0"/>
  </r>
  <r>
    <x v="583"/>
    <n v="44"/>
    <x v="0"/>
    <n v="993653"/>
    <x v="0"/>
    <n v="888"/>
    <n v="1115243"/>
    <n v="10.63"/>
    <x v="4"/>
    <n v="300513"/>
    <x v="2"/>
    <x v="0"/>
    <s v="Single"/>
    <x v="0"/>
    <n v="0"/>
  </r>
  <r>
    <x v="584"/>
    <n v="44"/>
    <x v="0"/>
    <n v="994073"/>
    <x v="1"/>
    <n v="842"/>
    <n v="1121255"/>
    <n v="12.45"/>
    <x v="2"/>
    <n v="302462"/>
    <x v="0"/>
    <x v="0"/>
    <s v="Single"/>
    <x v="2"/>
    <n v="0"/>
  </r>
  <r>
    <x v="585"/>
    <n v="44"/>
    <x v="1"/>
    <n v="996687"/>
    <x v="1"/>
    <n v="648"/>
    <n v="1122422"/>
    <n v="13.08"/>
    <x v="0"/>
    <n v="302736"/>
    <x v="2"/>
    <x v="0"/>
    <s v="Married"/>
    <x v="0"/>
    <n v="0"/>
  </r>
  <r>
    <x v="586"/>
    <n v="44"/>
    <x v="0"/>
    <n v="999399"/>
    <x v="0"/>
    <n v="680"/>
    <n v="1122472"/>
    <n v="13.19"/>
    <x v="3"/>
    <n v="302736"/>
    <x v="2"/>
    <x v="0"/>
    <s v="Married"/>
    <x v="1"/>
    <n v="0"/>
  </r>
  <r>
    <x v="587"/>
    <n v="44"/>
    <x v="1"/>
    <n v="1000298"/>
    <x v="1"/>
    <n v="843"/>
    <n v="1123736"/>
    <n v="14.24"/>
    <x v="1"/>
    <n v="303140"/>
    <x v="4"/>
    <x v="1"/>
    <s v="Single"/>
    <x v="0"/>
    <n v="0"/>
  </r>
  <r>
    <x v="588"/>
    <n v="44"/>
    <x v="1"/>
    <n v="1000665"/>
    <x v="1"/>
    <n v="615"/>
    <n v="1126093"/>
    <n v="11.24"/>
    <x v="4"/>
    <n v="303285"/>
    <x v="4"/>
    <x v="0"/>
    <s v="Single"/>
    <x v="1"/>
    <n v="0"/>
  </r>
  <r>
    <x v="589"/>
    <n v="44"/>
    <x v="0"/>
    <n v="1000865"/>
    <x v="0"/>
    <n v="446"/>
    <n v="1127834"/>
    <n v="10.49"/>
    <x v="1"/>
    <n v="303555"/>
    <x v="1"/>
    <x v="0"/>
    <s v="Married"/>
    <x v="0"/>
    <n v="1"/>
  </r>
  <r>
    <x v="590"/>
    <n v="44"/>
    <x v="2"/>
    <n v="1001870"/>
    <x v="1"/>
    <n v="459"/>
    <n v="1128175"/>
    <n v="8.25"/>
    <x v="4"/>
    <n v="305642"/>
    <x v="2"/>
    <x v="0"/>
    <s v="Married"/>
    <x v="0"/>
    <n v="1"/>
  </r>
  <r>
    <x v="591"/>
    <n v="44"/>
    <x v="0"/>
    <n v="1001993"/>
    <x v="0"/>
    <n v="804"/>
    <n v="1130842"/>
    <n v="10.69"/>
    <x v="4"/>
    <n v="306552"/>
    <x v="2"/>
    <x v="0"/>
    <s v="Married"/>
    <x v="2"/>
    <n v="0"/>
  </r>
  <r>
    <x v="592"/>
    <n v="44"/>
    <x v="0"/>
    <n v="1002259"/>
    <x v="1"/>
    <n v="691"/>
    <n v="1131594"/>
    <n v="12.94"/>
    <x v="3"/>
    <n v="306590"/>
    <x v="4"/>
    <x v="0"/>
    <s v="Single"/>
    <x v="2"/>
    <n v="0"/>
  </r>
  <r>
    <x v="593"/>
    <n v="44"/>
    <x v="1"/>
    <n v="1004058"/>
    <x v="0"/>
    <n v="514"/>
    <n v="1132865"/>
    <n v="13.2"/>
    <x v="4"/>
    <n v="306613"/>
    <x v="1"/>
    <x v="1"/>
    <s v="Married"/>
    <x v="2"/>
    <n v="0"/>
  </r>
  <r>
    <x v="594"/>
    <n v="44"/>
    <x v="0"/>
    <n v="1008175"/>
    <x v="1"/>
    <n v="492"/>
    <n v="1137396"/>
    <n v="16.27"/>
    <x v="0"/>
    <n v="307869"/>
    <x v="0"/>
    <x v="1"/>
    <s v="Married"/>
    <x v="1"/>
    <n v="0"/>
  </r>
  <r>
    <x v="595"/>
    <n v="44"/>
    <x v="1"/>
    <n v="1009096"/>
    <x v="1"/>
    <n v="798"/>
    <n v="1137417"/>
    <n v="7.83"/>
    <x v="4"/>
    <n v="308203"/>
    <x v="2"/>
    <x v="1"/>
    <s v="Married"/>
    <x v="1"/>
    <n v="0"/>
  </r>
  <r>
    <x v="596"/>
    <n v="44"/>
    <x v="0"/>
    <n v="1009604"/>
    <x v="0"/>
    <n v="520"/>
    <n v="1143821"/>
    <n v="16.149999999999999"/>
    <x v="0"/>
    <n v="308211"/>
    <x v="1"/>
    <x v="0"/>
    <s v="Single"/>
    <x v="1"/>
    <n v="0"/>
  </r>
  <r>
    <x v="597"/>
    <n v="44"/>
    <x v="1"/>
    <n v="1011791"/>
    <x v="1"/>
    <n v="530"/>
    <n v="1148561"/>
    <n v="8.52"/>
    <x v="3"/>
    <n v="308292"/>
    <x v="4"/>
    <x v="1"/>
    <s v="Single"/>
    <x v="0"/>
    <n v="1"/>
  </r>
  <r>
    <x v="598"/>
    <n v="44"/>
    <x v="0"/>
    <n v="1014718"/>
    <x v="0"/>
    <m/>
    <n v="1151314"/>
    <n v="12.76"/>
    <x v="0"/>
    <n v="308643"/>
    <x v="2"/>
    <x v="0"/>
    <s v="Married"/>
    <x v="0"/>
    <n v="1"/>
  </r>
  <r>
    <x v="599"/>
    <n v="45"/>
    <x v="1"/>
    <n v="1017707"/>
    <x v="0"/>
    <n v="551"/>
    <n v="1154777"/>
    <n v="12.19"/>
    <x v="3"/>
    <n v="308787"/>
    <x v="0"/>
    <x v="1"/>
    <s v="Single"/>
    <x v="0"/>
    <n v="0"/>
  </r>
  <r>
    <x v="600"/>
    <n v="45"/>
    <x v="0"/>
    <n v="1024113"/>
    <x v="0"/>
    <n v="405"/>
    <n v="1155827"/>
    <n v="8.1199999999999992"/>
    <x v="0"/>
    <n v="308850"/>
    <x v="1"/>
    <x v="0"/>
    <s v="Married"/>
    <x v="1"/>
    <n v="0"/>
  </r>
  <r>
    <x v="601"/>
    <n v="45"/>
    <x v="1"/>
    <n v="1024402"/>
    <x v="1"/>
    <m/>
    <n v="1157240"/>
    <n v="8.75"/>
    <x v="1"/>
    <n v="310579"/>
    <x v="4"/>
    <x v="1"/>
    <s v="Married"/>
    <x v="0"/>
    <n v="0"/>
  </r>
  <r>
    <x v="602"/>
    <n v="45"/>
    <x v="0"/>
    <n v="1025912"/>
    <x v="1"/>
    <n v="887"/>
    <n v="1157298"/>
    <n v="11.96"/>
    <x v="4"/>
    <n v="310733"/>
    <x v="4"/>
    <x v="0"/>
    <s v="Married"/>
    <x v="1"/>
    <n v="0"/>
  </r>
  <r>
    <x v="603"/>
    <n v="45"/>
    <x v="0"/>
    <n v="1026732"/>
    <x v="1"/>
    <n v="362"/>
    <n v="1159280"/>
    <n v="14.26"/>
    <x v="0"/>
    <n v="311620"/>
    <x v="3"/>
    <x v="1"/>
    <s v="Single"/>
    <x v="1"/>
    <n v="1"/>
  </r>
  <r>
    <x v="604"/>
    <n v="45"/>
    <x v="0"/>
    <n v="1030015"/>
    <x v="1"/>
    <n v="713"/>
    <n v="1159713"/>
    <n v="13.24"/>
    <x v="2"/>
    <n v="311801"/>
    <x v="1"/>
    <x v="1"/>
    <s v="Married"/>
    <x v="1"/>
    <n v="0"/>
  </r>
  <r>
    <x v="605"/>
    <n v="45"/>
    <x v="1"/>
    <n v="1031862"/>
    <x v="0"/>
    <n v="748"/>
    <n v="1159952"/>
    <n v="8.51"/>
    <x v="4"/>
    <n v="311986"/>
    <x v="2"/>
    <x v="0"/>
    <s v="Single"/>
    <x v="1"/>
    <n v="0"/>
  </r>
  <r>
    <x v="606"/>
    <n v="45"/>
    <x v="0"/>
    <n v="1032336"/>
    <x v="1"/>
    <n v="371"/>
    <n v="1161426"/>
    <n v="11.61"/>
    <x v="1"/>
    <n v="312062"/>
    <x v="0"/>
    <x v="0"/>
    <s v="Married"/>
    <x v="2"/>
    <n v="0"/>
  </r>
  <r>
    <x v="607"/>
    <n v="45"/>
    <x v="1"/>
    <n v="1032352"/>
    <x v="1"/>
    <n v="675"/>
    <n v="1163886"/>
    <n v="7.88"/>
    <x v="3"/>
    <n v="312423"/>
    <x v="3"/>
    <x v="1"/>
    <s v="Married"/>
    <x v="2"/>
    <n v="0"/>
  </r>
  <r>
    <x v="608"/>
    <n v="45"/>
    <x v="1"/>
    <n v="1032694"/>
    <x v="0"/>
    <n v="655"/>
    <n v="1167748"/>
    <n v="9.18"/>
    <x v="4"/>
    <n v="313549"/>
    <x v="4"/>
    <x v="0"/>
    <s v="Single"/>
    <x v="2"/>
    <n v="0"/>
  </r>
  <r>
    <x v="609"/>
    <n v="45"/>
    <x v="0"/>
    <n v="1033248"/>
    <x v="0"/>
    <n v="734"/>
    <n v="1167831"/>
    <n v="15.49"/>
    <x v="1"/>
    <n v="313819"/>
    <x v="2"/>
    <x v="0"/>
    <s v="Married"/>
    <x v="2"/>
    <n v="0"/>
  </r>
  <r>
    <x v="610"/>
    <n v="45"/>
    <x v="1"/>
    <n v="1034174"/>
    <x v="0"/>
    <n v="725"/>
    <n v="1169048"/>
    <n v="13.8"/>
    <x v="1"/>
    <n v="313865"/>
    <x v="3"/>
    <x v="0"/>
    <s v="Married"/>
    <x v="1"/>
    <n v="0"/>
  </r>
  <r>
    <x v="611"/>
    <n v="45"/>
    <x v="1"/>
    <n v="1034557"/>
    <x v="0"/>
    <n v="311"/>
    <n v="1169901"/>
    <n v="9.57"/>
    <x v="1"/>
    <n v="314925"/>
    <x v="3"/>
    <x v="1"/>
    <s v="Single"/>
    <x v="0"/>
    <n v="0"/>
  </r>
  <r>
    <x v="612"/>
    <n v="45"/>
    <x v="0"/>
    <n v="1035390"/>
    <x v="1"/>
    <n v="417"/>
    <n v="1171685"/>
    <n v="14.68"/>
    <x v="4"/>
    <n v="314994"/>
    <x v="3"/>
    <x v="1"/>
    <s v="Married"/>
    <x v="1"/>
    <n v="1"/>
  </r>
  <r>
    <x v="613"/>
    <n v="45"/>
    <x v="1"/>
    <n v="1037753"/>
    <x v="0"/>
    <n v="362"/>
    <n v="1172752"/>
    <n v="12.19"/>
    <x v="2"/>
    <n v="315351"/>
    <x v="4"/>
    <x v="0"/>
    <s v="Married"/>
    <x v="0"/>
    <n v="0"/>
  </r>
  <r>
    <x v="614"/>
    <n v="45"/>
    <x v="0"/>
    <n v="1039964"/>
    <x v="0"/>
    <n v="676"/>
    <n v="1173831"/>
    <n v="15.25"/>
    <x v="1"/>
    <n v="315945"/>
    <x v="4"/>
    <x v="1"/>
    <s v="Single"/>
    <x v="1"/>
    <n v="0"/>
  </r>
  <r>
    <x v="615"/>
    <n v="45"/>
    <x v="0"/>
    <n v="1040093"/>
    <x v="1"/>
    <n v="531"/>
    <n v="1174930"/>
    <n v="15.62"/>
    <x v="1"/>
    <n v="316391"/>
    <x v="1"/>
    <x v="0"/>
    <s v="Single"/>
    <x v="0"/>
    <n v="1"/>
  </r>
  <r>
    <x v="616"/>
    <n v="45"/>
    <x v="0"/>
    <n v="1040526"/>
    <x v="1"/>
    <m/>
    <n v="1175959"/>
    <n v="15.24"/>
    <x v="1"/>
    <n v="316742"/>
    <x v="0"/>
    <x v="0"/>
    <s v="Married"/>
    <x v="0"/>
    <n v="0"/>
  </r>
  <r>
    <x v="617"/>
    <n v="45"/>
    <x v="1"/>
    <n v="1042912"/>
    <x v="0"/>
    <n v="713"/>
    <n v="1181878"/>
    <n v="12.2"/>
    <x v="0"/>
    <n v="317389"/>
    <x v="1"/>
    <x v="0"/>
    <s v="Single"/>
    <x v="0"/>
    <n v="0"/>
  </r>
  <r>
    <x v="618"/>
    <n v="45"/>
    <x v="1"/>
    <n v="1046330"/>
    <x v="0"/>
    <n v="410"/>
    <n v="1183865"/>
    <n v="10.53"/>
    <x v="1"/>
    <n v="317765"/>
    <x v="3"/>
    <x v="0"/>
    <s v="Single"/>
    <x v="0"/>
    <n v="0"/>
  </r>
  <r>
    <x v="619"/>
    <n v="45"/>
    <x v="1"/>
    <n v="1046636"/>
    <x v="0"/>
    <n v="866"/>
    <n v="1184087"/>
    <n v="12.63"/>
    <x v="0"/>
    <n v="317888"/>
    <x v="0"/>
    <x v="1"/>
    <s v="Married"/>
    <x v="1"/>
    <n v="0"/>
  </r>
  <r>
    <x v="620"/>
    <n v="45"/>
    <x v="1"/>
    <n v="1047117"/>
    <x v="1"/>
    <n v="870"/>
    <n v="1186707"/>
    <n v="11.43"/>
    <x v="1"/>
    <n v="318028"/>
    <x v="4"/>
    <x v="1"/>
    <s v="Married"/>
    <x v="2"/>
    <n v="0"/>
  </r>
  <r>
    <x v="621"/>
    <n v="45"/>
    <x v="0"/>
    <n v="1048427"/>
    <x v="0"/>
    <n v="591"/>
    <n v="1186771"/>
    <n v="15.77"/>
    <x v="4"/>
    <n v="319630"/>
    <x v="4"/>
    <x v="0"/>
    <s v="Single"/>
    <x v="0"/>
    <n v="0"/>
  </r>
  <r>
    <x v="622"/>
    <n v="45"/>
    <x v="1"/>
    <n v="1049399"/>
    <x v="1"/>
    <n v="352"/>
    <n v="1193752"/>
    <n v="14.72"/>
    <x v="0"/>
    <n v="320063"/>
    <x v="4"/>
    <x v="0"/>
    <s v="Single"/>
    <x v="2"/>
    <n v="1"/>
  </r>
  <r>
    <x v="623"/>
    <n v="45"/>
    <x v="1"/>
    <n v="1049715"/>
    <x v="1"/>
    <n v="722"/>
    <n v="1194826"/>
    <n v="8.01"/>
    <x v="2"/>
    <n v="320663"/>
    <x v="0"/>
    <x v="0"/>
    <s v="Single"/>
    <x v="0"/>
    <n v="0"/>
  </r>
  <r>
    <x v="624"/>
    <n v="45"/>
    <x v="0"/>
    <n v="1050562"/>
    <x v="0"/>
    <n v="354"/>
    <n v="1195603"/>
    <n v="9.82"/>
    <x v="3"/>
    <n v="321293"/>
    <x v="1"/>
    <x v="0"/>
    <s v="Single"/>
    <x v="2"/>
    <n v="1"/>
  </r>
  <r>
    <x v="625"/>
    <n v="45"/>
    <x v="1"/>
    <n v="1057803"/>
    <x v="1"/>
    <n v="561"/>
    <n v="1201959"/>
    <n v="11.59"/>
    <x v="3"/>
    <n v="321729"/>
    <x v="3"/>
    <x v="0"/>
    <s v="Married"/>
    <x v="1"/>
    <n v="1"/>
  </r>
  <r>
    <x v="626"/>
    <n v="45"/>
    <x v="1"/>
    <n v="1058123"/>
    <x v="0"/>
    <n v="839"/>
    <n v="1203469"/>
    <n v="12.76"/>
    <x v="1"/>
    <n v="321883"/>
    <x v="1"/>
    <x v="1"/>
    <s v="Single"/>
    <x v="1"/>
    <n v="0"/>
  </r>
  <r>
    <x v="627"/>
    <n v="45"/>
    <x v="0"/>
    <n v="1058853"/>
    <x v="0"/>
    <n v="516"/>
    <n v="1208136"/>
    <n v="8.4600000000000009"/>
    <x v="0"/>
    <n v="322395"/>
    <x v="4"/>
    <x v="1"/>
    <s v="Single"/>
    <x v="2"/>
    <n v="1"/>
  </r>
  <r>
    <x v="628"/>
    <n v="45"/>
    <x v="0"/>
    <n v="1060119"/>
    <x v="1"/>
    <n v="312"/>
    <n v="1208697"/>
    <n v="8.35"/>
    <x v="2"/>
    <n v="322409"/>
    <x v="4"/>
    <x v="1"/>
    <s v="Married"/>
    <x v="0"/>
    <n v="0"/>
  </r>
  <r>
    <x v="629"/>
    <n v="45"/>
    <x v="0"/>
    <n v="1060887"/>
    <x v="1"/>
    <n v="729"/>
    <n v="1210904"/>
    <n v="15.07"/>
    <x v="4"/>
    <n v="323320"/>
    <x v="3"/>
    <x v="0"/>
    <s v="Single"/>
    <x v="0"/>
    <n v="0"/>
  </r>
  <r>
    <x v="599"/>
    <n v="45"/>
    <x v="1"/>
    <n v="1061888"/>
    <x v="0"/>
    <n v="551"/>
    <n v="1214018"/>
    <n v="12.19"/>
    <x v="3"/>
    <n v="324101"/>
    <x v="0"/>
    <x v="1"/>
    <s v="Single"/>
    <x v="0"/>
    <n v="0"/>
  </r>
  <r>
    <x v="630"/>
    <n v="46"/>
    <x v="0"/>
    <n v="1065795"/>
    <x v="0"/>
    <n v="355"/>
    <n v="1218806"/>
    <n v="13.52"/>
    <x v="0"/>
    <n v="324191"/>
    <x v="1"/>
    <x v="0"/>
    <s v="Married"/>
    <x v="2"/>
    <n v="0"/>
  </r>
  <r>
    <x v="631"/>
    <n v="46"/>
    <x v="0"/>
    <n v="1067194"/>
    <x v="1"/>
    <n v="326"/>
    <n v="1219113"/>
    <n v="14.11"/>
    <x v="0"/>
    <n v="324461"/>
    <x v="3"/>
    <x v="1"/>
    <s v="Married"/>
    <x v="0"/>
    <n v="0"/>
  </r>
  <r>
    <x v="632"/>
    <n v="46"/>
    <x v="0"/>
    <n v="1068080"/>
    <x v="0"/>
    <n v="367"/>
    <n v="1219143"/>
    <n v="13.6"/>
    <x v="2"/>
    <n v="325303"/>
    <x v="4"/>
    <x v="1"/>
    <s v="Single"/>
    <x v="0"/>
    <n v="0"/>
  </r>
  <r>
    <x v="633"/>
    <n v="46"/>
    <x v="0"/>
    <n v="1068164"/>
    <x v="0"/>
    <n v="477"/>
    <n v="1220318"/>
    <n v="10.92"/>
    <x v="4"/>
    <n v="325447"/>
    <x v="1"/>
    <x v="1"/>
    <s v="Single"/>
    <x v="2"/>
    <n v="1"/>
  </r>
  <r>
    <x v="634"/>
    <n v="46"/>
    <x v="1"/>
    <n v="1068368"/>
    <x v="1"/>
    <n v="619"/>
    <n v="1220379"/>
    <n v="8.14"/>
    <x v="2"/>
    <n v="325823"/>
    <x v="0"/>
    <x v="0"/>
    <s v="Single"/>
    <x v="1"/>
    <n v="0"/>
  </r>
  <r>
    <x v="635"/>
    <n v="46"/>
    <x v="1"/>
    <n v="1070689"/>
    <x v="0"/>
    <n v="746"/>
    <n v="1221230"/>
    <n v="9.8800000000000008"/>
    <x v="0"/>
    <n v="326557"/>
    <x v="3"/>
    <x v="1"/>
    <s v="Married"/>
    <x v="0"/>
    <n v="0"/>
  </r>
  <r>
    <x v="636"/>
    <n v="46"/>
    <x v="0"/>
    <n v="1070922"/>
    <x v="1"/>
    <n v="800"/>
    <n v="1222219"/>
    <n v="14.7"/>
    <x v="3"/>
    <n v="327978"/>
    <x v="1"/>
    <x v="1"/>
    <s v="Married"/>
    <x v="1"/>
    <n v="0"/>
  </r>
  <r>
    <x v="637"/>
    <n v="46"/>
    <x v="1"/>
    <n v="1071900"/>
    <x v="1"/>
    <n v="536"/>
    <n v="1224632"/>
    <n v="9.4600000000000009"/>
    <x v="3"/>
    <n v="327996"/>
    <x v="2"/>
    <x v="0"/>
    <s v="Married"/>
    <x v="2"/>
    <n v="1"/>
  </r>
  <r>
    <x v="638"/>
    <n v="46"/>
    <x v="1"/>
    <n v="1072070"/>
    <x v="1"/>
    <n v="359"/>
    <n v="1225086"/>
    <n v="13.37"/>
    <x v="2"/>
    <n v="328214"/>
    <x v="0"/>
    <x v="1"/>
    <s v="Married"/>
    <x v="0"/>
    <n v="0"/>
  </r>
  <r>
    <x v="639"/>
    <n v="46"/>
    <x v="1"/>
    <n v="1072224"/>
    <x v="1"/>
    <n v="384"/>
    <n v="1225111"/>
    <n v="11.02"/>
    <x v="0"/>
    <n v="328468"/>
    <x v="0"/>
    <x v="0"/>
    <s v="Married"/>
    <x v="1"/>
    <n v="1"/>
  </r>
  <r>
    <x v="640"/>
    <n v="46"/>
    <x v="0"/>
    <n v="1072698"/>
    <x v="1"/>
    <n v="582"/>
    <n v="1227052"/>
    <n v="14.74"/>
    <x v="3"/>
    <n v="328561"/>
    <x v="2"/>
    <x v="0"/>
    <s v="Married"/>
    <x v="1"/>
    <n v="0"/>
  </r>
  <r>
    <x v="641"/>
    <n v="46"/>
    <x v="1"/>
    <n v="1072698"/>
    <x v="0"/>
    <n v="397"/>
    <n v="1227509"/>
    <n v="12.95"/>
    <x v="0"/>
    <n v="328921"/>
    <x v="4"/>
    <x v="0"/>
    <s v="Married"/>
    <x v="2"/>
    <n v="1"/>
  </r>
  <r>
    <x v="642"/>
    <n v="46"/>
    <x v="0"/>
    <n v="1073258"/>
    <x v="1"/>
    <n v="609"/>
    <n v="1227709"/>
    <n v="8.61"/>
    <x v="4"/>
    <n v="329494"/>
    <x v="1"/>
    <x v="1"/>
    <s v="Single"/>
    <x v="1"/>
    <n v="0"/>
  </r>
  <r>
    <x v="643"/>
    <n v="46"/>
    <x v="1"/>
    <n v="1073703"/>
    <x v="1"/>
    <n v="839"/>
    <n v="1233439"/>
    <n v="14.26"/>
    <x v="4"/>
    <n v="330004"/>
    <x v="0"/>
    <x v="1"/>
    <s v="Single"/>
    <x v="0"/>
    <n v="0"/>
  </r>
  <r>
    <x v="644"/>
    <n v="46"/>
    <x v="1"/>
    <n v="1075896"/>
    <x v="0"/>
    <n v="488"/>
    <n v="1236751"/>
    <n v="10.67"/>
    <x v="3"/>
    <n v="330294"/>
    <x v="2"/>
    <x v="1"/>
    <s v="Married"/>
    <x v="1"/>
    <n v="1"/>
  </r>
  <r>
    <x v="645"/>
    <n v="46"/>
    <x v="0"/>
    <n v="1079196"/>
    <x v="0"/>
    <n v="840"/>
    <n v="1236964"/>
    <n v="7.84"/>
    <x v="4"/>
    <n v="330406"/>
    <x v="1"/>
    <x v="1"/>
    <s v="Married"/>
    <x v="1"/>
    <n v="0"/>
  </r>
  <r>
    <x v="646"/>
    <n v="46"/>
    <x v="0"/>
    <n v="1079494"/>
    <x v="1"/>
    <n v="484"/>
    <n v="1246239"/>
    <n v="9.7899999999999991"/>
    <x v="1"/>
    <n v="330525"/>
    <x v="1"/>
    <x v="0"/>
    <s v="Married"/>
    <x v="1"/>
    <n v="0"/>
  </r>
  <r>
    <x v="647"/>
    <n v="46"/>
    <x v="1"/>
    <n v="1080768"/>
    <x v="1"/>
    <n v="516"/>
    <n v="1246939"/>
    <n v="11.5"/>
    <x v="4"/>
    <n v="331408"/>
    <x v="0"/>
    <x v="1"/>
    <s v="Married"/>
    <x v="1"/>
    <n v="0"/>
  </r>
  <r>
    <x v="648"/>
    <n v="47"/>
    <x v="0"/>
    <n v="1080865"/>
    <x v="1"/>
    <n v="615"/>
    <n v="1248952"/>
    <n v="13.13"/>
    <x v="1"/>
    <n v="331600"/>
    <x v="4"/>
    <x v="1"/>
    <s v="Single"/>
    <x v="0"/>
    <n v="1"/>
  </r>
  <r>
    <x v="649"/>
    <n v="47"/>
    <x v="1"/>
    <n v="1083027"/>
    <x v="0"/>
    <n v="447"/>
    <n v="1250979"/>
    <n v="8.35"/>
    <x v="3"/>
    <n v="332449"/>
    <x v="0"/>
    <x v="1"/>
    <s v="Single"/>
    <x v="0"/>
    <n v="0"/>
  </r>
  <r>
    <x v="650"/>
    <n v="47"/>
    <x v="1"/>
    <n v="1083784"/>
    <x v="1"/>
    <n v="620"/>
    <n v="1255009"/>
    <n v="9.9"/>
    <x v="4"/>
    <n v="332537"/>
    <x v="0"/>
    <x v="1"/>
    <s v="Married"/>
    <x v="2"/>
    <n v="0"/>
  </r>
  <r>
    <x v="651"/>
    <n v="47"/>
    <x v="1"/>
    <n v="1085486"/>
    <x v="1"/>
    <n v="437"/>
    <n v="1256151"/>
    <n v="14.49"/>
    <x v="2"/>
    <n v="334985"/>
    <x v="2"/>
    <x v="0"/>
    <s v="Married"/>
    <x v="1"/>
    <n v="1"/>
  </r>
  <r>
    <x v="652"/>
    <n v="47"/>
    <x v="1"/>
    <n v="1087855"/>
    <x v="0"/>
    <n v="755"/>
    <n v="1256863"/>
    <n v="12.74"/>
    <x v="3"/>
    <n v="336270"/>
    <x v="4"/>
    <x v="0"/>
    <s v="Single"/>
    <x v="1"/>
    <n v="0"/>
  </r>
  <r>
    <x v="653"/>
    <n v="47"/>
    <x v="0"/>
    <n v="1088376"/>
    <x v="0"/>
    <n v="569"/>
    <n v="1257310"/>
    <n v="16.2"/>
    <x v="0"/>
    <n v="336312"/>
    <x v="3"/>
    <x v="0"/>
    <s v="Single"/>
    <x v="0"/>
    <n v="1"/>
  </r>
  <r>
    <x v="654"/>
    <n v="47"/>
    <x v="0"/>
    <n v="1089716"/>
    <x v="1"/>
    <n v="370"/>
    <n v="1264656"/>
    <n v="9.1999999999999993"/>
    <x v="2"/>
    <n v="337265"/>
    <x v="0"/>
    <x v="0"/>
    <s v="Single"/>
    <x v="2"/>
    <n v="0"/>
  </r>
  <r>
    <x v="655"/>
    <n v="47"/>
    <x v="1"/>
    <n v="1094988"/>
    <x v="1"/>
    <n v="413"/>
    <n v="1273654"/>
    <n v="16"/>
    <x v="2"/>
    <n v="337666"/>
    <x v="1"/>
    <x v="0"/>
    <s v="Single"/>
    <x v="1"/>
    <n v="0"/>
  </r>
  <r>
    <x v="656"/>
    <n v="47"/>
    <x v="0"/>
    <n v="1095576"/>
    <x v="1"/>
    <n v="863"/>
    <n v="1278789"/>
    <n v="14.16"/>
    <x v="2"/>
    <n v="337790"/>
    <x v="4"/>
    <x v="0"/>
    <s v="Single"/>
    <x v="0"/>
    <n v="0"/>
  </r>
  <r>
    <x v="657"/>
    <n v="47"/>
    <x v="1"/>
    <n v="1098547"/>
    <x v="1"/>
    <n v="379"/>
    <n v="1279077"/>
    <n v="11.11"/>
    <x v="2"/>
    <n v="338474"/>
    <x v="0"/>
    <x v="0"/>
    <s v="Single"/>
    <x v="1"/>
    <n v="0"/>
  </r>
  <r>
    <x v="658"/>
    <n v="47"/>
    <x v="1"/>
    <n v="1098783"/>
    <x v="1"/>
    <n v="558"/>
    <n v="1283710"/>
    <n v="9.5500000000000007"/>
    <x v="0"/>
    <n v="338480"/>
    <x v="0"/>
    <x v="1"/>
    <s v="Married"/>
    <x v="0"/>
    <n v="0"/>
  </r>
  <r>
    <x v="659"/>
    <n v="47"/>
    <x v="1"/>
    <n v="1102300"/>
    <x v="0"/>
    <n v="871"/>
    <n v="1283968"/>
    <n v="13.61"/>
    <x v="0"/>
    <n v="339043"/>
    <x v="1"/>
    <x v="1"/>
    <s v="Married"/>
    <x v="2"/>
    <n v="0"/>
  </r>
  <r>
    <x v="660"/>
    <n v="47"/>
    <x v="1"/>
    <n v="1104472"/>
    <x v="1"/>
    <n v="303"/>
    <n v="1286632"/>
    <n v="16.079999999999998"/>
    <x v="3"/>
    <n v="340353"/>
    <x v="0"/>
    <x v="1"/>
    <s v="Single"/>
    <x v="1"/>
    <n v="0"/>
  </r>
  <r>
    <x v="661"/>
    <n v="47"/>
    <x v="1"/>
    <n v="1104840"/>
    <x v="1"/>
    <n v="642"/>
    <n v="1292014"/>
    <n v="13.41"/>
    <x v="2"/>
    <n v="340897"/>
    <x v="4"/>
    <x v="1"/>
    <s v="Single"/>
    <x v="0"/>
    <n v="0"/>
  </r>
  <r>
    <x v="662"/>
    <n v="47"/>
    <x v="1"/>
    <n v="1105399"/>
    <x v="1"/>
    <n v="757"/>
    <n v="1292041"/>
    <n v="12.75"/>
    <x v="2"/>
    <n v="341150"/>
    <x v="3"/>
    <x v="0"/>
    <s v="Single"/>
    <x v="2"/>
    <n v="0"/>
  </r>
  <r>
    <x v="663"/>
    <n v="47"/>
    <x v="1"/>
    <n v="1105630"/>
    <x v="1"/>
    <n v="488"/>
    <n v="1294388"/>
    <n v="8.0299999999999994"/>
    <x v="0"/>
    <n v="341172"/>
    <x v="2"/>
    <x v="1"/>
    <s v="Married"/>
    <x v="2"/>
    <n v="1"/>
  </r>
  <r>
    <x v="664"/>
    <n v="47"/>
    <x v="1"/>
    <n v="1106535"/>
    <x v="1"/>
    <n v="895"/>
    <n v="1295179"/>
    <n v="13.91"/>
    <x v="0"/>
    <n v="341690"/>
    <x v="4"/>
    <x v="0"/>
    <s v="Married"/>
    <x v="1"/>
    <n v="0"/>
  </r>
  <r>
    <x v="665"/>
    <n v="47"/>
    <x v="0"/>
    <n v="1108243"/>
    <x v="0"/>
    <n v="737"/>
    <n v="1297195"/>
    <n v="8.9499999999999993"/>
    <x v="4"/>
    <n v="341741"/>
    <x v="3"/>
    <x v="0"/>
    <s v="Single"/>
    <x v="2"/>
    <n v="0"/>
  </r>
  <r>
    <x v="666"/>
    <n v="47"/>
    <x v="0"/>
    <n v="1108848"/>
    <x v="0"/>
    <n v="493"/>
    <n v="1299571"/>
    <n v="9.41"/>
    <x v="0"/>
    <n v="341764"/>
    <x v="3"/>
    <x v="0"/>
    <s v="Married"/>
    <x v="0"/>
    <n v="1"/>
  </r>
  <r>
    <x v="667"/>
    <n v="47"/>
    <x v="1"/>
    <n v="1111800"/>
    <x v="1"/>
    <n v="458"/>
    <n v="1306279"/>
    <n v="10.78"/>
    <x v="4"/>
    <n v="341791"/>
    <x v="1"/>
    <x v="1"/>
    <s v="Married"/>
    <x v="1"/>
    <n v="0"/>
  </r>
  <r>
    <x v="668"/>
    <n v="47"/>
    <x v="0"/>
    <n v="1111809"/>
    <x v="1"/>
    <n v="411"/>
    <n v="1309799"/>
    <n v="12.52"/>
    <x v="2"/>
    <n v="341906"/>
    <x v="1"/>
    <x v="0"/>
    <s v="Single"/>
    <x v="2"/>
    <n v="1"/>
  </r>
  <r>
    <x v="669"/>
    <n v="47"/>
    <x v="1"/>
    <n v="1112216"/>
    <x v="0"/>
    <n v="759"/>
    <n v="1311670"/>
    <n v="16.21"/>
    <x v="1"/>
    <n v="342311"/>
    <x v="4"/>
    <x v="0"/>
    <s v="Single"/>
    <x v="2"/>
    <n v="0"/>
  </r>
  <r>
    <x v="670"/>
    <n v="47"/>
    <x v="0"/>
    <n v="1112306"/>
    <x v="0"/>
    <n v="623"/>
    <n v="1312219"/>
    <n v="7.79"/>
    <x v="3"/>
    <n v="343608"/>
    <x v="3"/>
    <x v="0"/>
    <s v="Single"/>
    <x v="0"/>
    <n v="1"/>
  </r>
  <r>
    <x v="671"/>
    <n v="47"/>
    <x v="1"/>
    <n v="1112377"/>
    <x v="1"/>
    <n v="476"/>
    <n v="1312428"/>
    <n v="8.7899999999999991"/>
    <x v="2"/>
    <n v="343724"/>
    <x v="3"/>
    <x v="1"/>
    <s v="Single"/>
    <x v="2"/>
    <n v="0"/>
  </r>
  <r>
    <x v="672"/>
    <n v="47"/>
    <x v="0"/>
    <n v="1112644"/>
    <x v="0"/>
    <n v="481"/>
    <n v="1312890"/>
    <n v="9.92"/>
    <x v="3"/>
    <n v="343738"/>
    <x v="0"/>
    <x v="1"/>
    <s v="Single"/>
    <x v="2"/>
    <n v="1"/>
  </r>
  <r>
    <x v="673"/>
    <n v="47"/>
    <x v="1"/>
    <n v="1112766"/>
    <x v="0"/>
    <n v="589"/>
    <n v="1315079"/>
    <n v="11.85"/>
    <x v="4"/>
    <n v="344680"/>
    <x v="1"/>
    <x v="0"/>
    <s v="Single"/>
    <x v="1"/>
    <n v="0"/>
  </r>
  <r>
    <x v="674"/>
    <n v="47"/>
    <x v="0"/>
    <n v="1114224"/>
    <x v="1"/>
    <n v="877"/>
    <n v="1317296"/>
    <n v="11.53"/>
    <x v="3"/>
    <n v="345619"/>
    <x v="2"/>
    <x v="1"/>
    <s v="Single"/>
    <x v="1"/>
    <n v="0"/>
  </r>
  <r>
    <x v="675"/>
    <n v="47"/>
    <x v="1"/>
    <n v="1114744"/>
    <x v="0"/>
    <n v="518"/>
    <n v="1318110"/>
    <n v="16.440000000000001"/>
    <x v="1"/>
    <n v="345978"/>
    <x v="1"/>
    <x v="1"/>
    <s v="Married"/>
    <x v="2"/>
    <n v="0"/>
  </r>
  <r>
    <x v="676"/>
    <n v="47"/>
    <x v="1"/>
    <n v="1115159"/>
    <x v="1"/>
    <m/>
    <n v="1320551"/>
    <n v="9.1199999999999992"/>
    <x v="4"/>
    <n v="346154"/>
    <x v="0"/>
    <x v="0"/>
    <s v="Married"/>
    <x v="0"/>
    <n v="0"/>
  </r>
  <r>
    <x v="677"/>
    <n v="47"/>
    <x v="0"/>
    <n v="1116209"/>
    <x v="0"/>
    <n v="527"/>
    <n v="1323164"/>
    <n v="9.89"/>
    <x v="0"/>
    <n v="346447"/>
    <x v="4"/>
    <x v="0"/>
    <s v="Single"/>
    <x v="2"/>
    <n v="1"/>
  </r>
  <r>
    <x v="648"/>
    <n v="47"/>
    <x v="0"/>
    <n v="1116497"/>
    <x v="1"/>
    <n v="615"/>
    <n v="1324916"/>
    <n v="13.13"/>
    <x v="1"/>
    <n v="346470"/>
    <x v="4"/>
    <x v="1"/>
    <s v="Single"/>
    <x v="0"/>
    <n v="1"/>
  </r>
  <r>
    <x v="678"/>
    <n v="48"/>
    <x v="1"/>
    <n v="1116509"/>
    <x v="0"/>
    <n v="327"/>
    <n v="1326123"/>
    <n v="9.69"/>
    <x v="1"/>
    <n v="347241"/>
    <x v="0"/>
    <x v="0"/>
    <s v="Single"/>
    <x v="0"/>
    <n v="0"/>
  </r>
  <r>
    <x v="679"/>
    <n v="48"/>
    <x v="1"/>
    <n v="1118456"/>
    <x v="1"/>
    <m/>
    <n v="1327043"/>
    <n v="12.16"/>
    <x v="3"/>
    <n v="347838"/>
    <x v="1"/>
    <x v="0"/>
    <s v="Single"/>
    <x v="0"/>
    <n v="1"/>
  </r>
  <r>
    <x v="680"/>
    <n v="48"/>
    <x v="1"/>
    <n v="1120941"/>
    <x v="1"/>
    <n v="384"/>
    <n v="1327154"/>
    <n v="11.88"/>
    <x v="1"/>
    <n v="348384"/>
    <x v="4"/>
    <x v="0"/>
    <s v="Married"/>
    <x v="0"/>
    <n v="1"/>
  </r>
  <r>
    <x v="681"/>
    <n v="48"/>
    <x v="1"/>
    <n v="1122880"/>
    <x v="1"/>
    <n v="397"/>
    <n v="1330803"/>
    <n v="10.050000000000001"/>
    <x v="1"/>
    <n v="349795"/>
    <x v="4"/>
    <x v="0"/>
    <s v="Married"/>
    <x v="2"/>
    <n v="1"/>
  </r>
  <r>
    <x v="682"/>
    <n v="48"/>
    <x v="0"/>
    <n v="1123763"/>
    <x v="0"/>
    <n v="478"/>
    <n v="1331344"/>
    <n v="12.32"/>
    <x v="0"/>
    <n v="349924"/>
    <x v="3"/>
    <x v="1"/>
    <s v="Single"/>
    <x v="1"/>
    <n v="0"/>
  </r>
  <r>
    <x v="683"/>
    <n v="48"/>
    <x v="0"/>
    <n v="1125402"/>
    <x v="1"/>
    <n v="387"/>
    <n v="1334927"/>
    <n v="10.029999999999999"/>
    <x v="0"/>
    <n v="350323"/>
    <x v="2"/>
    <x v="1"/>
    <s v="Married"/>
    <x v="1"/>
    <n v="0"/>
  </r>
  <r>
    <x v="684"/>
    <n v="48"/>
    <x v="0"/>
    <n v="1125922"/>
    <x v="0"/>
    <n v="740"/>
    <n v="1345671"/>
    <n v="12.65"/>
    <x v="4"/>
    <n v="351011"/>
    <x v="0"/>
    <x v="0"/>
    <s v="Married"/>
    <x v="1"/>
    <n v="0"/>
  </r>
  <r>
    <x v="685"/>
    <n v="48"/>
    <x v="1"/>
    <n v="1125922"/>
    <x v="1"/>
    <n v="885"/>
    <n v="1346920"/>
    <n v="7.69"/>
    <x v="0"/>
    <n v="352195"/>
    <x v="4"/>
    <x v="0"/>
    <s v="Single"/>
    <x v="1"/>
    <n v="0"/>
  </r>
  <r>
    <x v="686"/>
    <n v="48"/>
    <x v="1"/>
    <n v="1127108"/>
    <x v="1"/>
    <n v="730"/>
    <n v="1351433"/>
    <n v="15.1"/>
    <x v="3"/>
    <n v="352439"/>
    <x v="4"/>
    <x v="0"/>
    <s v="Married"/>
    <x v="0"/>
    <n v="0"/>
  </r>
  <r>
    <x v="687"/>
    <n v="48"/>
    <x v="0"/>
    <n v="1128161"/>
    <x v="1"/>
    <n v="302"/>
    <n v="1353542"/>
    <n v="14.59"/>
    <x v="4"/>
    <n v="352606"/>
    <x v="1"/>
    <x v="1"/>
    <s v="Married"/>
    <x v="2"/>
    <n v="0"/>
  </r>
  <r>
    <x v="688"/>
    <n v="48"/>
    <x v="1"/>
    <n v="1128381"/>
    <x v="1"/>
    <n v="814"/>
    <n v="1357281"/>
    <n v="10.86"/>
    <x v="1"/>
    <n v="352791"/>
    <x v="1"/>
    <x v="1"/>
    <s v="Single"/>
    <x v="1"/>
    <n v="0"/>
  </r>
  <r>
    <x v="689"/>
    <n v="48"/>
    <x v="1"/>
    <n v="1128900"/>
    <x v="1"/>
    <n v="302"/>
    <n v="1358497"/>
    <n v="11.41"/>
    <x v="2"/>
    <n v="353812"/>
    <x v="4"/>
    <x v="1"/>
    <s v="Single"/>
    <x v="0"/>
    <n v="0"/>
  </r>
  <r>
    <x v="690"/>
    <n v="48"/>
    <x v="0"/>
    <n v="1131442"/>
    <x v="0"/>
    <n v="344"/>
    <n v="1365149"/>
    <n v="8.69"/>
    <x v="3"/>
    <n v="354222"/>
    <x v="4"/>
    <x v="0"/>
    <s v="Married"/>
    <x v="1"/>
    <n v="1"/>
  </r>
  <r>
    <x v="691"/>
    <n v="48"/>
    <x v="0"/>
    <n v="1132136"/>
    <x v="1"/>
    <n v="502"/>
    <n v="1367205"/>
    <n v="11.76"/>
    <x v="1"/>
    <n v="354319"/>
    <x v="2"/>
    <x v="0"/>
    <s v="Married"/>
    <x v="2"/>
    <n v="1"/>
  </r>
  <r>
    <x v="692"/>
    <n v="48"/>
    <x v="1"/>
    <n v="1132382"/>
    <x v="1"/>
    <n v="385"/>
    <n v="1368128"/>
    <n v="15.77"/>
    <x v="4"/>
    <n v="354340"/>
    <x v="4"/>
    <x v="0"/>
    <s v="Single"/>
    <x v="0"/>
    <n v="0"/>
  </r>
  <r>
    <x v="693"/>
    <n v="48"/>
    <x v="0"/>
    <n v="1136155"/>
    <x v="1"/>
    <n v="774"/>
    <n v="1368310"/>
    <n v="13.85"/>
    <x v="2"/>
    <n v="354536"/>
    <x v="3"/>
    <x v="1"/>
    <s v="Single"/>
    <x v="0"/>
    <n v="0"/>
  </r>
  <r>
    <x v="694"/>
    <n v="48"/>
    <x v="1"/>
    <n v="1137781"/>
    <x v="0"/>
    <n v="788"/>
    <n v="1368567"/>
    <n v="13.87"/>
    <x v="1"/>
    <n v="354676"/>
    <x v="1"/>
    <x v="1"/>
    <s v="Married"/>
    <x v="0"/>
    <n v="1"/>
  </r>
  <r>
    <x v="695"/>
    <n v="48"/>
    <x v="0"/>
    <n v="1139737"/>
    <x v="1"/>
    <n v="330"/>
    <n v="1368696"/>
    <n v="15.17"/>
    <x v="0"/>
    <n v="354703"/>
    <x v="3"/>
    <x v="1"/>
    <s v="Single"/>
    <x v="2"/>
    <n v="0"/>
  </r>
  <r>
    <x v="696"/>
    <n v="48"/>
    <x v="1"/>
    <n v="1139741"/>
    <x v="0"/>
    <n v="445"/>
    <n v="1368885"/>
    <n v="12.48"/>
    <x v="4"/>
    <n v="354714"/>
    <x v="0"/>
    <x v="0"/>
    <s v="Married"/>
    <x v="1"/>
    <n v="0"/>
  </r>
  <r>
    <x v="697"/>
    <n v="48"/>
    <x v="0"/>
    <n v="1140215"/>
    <x v="1"/>
    <n v="623"/>
    <n v="1373973"/>
    <n v="8.93"/>
    <x v="2"/>
    <n v="354854"/>
    <x v="0"/>
    <x v="1"/>
    <s v="Married"/>
    <x v="1"/>
    <n v="0"/>
  </r>
  <r>
    <x v="698"/>
    <n v="48"/>
    <x v="0"/>
    <n v="1141313"/>
    <x v="0"/>
    <n v="818"/>
    <n v="1374594"/>
    <n v="12.52"/>
    <x v="3"/>
    <n v="355535"/>
    <x v="0"/>
    <x v="1"/>
    <s v="Married"/>
    <x v="1"/>
    <n v="1"/>
  </r>
  <r>
    <x v="699"/>
    <n v="48"/>
    <x v="0"/>
    <n v="1142416"/>
    <x v="0"/>
    <n v="533"/>
    <n v="1378526"/>
    <n v="10.3"/>
    <x v="4"/>
    <n v="355734"/>
    <x v="3"/>
    <x v="0"/>
    <s v="Single"/>
    <x v="2"/>
    <n v="1"/>
  </r>
  <r>
    <x v="700"/>
    <n v="48"/>
    <x v="1"/>
    <n v="1143066"/>
    <x v="1"/>
    <n v="855"/>
    <n v="1383455"/>
    <n v="11.68"/>
    <x v="4"/>
    <n v="355789"/>
    <x v="0"/>
    <x v="1"/>
    <s v="Single"/>
    <x v="0"/>
    <n v="0"/>
  </r>
  <r>
    <x v="701"/>
    <n v="48"/>
    <x v="0"/>
    <n v="1147528"/>
    <x v="1"/>
    <n v="869"/>
    <n v="1384440"/>
    <n v="14.92"/>
    <x v="3"/>
    <n v="355892"/>
    <x v="2"/>
    <x v="1"/>
    <s v="Single"/>
    <x v="0"/>
    <n v="0"/>
  </r>
  <r>
    <x v="678"/>
    <n v="48"/>
    <x v="1"/>
    <n v="1148056"/>
    <x v="0"/>
    <n v="327"/>
    <n v="1385457"/>
    <n v="9.69"/>
    <x v="1"/>
    <n v="355914"/>
    <x v="0"/>
    <x v="0"/>
    <s v="Single"/>
    <x v="0"/>
    <n v="0"/>
  </r>
  <r>
    <x v="679"/>
    <n v="48"/>
    <x v="1"/>
    <n v="1148438"/>
    <x v="1"/>
    <m/>
    <n v="1386257"/>
    <n v="12.16"/>
    <x v="3"/>
    <n v="356203"/>
    <x v="1"/>
    <x v="0"/>
    <s v="Single"/>
    <x v="0"/>
    <n v="1"/>
  </r>
  <r>
    <x v="702"/>
    <n v="49"/>
    <x v="0"/>
    <n v="1148993"/>
    <x v="0"/>
    <n v="803"/>
    <n v="1387697"/>
    <n v="14.04"/>
    <x v="3"/>
    <n v="356825"/>
    <x v="1"/>
    <x v="1"/>
    <s v="Single"/>
    <x v="2"/>
    <n v="0"/>
  </r>
  <r>
    <x v="703"/>
    <n v="49"/>
    <x v="1"/>
    <n v="1149368"/>
    <x v="0"/>
    <n v="708"/>
    <n v="1390648"/>
    <n v="16.12"/>
    <x v="0"/>
    <n v="358234"/>
    <x v="0"/>
    <x v="0"/>
    <s v="Single"/>
    <x v="0"/>
    <n v="1"/>
  </r>
  <r>
    <x v="704"/>
    <n v="49"/>
    <x v="0"/>
    <n v="1149549"/>
    <x v="0"/>
    <n v="662"/>
    <n v="1393359"/>
    <n v="16.2"/>
    <x v="4"/>
    <n v="359766"/>
    <x v="0"/>
    <x v="1"/>
    <s v="Married"/>
    <x v="0"/>
    <n v="0"/>
  </r>
  <r>
    <x v="705"/>
    <n v="49"/>
    <x v="0"/>
    <n v="1150426"/>
    <x v="1"/>
    <n v="577"/>
    <n v="1394760"/>
    <n v="11.21"/>
    <x v="4"/>
    <n v="359811"/>
    <x v="1"/>
    <x v="0"/>
    <s v="Married"/>
    <x v="1"/>
    <n v="1"/>
  </r>
  <r>
    <x v="706"/>
    <n v="49"/>
    <x v="0"/>
    <n v="1150671"/>
    <x v="0"/>
    <n v="677"/>
    <n v="1395806"/>
    <n v="15.19"/>
    <x v="3"/>
    <n v="360243"/>
    <x v="1"/>
    <x v="1"/>
    <s v="Single"/>
    <x v="0"/>
    <n v="0"/>
  </r>
  <r>
    <x v="707"/>
    <n v="49"/>
    <x v="0"/>
    <n v="1154569"/>
    <x v="1"/>
    <n v="531"/>
    <n v="1395902"/>
    <n v="11.18"/>
    <x v="3"/>
    <n v="361020"/>
    <x v="4"/>
    <x v="1"/>
    <s v="Single"/>
    <x v="1"/>
    <n v="0"/>
  </r>
  <r>
    <x v="708"/>
    <n v="49"/>
    <x v="0"/>
    <n v="1154825"/>
    <x v="1"/>
    <n v="715"/>
    <n v="1397426"/>
    <n v="14.4"/>
    <x v="4"/>
    <n v="361236"/>
    <x v="0"/>
    <x v="1"/>
    <s v="Single"/>
    <x v="0"/>
    <n v="0"/>
  </r>
  <r>
    <x v="709"/>
    <n v="49"/>
    <x v="0"/>
    <n v="1154876"/>
    <x v="0"/>
    <n v="417"/>
    <n v="1398731"/>
    <n v="10.64"/>
    <x v="2"/>
    <n v="362079"/>
    <x v="0"/>
    <x v="1"/>
    <s v="Single"/>
    <x v="2"/>
    <n v="0"/>
  </r>
  <r>
    <x v="710"/>
    <n v="49"/>
    <x v="0"/>
    <n v="1155010"/>
    <x v="0"/>
    <n v="414"/>
    <n v="1410676"/>
    <n v="10.5"/>
    <x v="4"/>
    <n v="362382"/>
    <x v="3"/>
    <x v="1"/>
    <s v="Single"/>
    <x v="2"/>
    <n v="0"/>
  </r>
  <r>
    <x v="711"/>
    <n v="49"/>
    <x v="0"/>
    <n v="1156520"/>
    <x v="1"/>
    <n v="739"/>
    <n v="1414167"/>
    <n v="16.23"/>
    <x v="4"/>
    <n v="362602"/>
    <x v="2"/>
    <x v="1"/>
    <s v="Married"/>
    <x v="0"/>
    <n v="0"/>
  </r>
  <r>
    <x v="712"/>
    <n v="49"/>
    <x v="0"/>
    <n v="1157395"/>
    <x v="1"/>
    <n v="806"/>
    <n v="1414714"/>
    <n v="11.56"/>
    <x v="0"/>
    <n v="362699"/>
    <x v="0"/>
    <x v="0"/>
    <s v="Single"/>
    <x v="0"/>
    <n v="1"/>
  </r>
  <r>
    <x v="713"/>
    <n v="49"/>
    <x v="0"/>
    <n v="1158612"/>
    <x v="0"/>
    <n v="443"/>
    <n v="1415853"/>
    <n v="8.99"/>
    <x v="1"/>
    <n v="363312"/>
    <x v="0"/>
    <x v="0"/>
    <s v="Single"/>
    <x v="1"/>
    <n v="1"/>
  </r>
  <r>
    <x v="714"/>
    <n v="49"/>
    <x v="1"/>
    <n v="1158748"/>
    <x v="1"/>
    <n v="597"/>
    <n v="1416904"/>
    <n v="15.25"/>
    <x v="2"/>
    <n v="363411"/>
    <x v="3"/>
    <x v="1"/>
    <s v="Married"/>
    <x v="0"/>
    <n v="0"/>
  </r>
  <r>
    <x v="715"/>
    <n v="49"/>
    <x v="1"/>
    <n v="1158802"/>
    <x v="0"/>
    <n v="793"/>
    <n v="1417013"/>
    <n v="13.43"/>
    <x v="4"/>
    <n v="363684"/>
    <x v="4"/>
    <x v="1"/>
    <s v="Single"/>
    <x v="0"/>
    <n v="0"/>
  </r>
  <r>
    <x v="716"/>
    <n v="49"/>
    <x v="1"/>
    <n v="1159117"/>
    <x v="1"/>
    <n v="876"/>
    <n v="1417209"/>
    <n v="8.8800000000000008"/>
    <x v="2"/>
    <n v="364027"/>
    <x v="2"/>
    <x v="0"/>
    <s v="Married"/>
    <x v="0"/>
    <n v="0"/>
  </r>
  <r>
    <x v="717"/>
    <n v="49"/>
    <x v="0"/>
    <n v="1161687"/>
    <x v="1"/>
    <n v="812"/>
    <n v="1418310"/>
    <n v="11.15"/>
    <x v="0"/>
    <n v="364402"/>
    <x v="1"/>
    <x v="0"/>
    <s v="Married"/>
    <x v="2"/>
    <n v="0"/>
  </r>
  <r>
    <x v="718"/>
    <n v="49"/>
    <x v="1"/>
    <n v="1164111"/>
    <x v="0"/>
    <n v="635"/>
    <n v="1419994"/>
    <n v="15.76"/>
    <x v="4"/>
    <n v="365273"/>
    <x v="4"/>
    <x v="1"/>
    <s v="Single"/>
    <x v="0"/>
    <n v="0"/>
  </r>
  <r>
    <x v="719"/>
    <n v="49"/>
    <x v="0"/>
    <n v="1166647"/>
    <x v="1"/>
    <n v="566"/>
    <n v="1424819"/>
    <n v="7.74"/>
    <x v="2"/>
    <n v="365341"/>
    <x v="2"/>
    <x v="0"/>
    <s v="Married"/>
    <x v="0"/>
    <n v="0"/>
  </r>
  <r>
    <x v="720"/>
    <n v="49"/>
    <x v="1"/>
    <n v="1168362"/>
    <x v="1"/>
    <n v="813"/>
    <n v="1426631"/>
    <n v="8.2200000000000006"/>
    <x v="0"/>
    <n v="365391"/>
    <x v="3"/>
    <x v="0"/>
    <s v="Married"/>
    <x v="0"/>
    <n v="0"/>
  </r>
  <r>
    <x v="721"/>
    <n v="50"/>
    <x v="1"/>
    <n v="1168924"/>
    <x v="1"/>
    <n v="789"/>
    <n v="1428886"/>
    <n v="11.31"/>
    <x v="2"/>
    <n v="366148"/>
    <x v="1"/>
    <x v="1"/>
    <s v="Single"/>
    <x v="0"/>
    <n v="0"/>
  </r>
  <r>
    <x v="722"/>
    <n v="50"/>
    <x v="0"/>
    <n v="1170477"/>
    <x v="0"/>
    <n v="332"/>
    <n v="1438114"/>
    <n v="8.69"/>
    <x v="4"/>
    <n v="367257"/>
    <x v="3"/>
    <x v="1"/>
    <s v="Single"/>
    <x v="1"/>
    <n v="0"/>
  </r>
  <r>
    <x v="723"/>
    <n v="50"/>
    <x v="2"/>
    <n v="1171622"/>
    <x v="1"/>
    <n v="800"/>
    <n v="1438231"/>
    <n v="11.86"/>
    <x v="3"/>
    <n v="367585"/>
    <x v="2"/>
    <x v="0"/>
    <s v="Single"/>
    <x v="2"/>
    <n v="0"/>
  </r>
  <r>
    <x v="724"/>
    <n v="50"/>
    <x v="0"/>
    <n v="1175703"/>
    <x v="1"/>
    <n v="315"/>
    <n v="1440458"/>
    <n v="9.5"/>
    <x v="1"/>
    <n v="367623"/>
    <x v="2"/>
    <x v="1"/>
    <s v="Married"/>
    <x v="0"/>
    <n v="1"/>
  </r>
  <r>
    <x v="725"/>
    <n v="50"/>
    <x v="1"/>
    <n v="1176119"/>
    <x v="0"/>
    <n v="781"/>
    <n v="1442853"/>
    <n v="15.27"/>
    <x v="0"/>
    <n v="368220"/>
    <x v="4"/>
    <x v="1"/>
    <s v="Single"/>
    <x v="0"/>
    <n v="0"/>
  </r>
  <r>
    <x v="726"/>
    <n v="50"/>
    <x v="1"/>
    <n v="1177092"/>
    <x v="0"/>
    <n v="730"/>
    <n v="1446069"/>
    <n v="15.81"/>
    <x v="1"/>
    <n v="369000"/>
    <x v="4"/>
    <x v="1"/>
    <s v="Married"/>
    <x v="1"/>
    <n v="0"/>
  </r>
  <r>
    <x v="727"/>
    <n v="50"/>
    <x v="0"/>
    <n v="1178214"/>
    <x v="1"/>
    <n v="752"/>
    <n v="1449383"/>
    <n v="15.48"/>
    <x v="3"/>
    <n v="369337"/>
    <x v="0"/>
    <x v="1"/>
    <s v="Single"/>
    <x v="0"/>
    <n v="1"/>
  </r>
  <r>
    <x v="728"/>
    <n v="50"/>
    <x v="0"/>
    <n v="1179852"/>
    <x v="1"/>
    <n v="362"/>
    <n v="1450206"/>
    <n v="14.41"/>
    <x v="2"/>
    <n v="370366"/>
    <x v="4"/>
    <x v="0"/>
    <s v="Single"/>
    <x v="0"/>
    <n v="0"/>
  </r>
  <r>
    <x v="729"/>
    <n v="50"/>
    <x v="1"/>
    <n v="1180681"/>
    <x v="0"/>
    <n v="415"/>
    <n v="1450735"/>
    <n v="12.55"/>
    <x v="1"/>
    <n v="370378"/>
    <x v="4"/>
    <x v="1"/>
    <s v="Single"/>
    <x v="1"/>
    <n v="0"/>
  </r>
  <r>
    <x v="730"/>
    <n v="50"/>
    <x v="0"/>
    <n v="1183710"/>
    <x v="0"/>
    <n v="534"/>
    <n v="1452827"/>
    <n v="14.42"/>
    <x v="1"/>
    <n v="370919"/>
    <x v="0"/>
    <x v="0"/>
    <s v="Married"/>
    <x v="1"/>
    <n v="0"/>
  </r>
  <r>
    <x v="731"/>
    <n v="50"/>
    <x v="0"/>
    <n v="1184485"/>
    <x v="0"/>
    <n v="497"/>
    <n v="1454217"/>
    <n v="13.03"/>
    <x v="3"/>
    <n v="371230"/>
    <x v="4"/>
    <x v="0"/>
    <s v="Married"/>
    <x v="1"/>
    <n v="0"/>
  </r>
  <r>
    <x v="732"/>
    <n v="50"/>
    <x v="0"/>
    <n v="1184570"/>
    <x v="1"/>
    <n v="563"/>
    <n v="1454406"/>
    <n v="11.4"/>
    <x v="4"/>
    <n v="371727"/>
    <x v="2"/>
    <x v="0"/>
    <s v="Married"/>
    <x v="1"/>
    <n v="1"/>
  </r>
  <r>
    <x v="733"/>
    <n v="50"/>
    <x v="1"/>
    <n v="1186251"/>
    <x v="0"/>
    <n v="481"/>
    <n v="1454921"/>
    <n v="11.32"/>
    <x v="2"/>
    <n v="371751"/>
    <x v="0"/>
    <x v="1"/>
    <s v="Married"/>
    <x v="1"/>
    <n v="1"/>
  </r>
  <r>
    <x v="734"/>
    <n v="50"/>
    <x v="1"/>
    <n v="1186289"/>
    <x v="1"/>
    <n v="570"/>
    <n v="1458902"/>
    <n v="13.24"/>
    <x v="3"/>
    <n v="372211"/>
    <x v="1"/>
    <x v="1"/>
    <s v="Married"/>
    <x v="0"/>
    <n v="1"/>
  </r>
  <r>
    <x v="735"/>
    <n v="50"/>
    <x v="1"/>
    <n v="1186771"/>
    <x v="0"/>
    <n v="872"/>
    <n v="1459604"/>
    <n v="16.34"/>
    <x v="4"/>
    <n v="373514"/>
    <x v="2"/>
    <x v="1"/>
    <s v="Married"/>
    <x v="1"/>
    <n v="0"/>
  </r>
  <r>
    <x v="736"/>
    <n v="50"/>
    <x v="0"/>
    <n v="1189051"/>
    <x v="1"/>
    <n v="586"/>
    <n v="1460648"/>
    <n v="11.79"/>
    <x v="2"/>
    <n v="373876"/>
    <x v="0"/>
    <x v="1"/>
    <s v="Married"/>
    <x v="2"/>
    <n v="0"/>
  </r>
  <r>
    <x v="737"/>
    <n v="50"/>
    <x v="0"/>
    <n v="1190235"/>
    <x v="1"/>
    <n v="526"/>
    <n v="1461587"/>
    <n v="14.77"/>
    <x v="1"/>
    <n v="375313"/>
    <x v="1"/>
    <x v="0"/>
    <s v="Single"/>
    <x v="1"/>
    <n v="0"/>
  </r>
  <r>
    <x v="738"/>
    <n v="50"/>
    <x v="0"/>
    <n v="1190404"/>
    <x v="1"/>
    <n v="867"/>
    <n v="1462582"/>
    <n v="9.19"/>
    <x v="1"/>
    <n v="375376"/>
    <x v="1"/>
    <x v="0"/>
    <s v="Married"/>
    <x v="2"/>
    <n v="0"/>
  </r>
  <r>
    <x v="739"/>
    <n v="50"/>
    <x v="1"/>
    <n v="1190418"/>
    <x v="1"/>
    <n v="887"/>
    <n v="1463409"/>
    <n v="16.440000000000001"/>
    <x v="3"/>
    <n v="375465"/>
    <x v="3"/>
    <x v="0"/>
    <s v="Single"/>
    <x v="2"/>
    <n v="0"/>
  </r>
  <r>
    <x v="740"/>
    <n v="50"/>
    <x v="0"/>
    <n v="1190533"/>
    <x v="0"/>
    <n v="900"/>
    <n v="1465584"/>
    <n v="7.78"/>
    <x v="0"/>
    <n v="375596"/>
    <x v="3"/>
    <x v="1"/>
    <s v="Single"/>
    <x v="1"/>
    <n v="0"/>
  </r>
  <r>
    <x v="741"/>
    <n v="50"/>
    <x v="0"/>
    <n v="1190545"/>
    <x v="1"/>
    <n v="604"/>
    <n v="1466103"/>
    <n v="8.69"/>
    <x v="1"/>
    <n v="376314"/>
    <x v="4"/>
    <x v="0"/>
    <s v="Single"/>
    <x v="0"/>
    <n v="1"/>
  </r>
  <r>
    <x v="742"/>
    <n v="50"/>
    <x v="1"/>
    <n v="1191639"/>
    <x v="0"/>
    <n v="707"/>
    <n v="1466417"/>
    <n v="13.32"/>
    <x v="0"/>
    <n v="377653"/>
    <x v="4"/>
    <x v="0"/>
    <s v="Single"/>
    <x v="1"/>
    <n v="0"/>
  </r>
  <r>
    <x v="743"/>
    <n v="50"/>
    <x v="1"/>
    <n v="1192940"/>
    <x v="1"/>
    <n v="771"/>
    <n v="1469134"/>
    <n v="12.78"/>
    <x v="3"/>
    <n v="377752"/>
    <x v="0"/>
    <x v="1"/>
    <s v="Married"/>
    <x v="2"/>
    <n v="0"/>
  </r>
  <r>
    <x v="744"/>
    <n v="50"/>
    <x v="1"/>
    <n v="1193203"/>
    <x v="1"/>
    <n v="766"/>
    <n v="1470710"/>
    <n v="9.16"/>
    <x v="3"/>
    <n v="378798"/>
    <x v="4"/>
    <x v="1"/>
    <s v="Single"/>
    <x v="2"/>
    <n v="0"/>
  </r>
  <r>
    <x v="745"/>
    <n v="50"/>
    <x v="0"/>
    <n v="1196144"/>
    <x v="0"/>
    <n v="579"/>
    <n v="1470888"/>
    <n v="15.92"/>
    <x v="0"/>
    <n v="378935"/>
    <x v="0"/>
    <x v="0"/>
    <s v="Single"/>
    <x v="1"/>
    <n v="1"/>
  </r>
  <r>
    <x v="746"/>
    <n v="50"/>
    <x v="1"/>
    <n v="1196489"/>
    <x v="1"/>
    <n v="407"/>
    <n v="1471216"/>
    <n v="16.239999999999998"/>
    <x v="0"/>
    <n v="379171"/>
    <x v="2"/>
    <x v="1"/>
    <s v="Married"/>
    <x v="2"/>
    <n v="0"/>
  </r>
  <r>
    <x v="747"/>
    <n v="50"/>
    <x v="1"/>
    <n v="1197047"/>
    <x v="0"/>
    <n v="586"/>
    <n v="1471902"/>
    <n v="9"/>
    <x v="2"/>
    <n v="379912"/>
    <x v="0"/>
    <x v="0"/>
    <s v="Married"/>
    <x v="1"/>
    <n v="0"/>
  </r>
  <r>
    <x v="748"/>
    <n v="50"/>
    <x v="1"/>
    <n v="1198974"/>
    <x v="0"/>
    <n v="709"/>
    <n v="1474556"/>
    <n v="10.66"/>
    <x v="2"/>
    <n v="379947"/>
    <x v="3"/>
    <x v="0"/>
    <s v="Single"/>
    <x v="2"/>
    <n v="0"/>
  </r>
  <r>
    <x v="749"/>
    <n v="50"/>
    <x v="1"/>
    <n v="1204028"/>
    <x v="0"/>
    <n v="617"/>
    <n v="1476713"/>
    <n v="11.34"/>
    <x v="0"/>
    <n v="380113"/>
    <x v="3"/>
    <x v="0"/>
    <s v="Single"/>
    <x v="1"/>
    <n v="0"/>
  </r>
  <r>
    <x v="750"/>
    <n v="51"/>
    <x v="0"/>
    <n v="1206278"/>
    <x v="1"/>
    <n v="525"/>
    <n v="1477611"/>
    <n v="13.05"/>
    <x v="0"/>
    <n v="380468"/>
    <x v="0"/>
    <x v="0"/>
    <s v="Married"/>
    <x v="2"/>
    <n v="0"/>
  </r>
  <r>
    <x v="751"/>
    <n v="51"/>
    <x v="1"/>
    <n v="1206336"/>
    <x v="0"/>
    <n v="717"/>
    <n v="1478245"/>
    <n v="15.24"/>
    <x v="2"/>
    <n v="381525"/>
    <x v="1"/>
    <x v="0"/>
    <s v="Single"/>
    <x v="0"/>
    <n v="0"/>
  </r>
  <r>
    <x v="752"/>
    <n v="51"/>
    <x v="0"/>
    <n v="1206701"/>
    <x v="1"/>
    <n v="323"/>
    <n v="1480528"/>
    <n v="13.77"/>
    <x v="2"/>
    <n v="381811"/>
    <x v="2"/>
    <x v="0"/>
    <s v="Married"/>
    <x v="1"/>
    <n v="0"/>
  </r>
  <r>
    <x v="753"/>
    <n v="51"/>
    <x v="1"/>
    <n v="1206713"/>
    <x v="0"/>
    <n v="711"/>
    <n v="1481323"/>
    <n v="13.83"/>
    <x v="3"/>
    <n v="382048"/>
    <x v="0"/>
    <x v="0"/>
    <s v="Married"/>
    <x v="0"/>
    <n v="0"/>
  </r>
  <r>
    <x v="754"/>
    <n v="51"/>
    <x v="1"/>
    <n v="1206741"/>
    <x v="0"/>
    <n v="658"/>
    <n v="1484418"/>
    <n v="13.09"/>
    <x v="4"/>
    <n v="382606"/>
    <x v="2"/>
    <x v="1"/>
    <s v="Married"/>
    <x v="2"/>
    <n v="0"/>
  </r>
  <r>
    <x v="755"/>
    <n v="51"/>
    <x v="0"/>
    <n v="1207095"/>
    <x v="0"/>
    <n v="472"/>
    <n v="1496334"/>
    <n v="11.04"/>
    <x v="4"/>
    <n v="383090"/>
    <x v="0"/>
    <x v="0"/>
    <s v="Married"/>
    <x v="1"/>
    <n v="0"/>
  </r>
  <r>
    <x v="756"/>
    <n v="51"/>
    <x v="0"/>
    <n v="1207284"/>
    <x v="0"/>
    <n v="745"/>
    <n v="1496958"/>
    <n v="11.32"/>
    <x v="2"/>
    <n v="383580"/>
    <x v="3"/>
    <x v="0"/>
    <s v="Single"/>
    <x v="0"/>
    <n v="0"/>
  </r>
  <r>
    <x v="757"/>
    <n v="51"/>
    <x v="0"/>
    <n v="1207668"/>
    <x v="0"/>
    <n v="688"/>
    <n v="1501141"/>
    <n v="12.7"/>
    <x v="0"/>
    <n v="383667"/>
    <x v="4"/>
    <x v="0"/>
    <s v="Married"/>
    <x v="0"/>
    <n v="0"/>
  </r>
  <r>
    <x v="758"/>
    <n v="51"/>
    <x v="1"/>
    <n v="1207790"/>
    <x v="1"/>
    <n v="785"/>
    <n v="1506173"/>
    <n v="13.39"/>
    <x v="1"/>
    <n v="384101"/>
    <x v="4"/>
    <x v="0"/>
    <s v="Single"/>
    <x v="2"/>
    <n v="1"/>
  </r>
  <r>
    <x v="759"/>
    <n v="51"/>
    <x v="0"/>
    <n v="1208177"/>
    <x v="1"/>
    <n v="382"/>
    <n v="1507520"/>
    <n v="15.99"/>
    <x v="2"/>
    <n v="385893"/>
    <x v="2"/>
    <x v="1"/>
    <s v="Married"/>
    <x v="2"/>
    <n v="0"/>
  </r>
  <r>
    <x v="760"/>
    <n v="51"/>
    <x v="0"/>
    <n v="1208303"/>
    <x v="0"/>
    <n v="810"/>
    <n v="1507910"/>
    <n v="14.73"/>
    <x v="1"/>
    <n v="387204"/>
    <x v="0"/>
    <x v="0"/>
    <s v="Married"/>
    <x v="2"/>
    <n v="0"/>
  </r>
  <r>
    <x v="761"/>
    <n v="51"/>
    <x v="1"/>
    <n v="1210400"/>
    <x v="0"/>
    <n v="695"/>
    <n v="1508884"/>
    <n v="15.28"/>
    <x v="2"/>
    <n v="388088"/>
    <x v="3"/>
    <x v="1"/>
    <s v="Married"/>
    <x v="1"/>
    <n v="0"/>
  </r>
  <r>
    <x v="762"/>
    <n v="51"/>
    <x v="0"/>
    <n v="1212138"/>
    <x v="0"/>
    <n v="432"/>
    <n v="1510692"/>
    <n v="15.31"/>
    <x v="1"/>
    <n v="388109"/>
    <x v="2"/>
    <x v="0"/>
    <s v="Married"/>
    <x v="2"/>
    <n v="0"/>
  </r>
  <r>
    <x v="763"/>
    <n v="51"/>
    <x v="0"/>
    <n v="1212157"/>
    <x v="1"/>
    <n v="581"/>
    <n v="1512746"/>
    <n v="8.4"/>
    <x v="3"/>
    <n v="388571"/>
    <x v="0"/>
    <x v="0"/>
    <s v="Single"/>
    <x v="2"/>
    <n v="0"/>
  </r>
  <r>
    <x v="764"/>
    <n v="51"/>
    <x v="2"/>
    <n v="1212519"/>
    <x v="1"/>
    <n v="640"/>
    <n v="1513080"/>
    <n v="8.59"/>
    <x v="0"/>
    <n v="388639"/>
    <x v="0"/>
    <x v="1"/>
    <s v="Married"/>
    <x v="2"/>
    <n v="0"/>
  </r>
  <r>
    <x v="765"/>
    <n v="51"/>
    <x v="0"/>
    <n v="1212539"/>
    <x v="1"/>
    <n v="575"/>
    <n v="1513416"/>
    <n v="11.97"/>
    <x v="2"/>
    <n v="388972"/>
    <x v="1"/>
    <x v="0"/>
    <s v="Married"/>
    <x v="1"/>
    <n v="0"/>
  </r>
  <r>
    <x v="766"/>
    <n v="51"/>
    <x v="0"/>
    <n v="1215374"/>
    <x v="1"/>
    <n v="300"/>
    <n v="1514745"/>
    <n v="11.4"/>
    <x v="2"/>
    <n v="389461"/>
    <x v="4"/>
    <x v="1"/>
    <s v="Single"/>
    <x v="2"/>
    <n v="0"/>
  </r>
  <r>
    <x v="767"/>
    <n v="51"/>
    <x v="0"/>
    <n v="1216119"/>
    <x v="0"/>
    <n v="802"/>
    <n v="1518902"/>
    <n v="13.9"/>
    <x v="1"/>
    <n v="389461"/>
    <x v="2"/>
    <x v="0"/>
    <s v="Married"/>
    <x v="2"/>
    <n v="0"/>
  </r>
  <r>
    <x v="768"/>
    <n v="51"/>
    <x v="0"/>
    <n v="1217018"/>
    <x v="0"/>
    <n v="784"/>
    <n v="1521841"/>
    <n v="10.119999999999999"/>
    <x v="4"/>
    <n v="390038"/>
    <x v="2"/>
    <x v="0"/>
    <s v="Married"/>
    <x v="2"/>
    <n v="0"/>
  </r>
  <r>
    <x v="769"/>
    <n v="51"/>
    <x v="1"/>
    <n v="1220766"/>
    <x v="1"/>
    <n v="395"/>
    <n v="1522289"/>
    <n v="13.86"/>
    <x v="0"/>
    <n v="390758"/>
    <x v="0"/>
    <x v="1"/>
    <s v="Single"/>
    <x v="0"/>
    <n v="1"/>
  </r>
  <r>
    <x v="770"/>
    <n v="51"/>
    <x v="0"/>
    <n v="1221366"/>
    <x v="1"/>
    <n v="648"/>
    <n v="1522401"/>
    <n v="13.71"/>
    <x v="2"/>
    <n v="390786"/>
    <x v="2"/>
    <x v="1"/>
    <s v="Married"/>
    <x v="1"/>
    <n v="0"/>
  </r>
  <r>
    <x v="771"/>
    <n v="51"/>
    <x v="0"/>
    <n v="1222965"/>
    <x v="0"/>
    <n v="812"/>
    <n v="1526748"/>
    <n v="9.94"/>
    <x v="0"/>
    <n v="390966"/>
    <x v="4"/>
    <x v="0"/>
    <s v="Single"/>
    <x v="1"/>
    <n v="0"/>
  </r>
  <r>
    <x v="772"/>
    <n v="52"/>
    <x v="0"/>
    <n v="1225357"/>
    <x v="0"/>
    <n v="396"/>
    <n v="1526867"/>
    <n v="9"/>
    <x v="3"/>
    <n v="390982"/>
    <x v="0"/>
    <x v="0"/>
    <s v="Single"/>
    <x v="1"/>
    <n v="0"/>
  </r>
  <r>
    <x v="773"/>
    <n v="52"/>
    <x v="0"/>
    <n v="1226237"/>
    <x v="0"/>
    <n v="714"/>
    <n v="1530071"/>
    <n v="15.34"/>
    <x v="0"/>
    <n v="391062"/>
    <x v="1"/>
    <x v="1"/>
    <s v="Married"/>
    <x v="2"/>
    <n v="0"/>
  </r>
  <r>
    <x v="774"/>
    <n v="52"/>
    <x v="0"/>
    <n v="1227145"/>
    <x v="1"/>
    <n v="657"/>
    <n v="1534082"/>
    <n v="16.190000000000001"/>
    <x v="3"/>
    <n v="391352"/>
    <x v="4"/>
    <x v="1"/>
    <s v="Single"/>
    <x v="1"/>
    <n v="0"/>
  </r>
  <r>
    <x v="775"/>
    <n v="52"/>
    <x v="0"/>
    <n v="1228460"/>
    <x v="1"/>
    <n v="465"/>
    <n v="1534556"/>
    <n v="15.84"/>
    <x v="0"/>
    <n v="391852"/>
    <x v="2"/>
    <x v="0"/>
    <s v="Single"/>
    <x v="1"/>
    <n v="1"/>
  </r>
  <r>
    <x v="776"/>
    <n v="52"/>
    <x v="0"/>
    <n v="1228604"/>
    <x v="1"/>
    <n v="641"/>
    <n v="1535068"/>
    <n v="10.210000000000001"/>
    <x v="2"/>
    <n v="392897"/>
    <x v="4"/>
    <x v="0"/>
    <s v="Single"/>
    <x v="0"/>
    <n v="0"/>
  </r>
  <r>
    <x v="777"/>
    <n v="52"/>
    <x v="0"/>
    <n v="1228785"/>
    <x v="0"/>
    <n v="645"/>
    <n v="1536793"/>
    <n v="13.65"/>
    <x v="2"/>
    <n v="394148"/>
    <x v="2"/>
    <x v="1"/>
    <s v="Single"/>
    <x v="1"/>
    <n v="0"/>
  </r>
  <r>
    <x v="778"/>
    <n v="52"/>
    <x v="1"/>
    <n v="1231063"/>
    <x v="0"/>
    <n v="333"/>
    <n v="1538580"/>
    <n v="11.43"/>
    <x v="3"/>
    <n v="394273"/>
    <x v="4"/>
    <x v="0"/>
    <s v="Married"/>
    <x v="2"/>
    <n v="0"/>
  </r>
  <r>
    <x v="779"/>
    <n v="52"/>
    <x v="1"/>
    <n v="1231640"/>
    <x v="1"/>
    <n v="390"/>
    <n v="1541305"/>
    <n v="9.89"/>
    <x v="2"/>
    <n v="394420"/>
    <x v="0"/>
    <x v="1"/>
    <s v="Married"/>
    <x v="2"/>
    <n v="1"/>
  </r>
  <r>
    <x v="780"/>
    <n v="52"/>
    <x v="2"/>
    <n v="1234225"/>
    <x v="1"/>
    <n v="663"/>
    <n v="1543156"/>
    <n v="11.75"/>
    <x v="3"/>
    <n v="394601"/>
    <x v="1"/>
    <x v="1"/>
    <s v="Single"/>
    <x v="1"/>
    <n v="0"/>
  </r>
  <r>
    <x v="781"/>
    <n v="52"/>
    <x v="0"/>
    <n v="1234326"/>
    <x v="0"/>
    <n v="453"/>
    <n v="1544247"/>
    <n v="14.34"/>
    <x v="1"/>
    <n v="394662"/>
    <x v="4"/>
    <x v="0"/>
    <s v="Single"/>
    <x v="0"/>
    <n v="0"/>
  </r>
  <r>
    <x v="782"/>
    <n v="52"/>
    <x v="1"/>
    <n v="1234339"/>
    <x v="1"/>
    <n v="350"/>
    <n v="1545004"/>
    <n v="9.92"/>
    <x v="4"/>
    <n v="395033"/>
    <x v="0"/>
    <x v="1"/>
    <s v="Married"/>
    <x v="0"/>
    <n v="0"/>
  </r>
  <r>
    <x v="783"/>
    <n v="52"/>
    <x v="1"/>
    <n v="1235797"/>
    <x v="0"/>
    <n v="648"/>
    <n v="1545633"/>
    <n v="13.16"/>
    <x v="2"/>
    <n v="396392"/>
    <x v="3"/>
    <x v="1"/>
    <s v="Married"/>
    <x v="0"/>
    <n v="0"/>
  </r>
  <r>
    <x v="784"/>
    <n v="52"/>
    <x v="1"/>
    <n v="1237733"/>
    <x v="0"/>
    <n v="711"/>
    <n v="1553450"/>
    <n v="8.11"/>
    <x v="0"/>
    <n v="396392"/>
    <x v="2"/>
    <x v="1"/>
    <s v="Single"/>
    <x v="2"/>
    <n v="0"/>
  </r>
  <r>
    <x v="785"/>
    <n v="52"/>
    <x v="1"/>
    <n v="1238239"/>
    <x v="1"/>
    <n v="471"/>
    <n v="1555219"/>
    <n v="14.94"/>
    <x v="0"/>
    <n v="398777"/>
    <x v="1"/>
    <x v="1"/>
    <s v="Married"/>
    <x v="2"/>
    <n v="0"/>
  </r>
  <r>
    <x v="786"/>
    <n v="52"/>
    <x v="1"/>
    <n v="1238402"/>
    <x v="1"/>
    <n v="505"/>
    <n v="1557956"/>
    <n v="10.8"/>
    <x v="1"/>
    <n v="398779"/>
    <x v="4"/>
    <x v="0"/>
    <s v="Married"/>
    <x v="1"/>
    <n v="1"/>
  </r>
  <r>
    <x v="787"/>
    <n v="53"/>
    <x v="1"/>
    <n v="1243198"/>
    <x v="1"/>
    <n v="843"/>
    <n v="1564472"/>
    <n v="14.45"/>
    <x v="4"/>
    <n v="398850"/>
    <x v="0"/>
    <x v="0"/>
    <s v="Married"/>
    <x v="1"/>
    <n v="0"/>
  </r>
  <r>
    <x v="788"/>
    <n v="53"/>
    <x v="1"/>
    <n v="1248463"/>
    <x v="1"/>
    <n v="856"/>
    <n v="1566278"/>
    <n v="10.7"/>
    <x v="3"/>
    <n v="399212"/>
    <x v="4"/>
    <x v="1"/>
    <s v="Married"/>
    <x v="2"/>
    <n v="0"/>
  </r>
  <r>
    <x v="789"/>
    <n v="53"/>
    <x v="1"/>
    <n v="1249700"/>
    <x v="1"/>
    <n v="858"/>
    <n v="1568204"/>
    <n v="11.37"/>
    <x v="0"/>
    <n v="399543"/>
    <x v="2"/>
    <x v="0"/>
    <s v="Single"/>
    <x v="2"/>
    <n v="0"/>
  </r>
  <r>
    <x v="790"/>
    <n v="53"/>
    <x v="0"/>
    <n v="1251098"/>
    <x v="0"/>
    <n v="824"/>
    <n v="1569337"/>
    <n v="8.7799999999999994"/>
    <x v="1"/>
    <n v="399664"/>
    <x v="1"/>
    <x v="1"/>
    <s v="Married"/>
    <x v="2"/>
    <n v="0"/>
  </r>
  <r>
    <x v="791"/>
    <n v="53"/>
    <x v="2"/>
    <n v="1252463"/>
    <x v="1"/>
    <n v="752"/>
    <n v="1575790"/>
    <n v="14.83"/>
    <x v="4"/>
    <n v="399871"/>
    <x v="0"/>
    <x v="0"/>
    <s v="Single"/>
    <x v="0"/>
    <n v="1"/>
  </r>
  <r>
    <x v="792"/>
    <n v="53"/>
    <x v="0"/>
    <n v="1253101"/>
    <x v="0"/>
    <n v="851"/>
    <n v="1585838"/>
    <n v="9.92"/>
    <x v="1"/>
    <n v="401785"/>
    <x v="0"/>
    <x v="1"/>
    <s v="Married"/>
    <x v="1"/>
    <n v="0"/>
  </r>
  <r>
    <x v="793"/>
    <n v="53"/>
    <x v="0"/>
    <n v="1253110"/>
    <x v="1"/>
    <n v="361"/>
    <n v="1591812"/>
    <n v="15.46"/>
    <x v="4"/>
    <n v="402219"/>
    <x v="2"/>
    <x v="0"/>
    <s v="Married"/>
    <x v="2"/>
    <n v="0"/>
  </r>
  <r>
    <x v="794"/>
    <n v="53"/>
    <x v="1"/>
    <n v="1255392"/>
    <x v="1"/>
    <n v="628"/>
    <n v="1591943"/>
    <n v="9.91"/>
    <x v="1"/>
    <n v="402429"/>
    <x v="2"/>
    <x v="1"/>
    <s v="Married"/>
    <x v="2"/>
    <n v="0"/>
  </r>
  <r>
    <x v="795"/>
    <n v="53"/>
    <x v="0"/>
    <n v="1255532"/>
    <x v="0"/>
    <n v="511"/>
    <n v="1593237"/>
    <n v="16.43"/>
    <x v="4"/>
    <n v="402988"/>
    <x v="3"/>
    <x v="1"/>
    <s v="Single"/>
    <x v="1"/>
    <n v="1"/>
  </r>
  <r>
    <x v="796"/>
    <n v="53"/>
    <x v="1"/>
    <n v="1255580"/>
    <x v="1"/>
    <n v="623"/>
    <n v="1593810"/>
    <n v="8.15"/>
    <x v="4"/>
    <n v="403883"/>
    <x v="1"/>
    <x v="1"/>
    <s v="Single"/>
    <x v="1"/>
    <n v="0"/>
  </r>
  <r>
    <x v="797"/>
    <n v="53"/>
    <x v="1"/>
    <n v="1256154"/>
    <x v="0"/>
    <n v="371"/>
    <n v="1594958"/>
    <n v="14.49"/>
    <x v="1"/>
    <n v="404759"/>
    <x v="4"/>
    <x v="0"/>
    <s v="Single"/>
    <x v="2"/>
    <n v="0"/>
  </r>
  <r>
    <x v="798"/>
    <n v="53"/>
    <x v="1"/>
    <n v="1256421"/>
    <x v="1"/>
    <n v="618"/>
    <n v="1601331"/>
    <n v="12.8"/>
    <x v="0"/>
    <n v="405319"/>
    <x v="2"/>
    <x v="0"/>
    <s v="Single"/>
    <x v="2"/>
    <n v="0"/>
  </r>
  <r>
    <x v="799"/>
    <n v="53"/>
    <x v="0"/>
    <n v="1257381"/>
    <x v="1"/>
    <n v="895"/>
    <n v="1604057"/>
    <n v="14.61"/>
    <x v="4"/>
    <n v="406316"/>
    <x v="2"/>
    <x v="0"/>
    <s v="Single"/>
    <x v="1"/>
    <n v="0"/>
  </r>
  <r>
    <x v="800"/>
    <n v="53"/>
    <x v="0"/>
    <n v="1259537"/>
    <x v="0"/>
    <n v="320"/>
    <n v="1605652"/>
    <n v="13.73"/>
    <x v="3"/>
    <n v="407357"/>
    <x v="3"/>
    <x v="1"/>
    <s v="Married"/>
    <x v="2"/>
    <n v="0"/>
  </r>
  <r>
    <x v="801"/>
    <n v="53"/>
    <x v="0"/>
    <n v="1259631"/>
    <x v="0"/>
    <n v="757"/>
    <n v="1607135"/>
    <n v="8.57"/>
    <x v="1"/>
    <n v="407494"/>
    <x v="1"/>
    <x v="0"/>
    <s v="Married"/>
    <x v="0"/>
    <n v="1"/>
  </r>
  <r>
    <x v="802"/>
    <n v="53"/>
    <x v="1"/>
    <n v="1259652"/>
    <x v="1"/>
    <n v="564"/>
    <n v="1608765"/>
    <n v="13.43"/>
    <x v="3"/>
    <n v="407688"/>
    <x v="0"/>
    <x v="1"/>
    <s v="Married"/>
    <x v="1"/>
    <n v="0"/>
  </r>
  <r>
    <x v="803"/>
    <n v="53"/>
    <x v="1"/>
    <n v="1259692"/>
    <x v="0"/>
    <n v="857"/>
    <n v="1610229"/>
    <n v="8.89"/>
    <x v="1"/>
    <n v="408353"/>
    <x v="0"/>
    <x v="1"/>
    <s v="Married"/>
    <x v="2"/>
    <n v="0"/>
  </r>
  <r>
    <x v="804"/>
    <n v="53"/>
    <x v="0"/>
    <n v="1261011"/>
    <x v="1"/>
    <n v="438"/>
    <n v="1611809"/>
    <n v="10.97"/>
    <x v="1"/>
    <n v="408420"/>
    <x v="4"/>
    <x v="0"/>
    <s v="Married"/>
    <x v="2"/>
    <n v="1"/>
  </r>
  <r>
    <x v="805"/>
    <n v="53"/>
    <x v="1"/>
    <n v="1262699"/>
    <x v="1"/>
    <n v="346"/>
    <n v="1611870"/>
    <n v="7.73"/>
    <x v="3"/>
    <n v="408837"/>
    <x v="3"/>
    <x v="1"/>
    <s v="Married"/>
    <x v="2"/>
    <n v="1"/>
  </r>
  <r>
    <x v="806"/>
    <n v="53"/>
    <x v="1"/>
    <n v="1262759"/>
    <x v="0"/>
    <n v="530"/>
    <n v="1612033"/>
    <n v="12.15"/>
    <x v="0"/>
    <n v="409232"/>
    <x v="1"/>
    <x v="0"/>
    <s v="Single"/>
    <x v="0"/>
    <n v="0"/>
  </r>
  <r>
    <x v="807"/>
    <n v="53"/>
    <x v="0"/>
    <n v="1264782"/>
    <x v="0"/>
    <n v="878"/>
    <n v="1612890"/>
    <n v="13.66"/>
    <x v="0"/>
    <n v="409626"/>
    <x v="1"/>
    <x v="1"/>
    <s v="Married"/>
    <x v="0"/>
    <n v="1"/>
  </r>
  <r>
    <x v="808"/>
    <n v="53"/>
    <x v="1"/>
    <n v="1266709"/>
    <x v="0"/>
    <n v="380"/>
    <n v="1614680"/>
    <n v="8.59"/>
    <x v="1"/>
    <n v="409644"/>
    <x v="4"/>
    <x v="0"/>
    <s v="Single"/>
    <x v="2"/>
    <n v="0"/>
  </r>
  <r>
    <x v="809"/>
    <n v="54"/>
    <x v="0"/>
    <n v="1267262"/>
    <x v="1"/>
    <n v="514"/>
    <n v="1617672"/>
    <n v="16.05"/>
    <x v="4"/>
    <n v="409983"/>
    <x v="1"/>
    <x v="1"/>
    <s v="Married"/>
    <x v="2"/>
    <n v="0"/>
  </r>
  <r>
    <x v="810"/>
    <n v="54"/>
    <x v="1"/>
    <n v="1268680"/>
    <x v="1"/>
    <n v="836"/>
    <n v="1619007"/>
    <n v="11.71"/>
    <x v="1"/>
    <n v="410793"/>
    <x v="3"/>
    <x v="1"/>
    <s v="Single"/>
    <x v="2"/>
    <n v="0"/>
  </r>
  <r>
    <x v="811"/>
    <n v="54"/>
    <x v="1"/>
    <n v="1269418"/>
    <x v="0"/>
    <n v="563"/>
    <n v="1621651"/>
    <n v="14.93"/>
    <x v="0"/>
    <n v="411391"/>
    <x v="3"/>
    <x v="1"/>
    <s v="Single"/>
    <x v="2"/>
    <n v="0"/>
  </r>
  <r>
    <x v="812"/>
    <n v="54"/>
    <x v="1"/>
    <n v="1272193"/>
    <x v="1"/>
    <m/>
    <n v="1623821"/>
    <n v="13.45"/>
    <x v="4"/>
    <n v="412492"/>
    <x v="3"/>
    <x v="0"/>
    <s v="Single"/>
    <x v="1"/>
    <n v="0"/>
  </r>
  <r>
    <x v="813"/>
    <n v="54"/>
    <x v="1"/>
    <n v="1272237"/>
    <x v="0"/>
    <n v="425"/>
    <n v="1626191"/>
    <n v="14.03"/>
    <x v="1"/>
    <n v="412820"/>
    <x v="2"/>
    <x v="0"/>
    <s v="Single"/>
    <x v="0"/>
    <n v="0"/>
  </r>
  <r>
    <x v="814"/>
    <n v="54"/>
    <x v="0"/>
    <n v="1273886"/>
    <x v="0"/>
    <n v="789"/>
    <n v="1629077"/>
    <n v="11.03"/>
    <x v="0"/>
    <n v="413232"/>
    <x v="3"/>
    <x v="0"/>
    <s v="Married"/>
    <x v="1"/>
    <n v="0"/>
  </r>
  <r>
    <x v="815"/>
    <n v="54"/>
    <x v="1"/>
    <n v="1275133"/>
    <x v="0"/>
    <n v="330"/>
    <n v="1630438"/>
    <n v="11.88"/>
    <x v="4"/>
    <n v="413324"/>
    <x v="1"/>
    <x v="0"/>
    <s v="Single"/>
    <x v="0"/>
    <n v="1"/>
  </r>
  <r>
    <x v="816"/>
    <n v="54"/>
    <x v="1"/>
    <n v="1276527"/>
    <x v="0"/>
    <n v="388"/>
    <n v="1630699"/>
    <n v="15.09"/>
    <x v="2"/>
    <n v="413879"/>
    <x v="4"/>
    <x v="1"/>
    <s v="Married"/>
    <x v="1"/>
    <n v="0"/>
  </r>
  <r>
    <x v="817"/>
    <n v="54"/>
    <x v="0"/>
    <n v="1276763"/>
    <x v="1"/>
    <n v="620"/>
    <n v="1634902"/>
    <n v="11.2"/>
    <x v="3"/>
    <n v="414170"/>
    <x v="3"/>
    <x v="0"/>
    <s v="Married"/>
    <x v="0"/>
    <n v="0"/>
  </r>
  <r>
    <x v="818"/>
    <n v="54"/>
    <x v="0"/>
    <n v="1278158"/>
    <x v="1"/>
    <n v="808"/>
    <n v="1635765"/>
    <n v="8.4"/>
    <x v="0"/>
    <n v="414475"/>
    <x v="0"/>
    <x v="1"/>
    <s v="Married"/>
    <x v="1"/>
    <n v="0"/>
  </r>
  <r>
    <x v="819"/>
    <n v="54"/>
    <x v="1"/>
    <n v="1279284"/>
    <x v="0"/>
    <n v="344"/>
    <n v="1636091"/>
    <n v="11.94"/>
    <x v="2"/>
    <n v="414530"/>
    <x v="2"/>
    <x v="0"/>
    <s v="Single"/>
    <x v="2"/>
    <n v="0"/>
  </r>
  <r>
    <x v="820"/>
    <n v="54"/>
    <x v="0"/>
    <n v="1282567"/>
    <x v="1"/>
    <n v="503"/>
    <n v="1637986"/>
    <n v="11.83"/>
    <x v="0"/>
    <n v="414863"/>
    <x v="3"/>
    <x v="1"/>
    <s v="Married"/>
    <x v="2"/>
    <n v="1"/>
  </r>
  <r>
    <x v="821"/>
    <n v="54"/>
    <x v="0"/>
    <n v="1283959"/>
    <x v="1"/>
    <n v="617"/>
    <n v="1638283"/>
    <n v="12.17"/>
    <x v="1"/>
    <n v="414944"/>
    <x v="1"/>
    <x v="1"/>
    <s v="Single"/>
    <x v="0"/>
    <n v="0"/>
  </r>
  <r>
    <x v="822"/>
    <n v="54"/>
    <x v="0"/>
    <n v="1285079"/>
    <x v="0"/>
    <n v="352"/>
    <n v="1639451"/>
    <n v="15.09"/>
    <x v="4"/>
    <n v="415712"/>
    <x v="2"/>
    <x v="1"/>
    <s v="Single"/>
    <x v="2"/>
    <n v="1"/>
  </r>
  <r>
    <x v="823"/>
    <n v="54"/>
    <x v="0"/>
    <n v="1287564"/>
    <x v="1"/>
    <n v="549"/>
    <n v="1643333"/>
    <n v="8.7100000000000009"/>
    <x v="3"/>
    <n v="416655"/>
    <x v="2"/>
    <x v="0"/>
    <s v="Single"/>
    <x v="0"/>
    <n v="0"/>
  </r>
  <r>
    <x v="824"/>
    <n v="54"/>
    <x v="1"/>
    <n v="1287648"/>
    <x v="1"/>
    <n v="327"/>
    <n v="1644640"/>
    <n v="12.6"/>
    <x v="3"/>
    <n v="417263"/>
    <x v="2"/>
    <x v="0"/>
    <s v="Single"/>
    <x v="0"/>
    <n v="0"/>
  </r>
  <r>
    <x v="825"/>
    <n v="54"/>
    <x v="0"/>
    <n v="1287658"/>
    <x v="0"/>
    <n v="477"/>
    <n v="1644859"/>
    <n v="10.78"/>
    <x v="3"/>
    <n v="417642"/>
    <x v="0"/>
    <x v="0"/>
    <s v="Single"/>
    <x v="1"/>
    <n v="0"/>
  </r>
  <r>
    <x v="826"/>
    <n v="54"/>
    <x v="1"/>
    <n v="1288480"/>
    <x v="1"/>
    <n v="665"/>
    <n v="1645660"/>
    <n v="11.46"/>
    <x v="1"/>
    <n v="418327"/>
    <x v="4"/>
    <x v="0"/>
    <s v="Single"/>
    <x v="0"/>
    <n v="0"/>
  </r>
  <r>
    <x v="827"/>
    <n v="54"/>
    <x v="1"/>
    <n v="1288832"/>
    <x v="1"/>
    <n v="428"/>
    <n v="1646999"/>
    <n v="9.5399999999999991"/>
    <x v="4"/>
    <n v="418349"/>
    <x v="2"/>
    <x v="1"/>
    <s v="Single"/>
    <x v="1"/>
    <n v="0"/>
  </r>
  <r>
    <x v="828"/>
    <n v="54"/>
    <x v="1"/>
    <n v="1292886"/>
    <x v="0"/>
    <n v="410"/>
    <n v="1652645"/>
    <n v="7.9"/>
    <x v="3"/>
    <n v="419344"/>
    <x v="1"/>
    <x v="1"/>
    <s v="Married"/>
    <x v="1"/>
    <n v="0"/>
  </r>
  <r>
    <x v="829"/>
    <n v="54"/>
    <x v="1"/>
    <n v="1293147"/>
    <x v="1"/>
    <n v="782"/>
    <n v="1657350"/>
    <n v="15.19"/>
    <x v="4"/>
    <n v="419936"/>
    <x v="3"/>
    <x v="1"/>
    <s v="Married"/>
    <x v="1"/>
    <n v="0"/>
  </r>
  <r>
    <x v="830"/>
    <n v="54"/>
    <x v="0"/>
    <n v="1295021"/>
    <x v="0"/>
    <n v="620"/>
    <n v="1660491"/>
    <n v="12.25"/>
    <x v="3"/>
    <n v="420321"/>
    <x v="4"/>
    <x v="0"/>
    <s v="Single"/>
    <x v="2"/>
    <n v="0"/>
  </r>
  <r>
    <x v="831"/>
    <n v="54"/>
    <x v="1"/>
    <n v="1296504"/>
    <x v="1"/>
    <n v="304"/>
    <n v="1661968"/>
    <n v="8.0399999999999991"/>
    <x v="3"/>
    <n v="420573"/>
    <x v="3"/>
    <x v="1"/>
    <s v="Married"/>
    <x v="0"/>
    <n v="0"/>
  </r>
  <r>
    <x v="832"/>
    <n v="54"/>
    <x v="2"/>
    <n v="1297348"/>
    <x v="1"/>
    <n v="684"/>
    <n v="1663158"/>
    <n v="15"/>
    <x v="1"/>
    <n v="421031"/>
    <x v="3"/>
    <x v="1"/>
    <s v="Single"/>
    <x v="0"/>
    <n v="0"/>
  </r>
  <r>
    <x v="833"/>
    <n v="54"/>
    <x v="2"/>
    <n v="1299574"/>
    <x v="1"/>
    <n v="335"/>
    <n v="1665276"/>
    <n v="11.28"/>
    <x v="2"/>
    <n v="421946"/>
    <x v="0"/>
    <x v="1"/>
    <s v="Married"/>
    <x v="1"/>
    <n v="0"/>
  </r>
  <r>
    <x v="834"/>
    <n v="54"/>
    <x v="0"/>
    <n v="1300184"/>
    <x v="1"/>
    <n v="841"/>
    <n v="1670601"/>
    <n v="7.93"/>
    <x v="0"/>
    <n v="422087"/>
    <x v="0"/>
    <x v="0"/>
    <s v="Single"/>
    <x v="2"/>
    <n v="0"/>
  </r>
  <r>
    <x v="835"/>
    <n v="54"/>
    <x v="1"/>
    <n v="1300918"/>
    <x v="0"/>
    <n v="555"/>
    <n v="1672484"/>
    <n v="14.05"/>
    <x v="3"/>
    <n v="423199"/>
    <x v="0"/>
    <x v="0"/>
    <s v="Single"/>
    <x v="0"/>
    <n v="0"/>
  </r>
  <r>
    <x v="836"/>
    <n v="54"/>
    <x v="0"/>
    <n v="1302951"/>
    <x v="0"/>
    <n v="320"/>
    <n v="1672544"/>
    <n v="8.8699999999999992"/>
    <x v="3"/>
    <n v="423342"/>
    <x v="0"/>
    <x v="1"/>
    <s v="Married"/>
    <x v="1"/>
    <n v="1"/>
  </r>
  <r>
    <x v="837"/>
    <n v="54"/>
    <x v="1"/>
    <n v="1302977"/>
    <x v="1"/>
    <n v="338"/>
    <n v="1674017"/>
    <n v="14.7"/>
    <x v="2"/>
    <n v="423798"/>
    <x v="4"/>
    <x v="0"/>
    <s v="Single"/>
    <x v="2"/>
    <n v="0"/>
  </r>
  <r>
    <x v="838"/>
    <n v="55"/>
    <x v="0"/>
    <n v="1304418"/>
    <x v="1"/>
    <n v="688"/>
    <n v="1675223"/>
    <n v="8.69"/>
    <x v="0"/>
    <n v="425305"/>
    <x v="4"/>
    <x v="0"/>
    <s v="Single"/>
    <x v="2"/>
    <n v="1"/>
  </r>
  <r>
    <x v="839"/>
    <n v="55"/>
    <x v="1"/>
    <n v="1304989"/>
    <x v="0"/>
    <n v="319"/>
    <n v="1675943"/>
    <n v="10.02"/>
    <x v="2"/>
    <n v="425714"/>
    <x v="3"/>
    <x v="1"/>
    <s v="Single"/>
    <x v="1"/>
    <n v="1"/>
  </r>
  <r>
    <x v="840"/>
    <n v="55"/>
    <x v="0"/>
    <n v="1308478"/>
    <x v="1"/>
    <n v="824"/>
    <n v="1678270"/>
    <n v="11.47"/>
    <x v="1"/>
    <n v="425725"/>
    <x v="1"/>
    <x v="0"/>
    <s v="Single"/>
    <x v="0"/>
    <n v="0"/>
  </r>
  <r>
    <x v="841"/>
    <n v="55"/>
    <x v="1"/>
    <n v="1309593"/>
    <x v="0"/>
    <n v="380"/>
    <n v="1679260"/>
    <n v="7.95"/>
    <x v="3"/>
    <n v="426951"/>
    <x v="4"/>
    <x v="1"/>
    <s v="Married"/>
    <x v="0"/>
    <n v="1"/>
  </r>
  <r>
    <x v="842"/>
    <n v="55"/>
    <x v="1"/>
    <n v="1310819"/>
    <x v="0"/>
    <n v="819"/>
    <n v="1679411"/>
    <n v="11.43"/>
    <x v="0"/>
    <n v="427241"/>
    <x v="4"/>
    <x v="1"/>
    <s v="Single"/>
    <x v="0"/>
    <n v="0"/>
  </r>
  <r>
    <x v="843"/>
    <n v="55"/>
    <x v="0"/>
    <n v="1311859"/>
    <x v="0"/>
    <n v="786"/>
    <n v="1679584"/>
    <n v="11.09"/>
    <x v="2"/>
    <n v="427270"/>
    <x v="2"/>
    <x v="0"/>
    <s v="Single"/>
    <x v="1"/>
    <n v="0"/>
  </r>
  <r>
    <x v="844"/>
    <n v="55"/>
    <x v="1"/>
    <n v="1311997"/>
    <x v="1"/>
    <n v="336"/>
    <n v="1680451"/>
    <n v="10.67"/>
    <x v="4"/>
    <n v="427321"/>
    <x v="1"/>
    <x v="0"/>
    <s v="Single"/>
    <x v="2"/>
    <n v="0"/>
  </r>
  <r>
    <x v="845"/>
    <n v="55"/>
    <x v="1"/>
    <n v="1312846"/>
    <x v="1"/>
    <n v="368"/>
    <n v="1680757"/>
    <n v="12.3"/>
    <x v="1"/>
    <n v="427469"/>
    <x v="3"/>
    <x v="1"/>
    <s v="Single"/>
    <x v="0"/>
    <n v="1"/>
  </r>
  <r>
    <x v="846"/>
    <n v="55"/>
    <x v="1"/>
    <n v="1314535"/>
    <x v="1"/>
    <n v="598"/>
    <n v="1683302"/>
    <n v="11.56"/>
    <x v="4"/>
    <n v="428433"/>
    <x v="0"/>
    <x v="0"/>
    <s v="Single"/>
    <x v="2"/>
    <n v="1"/>
  </r>
  <r>
    <x v="847"/>
    <n v="55"/>
    <x v="0"/>
    <n v="1317107"/>
    <x v="0"/>
    <n v="861"/>
    <n v="1684132"/>
    <n v="11.87"/>
    <x v="1"/>
    <n v="428514"/>
    <x v="2"/>
    <x v="1"/>
    <s v="Single"/>
    <x v="1"/>
    <n v="0"/>
  </r>
  <r>
    <x v="848"/>
    <n v="55"/>
    <x v="0"/>
    <n v="1317192"/>
    <x v="0"/>
    <n v="329"/>
    <n v="1684362"/>
    <n v="7.59"/>
    <x v="3"/>
    <n v="428790"/>
    <x v="0"/>
    <x v="0"/>
    <s v="Married"/>
    <x v="1"/>
    <n v="1"/>
  </r>
  <r>
    <x v="849"/>
    <n v="55"/>
    <x v="1"/>
    <n v="1317783"/>
    <x v="1"/>
    <n v="489"/>
    <n v="1684750"/>
    <n v="15.05"/>
    <x v="0"/>
    <n v="428790"/>
    <x v="1"/>
    <x v="0"/>
    <s v="Married"/>
    <x v="0"/>
    <n v="0"/>
  </r>
  <r>
    <x v="850"/>
    <n v="55"/>
    <x v="0"/>
    <n v="1318008"/>
    <x v="0"/>
    <n v="708"/>
    <n v="1689300"/>
    <n v="11.63"/>
    <x v="1"/>
    <n v="429089"/>
    <x v="3"/>
    <x v="1"/>
    <s v="Married"/>
    <x v="2"/>
    <n v="0"/>
  </r>
  <r>
    <x v="851"/>
    <n v="55"/>
    <x v="0"/>
    <n v="1320543"/>
    <x v="1"/>
    <n v="487"/>
    <n v="1692493"/>
    <n v="14.15"/>
    <x v="4"/>
    <n v="429541"/>
    <x v="4"/>
    <x v="1"/>
    <s v="Single"/>
    <x v="0"/>
    <n v="0"/>
  </r>
  <r>
    <x v="852"/>
    <n v="55"/>
    <x v="0"/>
    <n v="1320820"/>
    <x v="0"/>
    <n v="882"/>
    <n v="1701026"/>
    <n v="15.76"/>
    <x v="0"/>
    <n v="430190"/>
    <x v="4"/>
    <x v="1"/>
    <s v="Married"/>
    <x v="2"/>
    <n v="1"/>
  </r>
  <r>
    <x v="853"/>
    <n v="55"/>
    <x v="1"/>
    <n v="1321439"/>
    <x v="0"/>
    <n v="399"/>
    <n v="1702025"/>
    <n v="8.93"/>
    <x v="2"/>
    <n v="430247"/>
    <x v="4"/>
    <x v="1"/>
    <s v="Married"/>
    <x v="2"/>
    <n v="1"/>
  </r>
  <r>
    <x v="854"/>
    <n v="55"/>
    <x v="1"/>
    <n v="1323249"/>
    <x v="1"/>
    <n v="779"/>
    <n v="1702628"/>
    <n v="15.93"/>
    <x v="2"/>
    <n v="430307"/>
    <x v="1"/>
    <x v="0"/>
    <s v="Married"/>
    <x v="1"/>
    <n v="0"/>
  </r>
  <r>
    <x v="855"/>
    <n v="55"/>
    <x v="1"/>
    <n v="1323560"/>
    <x v="0"/>
    <n v="706"/>
    <n v="1703483"/>
    <n v="11.36"/>
    <x v="4"/>
    <n v="430575"/>
    <x v="2"/>
    <x v="1"/>
    <s v="Single"/>
    <x v="0"/>
    <n v="0"/>
  </r>
  <r>
    <x v="856"/>
    <n v="55"/>
    <x v="0"/>
    <n v="1325297"/>
    <x v="1"/>
    <n v="756"/>
    <n v="1705429"/>
    <n v="14.14"/>
    <x v="2"/>
    <n v="432096"/>
    <x v="2"/>
    <x v="1"/>
    <s v="Married"/>
    <x v="1"/>
    <n v="0"/>
  </r>
  <r>
    <x v="857"/>
    <n v="55"/>
    <x v="1"/>
    <n v="1328835"/>
    <x v="1"/>
    <n v="640"/>
    <n v="1705615"/>
    <n v="14.23"/>
    <x v="1"/>
    <n v="432307"/>
    <x v="4"/>
    <x v="1"/>
    <s v="Married"/>
    <x v="2"/>
    <n v="0"/>
  </r>
  <r>
    <x v="858"/>
    <n v="55"/>
    <x v="0"/>
    <n v="1329230"/>
    <x v="1"/>
    <n v="463"/>
    <n v="1705674"/>
    <n v="7.6"/>
    <x v="4"/>
    <n v="432398"/>
    <x v="1"/>
    <x v="1"/>
    <s v="Married"/>
    <x v="0"/>
    <n v="0"/>
  </r>
  <r>
    <x v="859"/>
    <n v="55"/>
    <x v="1"/>
    <n v="1329861"/>
    <x v="0"/>
    <n v="865"/>
    <n v="1705742"/>
    <n v="11.16"/>
    <x v="1"/>
    <n v="433047"/>
    <x v="4"/>
    <x v="0"/>
    <s v="Married"/>
    <x v="0"/>
    <n v="0"/>
  </r>
  <r>
    <x v="860"/>
    <n v="55"/>
    <x v="0"/>
    <n v="1331289"/>
    <x v="0"/>
    <n v="665"/>
    <n v="1706078"/>
    <n v="8.09"/>
    <x v="4"/>
    <n v="433168"/>
    <x v="0"/>
    <x v="1"/>
    <s v="Single"/>
    <x v="0"/>
    <n v="0"/>
  </r>
  <r>
    <x v="861"/>
    <n v="55"/>
    <x v="1"/>
    <n v="1332326"/>
    <x v="1"/>
    <n v="703"/>
    <n v="1706252"/>
    <n v="10.95"/>
    <x v="0"/>
    <n v="433227"/>
    <x v="1"/>
    <x v="1"/>
    <s v="Single"/>
    <x v="1"/>
    <n v="0"/>
  </r>
  <r>
    <x v="862"/>
    <n v="56"/>
    <x v="1"/>
    <n v="1333255"/>
    <x v="0"/>
    <n v="582"/>
    <n v="1709951"/>
    <n v="11.3"/>
    <x v="4"/>
    <n v="433427"/>
    <x v="3"/>
    <x v="1"/>
    <s v="Single"/>
    <x v="0"/>
    <n v="0"/>
  </r>
  <r>
    <x v="863"/>
    <n v="56"/>
    <x v="1"/>
    <n v="1335533"/>
    <x v="1"/>
    <n v="851"/>
    <n v="1710386"/>
    <n v="9.07"/>
    <x v="1"/>
    <n v="434412"/>
    <x v="0"/>
    <x v="1"/>
    <s v="Single"/>
    <x v="0"/>
    <n v="0"/>
  </r>
  <r>
    <x v="864"/>
    <n v="56"/>
    <x v="0"/>
    <n v="1336530"/>
    <x v="1"/>
    <n v="612"/>
    <n v="1710786"/>
    <n v="9.4600000000000009"/>
    <x v="1"/>
    <n v="434697"/>
    <x v="0"/>
    <x v="1"/>
    <s v="Married"/>
    <x v="2"/>
    <n v="0"/>
  </r>
  <r>
    <x v="865"/>
    <n v="56"/>
    <x v="1"/>
    <n v="1337321"/>
    <x v="1"/>
    <n v="472"/>
    <n v="1714048"/>
    <n v="12.42"/>
    <x v="1"/>
    <n v="434755"/>
    <x v="3"/>
    <x v="0"/>
    <s v="Single"/>
    <x v="0"/>
    <n v="0"/>
  </r>
  <r>
    <x v="866"/>
    <n v="56"/>
    <x v="0"/>
    <n v="1337515"/>
    <x v="0"/>
    <n v="594"/>
    <n v="1715151"/>
    <n v="11.7"/>
    <x v="0"/>
    <n v="435167"/>
    <x v="0"/>
    <x v="0"/>
    <s v="Single"/>
    <x v="2"/>
    <n v="0"/>
  </r>
  <r>
    <x v="867"/>
    <n v="56"/>
    <x v="0"/>
    <n v="1337734"/>
    <x v="1"/>
    <n v="446"/>
    <n v="1716512"/>
    <n v="12.78"/>
    <x v="3"/>
    <n v="435513"/>
    <x v="3"/>
    <x v="0"/>
    <s v="Married"/>
    <x v="1"/>
    <n v="0"/>
  </r>
  <r>
    <x v="868"/>
    <n v="56"/>
    <x v="0"/>
    <n v="1338095"/>
    <x v="0"/>
    <n v="852"/>
    <n v="1717696"/>
    <n v="11.02"/>
    <x v="3"/>
    <n v="436198"/>
    <x v="2"/>
    <x v="0"/>
    <s v="Married"/>
    <x v="0"/>
    <n v="0"/>
  </r>
  <r>
    <x v="869"/>
    <n v="56"/>
    <x v="1"/>
    <n v="1339886"/>
    <x v="0"/>
    <n v="800"/>
    <n v="1720939"/>
    <n v="16.41"/>
    <x v="2"/>
    <n v="436362"/>
    <x v="1"/>
    <x v="0"/>
    <s v="Married"/>
    <x v="2"/>
    <n v="0"/>
  </r>
  <r>
    <x v="870"/>
    <n v="56"/>
    <x v="1"/>
    <n v="1340809"/>
    <x v="1"/>
    <n v="610"/>
    <n v="1721052"/>
    <n v="11.97"/>
    <x v="3"/>
    <n v="436624"/>
    <x v="3"/>
    <x v="1"/>
    <s v="Single"/>
    <x v="0"/>
    <n v="0"/>
  </r>
  <r>
    <x v="871"/>
    <n v="56"/>
    <x v="1"/>
    <n v="1340912"/>
    <x v="1"/>
    <n v="862"/>
    <n v="1721802"/>
    <n v="12.32"/>
    <x v="2"/>
    <n v="437465"/>
    <x v="0"/>
    <x v="1"/>
    <s v="Single"/>
    <x v="1"/>
    <n v="0"/>
  </r>
  <r>
    <x v="872"/>
    <n v="56"/>
    <x v="1"/>
    <n v="1341042"/>
    <x v="1"/>
    <n v="412"/>
    <n v="1722812"/>
    <n v="11.94"/>
    <x v="1"/>
    <n v="438013"/>
    <x v="4"/>
    <x v="1"/>
    <s v="Married"/>
    <x v="0"/>
    <n v="0"/>
  </r>
  <r>
    <x v="873"/>
    <n v="56"/>
    <x v="0"/>
    <n v="1341295"/>
    <x v="0"/>
    <n v="460"/>
    <n v="1723175"/>
    <n v="9.1199999999999992"/>
    <x v="0"/>
    <n v="438100"/>
    <x v="3"/>
    <x v="1"/>
    <s v="Single"/>
    <x v="1"/>
    <n v="0"/>
  </r>
  <r>
    <x v="874"/>
    <n v="56"/>
    <x v="1"/>
    <n v="1342129"/>
    <x v="0"/>
    <n v="663"/>
    <n v="1734490"/>
    <n v="11.31"/>
    <x v="1"/>
    <n v="438173"/>
    <x v="3"/>
    <x v="0"/>
    <s v="Single"/>
    <x v="0"/>
    <n v="0"/>
  </r>
  <r>
    <x v="875"/>
    <n v="56"/>
    <x v="1"/>
    <n v="1342518"/>
    <x v="1"/>
    <n v="831"/>
    <n v="1734671"/>
    <n v="15.62"/>
    <x v="1"/>
    <n v="438273"/>
    <x v="2"/>
    <x v="1"/>
    <s v="Single"/>
    <x v="2"/>
    <n v="0"/>
  </r>
  <r>
    <x v="876"/>
    <n v="57"/>
    <x v="1"/>
    <n v="1343547"/>
    <x v="1"/>
    <n v="377"/>
    <n v="1736115"/>
    <n v="7.77"/>
    <x v="3"/>
    <n v="438496"/>
    <x v="3"/>
    <x v="1"/>
    <s v="Married"/>
    <x v="2"/>
    <n v="0"/>
  </r>
  <r>
    <x v="877"/>
    <n v="57"/>
    <x v="1"/>
    <n v="1344375"/>
    <x v="0"/>
    <n v="376"/>
    <n v="1736749"/>
    <n v="15.5"/>
    <x v="1"/>
    <n v="438839"/>
    <x v="2"/>
    <x v="0"/>
    <s v="Married"/>
    <x v="1"/>
    <n v="0"/>
  </r>
  <r>
    <x v="878"/>
    <n v="57"/>
    <x v="0"/>
    <n v="1345318"/>
    <x v="0"/>
    <n v="696"/>
    <n v="1736833"/>
    <n v="7.8"/>
    <x v="1"/>
    <n v="439150"/>
    <x v="4"/>
    <x v="0"/>
    <s v="Single"/>
    <x v="0"/>
    <n v="0"/>
  </r>
  <r>
    <x v="879"/>
    <n v="57"/>
    <x v="0"/>
    <n v="1345491"/>
    <x v="0"/>
    <n v="792"/>
    <n v="1742589"/>
    <n v="11.77"/>
    <x v="4"/>
    <n v="439482"/>
    <x v="1"/>
    <x v="1"/>
    <s v="Married"/>
    <x v="0"/>
    <n v="0"/>
  </r>
  <r>
    <x v="880"/>
    <n v="57"/>
    <x v="1"/>
    <n v="1346158"/>
    <x v="1"/>
    <n v="851"/>
    <n v="1744174"/>
    <n v="10.029999999999999"/>
    <x v="4"/>
    <n v="439482"/>
    <x v="4"/>
    <x v="1"/>
    <s v="Single"/>
    <x v="2"/>
    <n v="0"/>
  </r>
  <r>
    <x v="881"/>
    <n v="57"/>
    <x v="0"/>
    <n v="1346895"/>
    <x v="0"/>
    <n v="652"/>
    <n v="1746415"/>
    <n v="15.99"/>
    <x v="2"/>
    <n v="439749"/>
    <x v="0"/>
    <x v="0"/>
    <s v="Married"/>
    <x v="2"/>
    <n v="0"/>
  </r>
  <r>
    <x v="882"/>
    <n v="57"/>
    <x v="1"/>
    <n v="1347479"/>
    <x v="0"/>
    <n v="373"/>
    <n v="1755708"/>
    <n v="9.61"/>
    <x v="3"/>
    <n v="439794"/>
    <x v="0"/>
    <x v="1"/>
    <s v="Single"/>
    <x v="1"/>
    <n v="0"/>
  </r>
  <r>
    <x v="883"/>
    <n v="57"/>
    <x v="1"/>
    <n v="1349842"/>
    <x v="1"/>
    <m/>
    <n v="1755796"/>
    <n v="15.31"/>
    <x v="1"/>
    <n v="439975"/>
    <x v="3"/>
    <x v="1"/>
    <s v="Single"/>
    <x v="2"/>
    <n v="1"/>
  </r>
  <r>
    <x v="884"/>
    <n v="57"/>
    <x v="0"/>
    <n v="1349897"/>
    <x v="0"/>
    <n v="363"/>
    <n v="1763818"/>
    <n v="11.16"/>
    <x v="3"/>
    <n v="440822"/>
    <x v="1"/>
    <x v="0"/>
    <s v="Married"/>
    <x v="1"/>
    <n v="0"/>
  </r>
  <r>
    <x v="885"/>
    <n v="57"/>
    <x v="0"/>
    <n v="1350071"/>
    <x v="0"/>
    <n v="627"/>
    <n v="1765787"/>
    <n v="9.1199999999999992"/>
    <x v="4"/>
    <n v="441289"/>
    <x v="1"/>
    <x v="0"/>
    <s v="Single"/>
    <x v="1"/>
    <n v="0"/>
  </r>
  <r>
    <x v="886"/>
    <n v="57"/>
    <x v="0"/>
    <n v="1350170"/>
    <x v="1"/>
    <n v="810"/>
    <n v="1767504"/>
    <n v="9.61"/>
    <x v="4"/>
    <n v="441839"/>
    <x v="2"/>
    <x v="0"/>
    <s v="Married"/>
    <x v="2"/>
    <n v="0"/>
  </r>
  <r>
    <x v="887"/>
    <n v="57"/>
    <x v="1"/>
    <n v="1351162"/>
    <x v="1"/>
    <n v="666"/>
    <n v="1768137"/>
    <n v="10.78"/>
    <x v="0"/>
    <n v="442145"/>
    <x v="0"/>
    <x v="0"/>
    <s v="Married"/>
    <x v="1"/>
    <n v="0"/>
  </r>
  <r>
    <x v="888"/>
    <n v="57"/>
    <x v="1"/>
    <n v="1352224"/>
    <x v="1"/>
    <n v="502"/>
    <n v="1770743"/>
    <n v="10.31"/>
    <x v="1"/>
    <n v="442194"/>
    <x v="3"/>
    <x v="0"/>
    <s v="Married"/>
    <x v="1"/>
    <n v="0"/>
  </r>
  <r>
    <x v="889"/>
    <n v="57"/>
    <x v="0"/>
    <n v="1353016"/>
    <x v="0"/>
    <n v="542"/>
    <n v="1771470"/>
    <n v="9.18"/>
    <x v="4"/>
    <n v="442566"/>
    <x v="2"/>
    <x v="0"/>
    <s v="Single"/>
    <x v="0"/>
    <n v="0"/>
  </r>
  <r>
    <x v="890"/>
    <n v="57"/>
    <x v="0"/>
    <n v="1355962"/>
    <x v="1"/>
    <n v="687"/>
    <n v="1771508"/>
    <n v="8.67"/>
    <x v="0"/>
    <n v="442682"/>
    <x v="3"/>
    <x v="1"/>
    <s v="Married"/>
    <x v="1"/>
    <n v="0"/>
  </r>
  <r>
    <x v="891"/>
    <n v="57"/>
    <x v="0"/>
    <n v="1356477"/>
    <x v="1"/>
    <n v="510"/>
    <n v="1772170"/>
    <n v="10.51"/>
    <x v="2"/>
    <n v="443032"/>
    <x v="2"/>
    <x v="1"/>
    <s v="Single"/>
    <x v="1"/>
    <n v="0"/>
  </r>
  <r>
    <x v="892"/>
    <n v="57"/>
    <x v="1"/>
    <n v="1357154"/>
    <x v="0"/>
    <n v="763"/>
    <n v="1772170"/>
    <n v="14.89"/>
    <x v="2"/>
    <n v="444952"/>
    <x v="0"/>
    <x v="0"/>
    <s v="Married"/>
    <x v="2"/>
    <n v="0"/>
  </r>
  <r>
    <x v="893"/>
    <n v="57"/>
    <x v="1"/>
    <n v="1357165"/>
    <x v="1"/>
    <n v="417"/>
    <n v="1777527"/>
    <n v="10.199999999999999"/>
    <x v="4"/>
    <n v="445180"/>
    <x v="0"/>
    <x v="1"/>
    <s v="Married"/>
    <x v="1"/>
    <n v="0"/>
  </r>
  <r>
    <x v="894"/>
    <n v="57"/>
    <x v="0"/>
    <n v="1360754"/>
    <x v="1"/>
    <n v="601"/>
    <n v="1778224"/>
    <n v="8.89"/>
    <x v="4"/>
    <n v="446315"/>
    <x v="3"/>
    <x v="0"/>
    <s v="Single"/>
    <x v="1"/>
    <n v="0"/>
  </r>
  <r>
    <x v="895"/>
    <n v="57"/>
    <x v="0"/>
    <n v="1360792"/>
    <x v="1"/>
    <n v="877"/>
    <n v="1779663"/>
    <n v="9.89"/>
    <x v="3"/>
    <n v="446659"/>
    <x v="2"/>
    <x v="1"/>
    <s v="Married"/>
    <x v="0"/>
    <n v="1"/>
  </r>
  <r>
    <x v="896"/>
    <n v="57"/>
    <x v="0"/>
    <n v="1361491"/>
    <x v="0"/>
    <n v="334"/>
    <n v="1779806"/>
    <n v="11.07"/>
    <x v="0"/>
    <n v="447045"/>
    <x v="2"/>
    <x v="0"/>
    <s v="Married"/>
    <x v="1"/>
    <n v="0"/>
  </r>
  <r>
    <x v="897"/>
    <n v="57"/>
    <x v="1"/>
    <n v="1361857"/>
    <x v="1"/>
    <n v="777"/>
    <n v="1780173"/>
    <n v="13.55"/>
    <x v="4"/>
    <n v="447243"/>
    <x v="1"/>
    <x v="0"/>
    <s v="Single"/>
    <x v="1"/>
    <n v="0"/>
  </r>
  <r>
    <x v="898"/>
    <n v="57"/>
    <x v="1"/>
    <n v="1367163"/>
    <x v="1"/>
    <n v="725"/>
    <n v="1785585"/>
    <n v="13.8"/>
    <x v="2"/>
    <n v="447530"/>
    <x v="0"/>
    <x v="1"/>
    <s v="Single"/>
    <x v="0"/>
    <n v="1"/>
  </r>
  <r>
    <x v="899"/>
    <n v="57"/>
    <x v="0"/>
    <n v="1367318"/>
    <x v="0"/>
    <n v="560"/>
    <n v="1786653"/>
    <n v="7.55"/>
    <x v="3"/>
    <n v="448039"/>
    <x v="0"/>
    <x v="0"/>
    <s v="Married"/>
    <x v="1"/>
    <n v="0"/>
  </r>
  <r>
    <x v="900"/>
    <n v="57"/>
    <x v="0"/>
    <n v="1367719"/>
    <x v="1"/>
    <n v="573"/>
    <n v="1787693"/>
    <n v="9.57"/>
    <x v="3"/>
    <n v="448148"/>
    <x v="0"/>
    <x v="1"/>
    <s v="Married"/>
    <x v="2"/>
    <n v="0"/>
  </r>
  <r>
    <x v="901"/>
    <n v="57"/>
    <x v="0"/>
    <n v="1374068"/>
    <x v="1"/>
    <n v="872"/>
    <n v="1787746"/>
    <n v="11.31"/>
    <x v="2"/>
    <n v="448275"/>
    <x v="2"/>
    <x v="0"/>
    <s v="Single"/>
    <x v="0"/>
    <n v="0"/>
  </r>
  <r>
    <x v="902"/>
    <n v="58"/>
    <x v="0"/>
    <n v="1374435"/>
    <x v="1"/>
    <n v="857"/>
    <n v="1788900"/>
    <n v="7.83"/>
    <x v="2"/>
    <n v="448481"/>
    <x v="4"/>
    <x v="1"/>
    <s v="Married"/>
    <x v="1"/>
    <n v="0"/>
  </r>
  <r>
    <x v="903"/>
    <n v="58"/>
    <x v="0"/>
    <n v="1376640"/>
    <x v="1"/>
    <n v="798"/>
    <n v="1793261"/>
    <n v="11.42"/>
    <x v="3"/>
    <n v="448496"/>
    <x v="4"/>
    <x v="0"/>
    <s v="Married"/>
    <x v="2"/>
    <n v="0"/>
  </r>
  <r>
    <x v="904"/>
    <n v="58"/>
    <x v="0"/>
    <n v="1377048"/>
    <x v="0"/>
    <n v="467"/>
    <n v="1795591"/>
    <n v="13.99"/>
    <x v="2"/>
    <n v="448785"/>
    <x v="3"/>
    <x v="1"/>
    <s v="Single"/>
    <x v="1"/>
    <n v="0"/>
  </r>
  <r>
    <x v="905"/>
    <n v="58"/>
    <x v="0"/>
    <n v="1380928"/>
    <x v="0"/>
    <n v="326"/>
    <n v="1796132"/>
    <n v="16.22"/>
    <x v="0"/>
    <n v="448831"/>
    <x v="1"/>
    <x v="0"/>
    <s v="Married"/>
    <x v="2"/>
    <n v="0"/>
  </r>
  <r>
    <x v="906"/>
    <n v="58"/>
    <x v="1"/>
    <n v="1381366"/>
    <x v="0"/>
    <n v="867"/>
    <n v="1796263"/>
    <n v="15.8"/>
    <x v="0"/>
    <n v="449283"/>
    <x v="3"/>
    <x v="1"/>
    <s v="Married"/>
    <x v="2"/>
    <n v="0"/>
  </r>
  <r>
    <x v="907"/>
    <n v="58"/>
    <x v="0"/>
    <n v="1384365"/>
    <x v="1"/>
    <n v="690"/>
    <n v="1798859"/>
    <n v="12.51"/>
    <x v="0"/>
    <n v="451137"/>
    <x v="0"/>
    <x v="1"/>
    <s v="Married"/>
    <x v="2"/>
    <n v="0"/>
  </r>
  <r>
    <x v="908"/>
    <n v="58"/>
    <x v="1"/>
    <n v="1385011"/>
    <x v="0"/>
    <n v="487"/>
    <n v="1798859"/>
    <n v="16.25"/>
    <x v="3"/>
    <n v="451292"/>
    <x v="0"/>
    <x v="0"/>
    <s v="Married"/>
    <x v="1"/>
    <n v="1"/>
  </r>
  <r>
    <x v="909"/>
    <n v="58"/>
    <x v="1"/>
    <n v="1386378"/>
    <x v="1"/>
    <n v="417"/>
    <n v="1798904"/>
    <n v="16.25"/>
    <x v="3"/>
    <n v="451451"/>
    <x v="2"/>
    <x v="0"/>
    <s v="Married"/>
    <x v="0"/>
    <n v="1"/>
  </r>
  <r>
    <x v="910"/>
    <n v="58"/>
    <x v="1"/>
    <n v="1386543"/>
    <x v="1"/>
    <n v="396"/>
    <n v="1799302"/>
    <n v="13.32"/>
    <x v="1"/>
    <n v="451524"/>
    <x v="0"/>
    <x v="1"/>
    <s v="Married"/>
    <x v="1"/>
    <n v="0"/>
  </r>
  <r>
    <x v="911"/>
    <n v="58"/>
    <x v="1"/>
    <n v="1386737"/>
    <x v="0"/>
    <n v="532"/>
    <n v="1800957"/>
    <n v="9.69"/>
    <x v="3"/>
    <n v="452946"/>
    <x v="3"/>
    <x v="0"/>
    <s v="Single"/>
    <x v="0"/>
    <n v="1"/>
  </r>
  <r>
    <x v="912"/>
    <n v="58"/>
    <x v="0"/>
    <n v="1387623"/>
    <x v="0"/>
    <n v="315"/>
    <n v="1801029"/>
    <n v="11.71"/>
    <x v="4"/>
    <n v="453166"/>
    <x v="4"/>
    <x v="1"/>
    <s v="Single"/>
    <x v="1"/>
    <n v="0"/>
  </r>
  <r>
    <x v="913"/>
    <n v="58"/>
    <x v="1"/>
    <n v="1388765"/>
    <x v="0"/>
    <n v="645"/>
    <n v="1808517"/>
    <n v="14.9"/>
    <x v="4"/>
    <n v="453328"/>
    <x v="2"/>
    <x v="1"/>
    <s v="Married"/>
    <x v="0"/>
    <n v="0"/>
  </r>
  <r>
    <x v="914"/>
    <n v="58"/>
    <x v="0"/>
    <n v="1390737"/>
    <x v="1"/>
    <n v="876"/>
    <n v="1808645"/>
    <n v="9.14"/>
    <x v="0"/>
    <n v="454136"/>
    <x v="3"/>
    <x v="0"/>
    <s v="Single"/>
    <x v="0"/>
    <n v="0"/>
  </r>
  <r>
    <x v="915"/>
    <n v="58"/>
    <x v="0"/>
    <n v="1391868"/>
    <x v="0"/>
    <n v="360"/>
    <n v="1809727"/>
    <n v="8.2899999999999991"/>
    <x v="4"/>
    <n v="454198"/>
    <x v="1"/>
    <x v="1"/>
    <s v="Married"/>
    <x v="0"/>
    <n v="1"/>
  </r>
  <r>
    <x v="916"/>
    <n v="58"/>
    <x v="0"/>
    <n v="1393445"/>
    <x v="1"/>
    <n v="579"/>
    <n v="1816677"/>
    <n v="11.26"/>
    <x v="2"/>
    <n v="455071"/>
    <x v="3"/>
    <x v="1"/>
    <s v="Single"/>
    <x v="2"/>
    <n v="0"/>
  </r>
  <r>
    <x v="917"/>
    <n v="58"/>
    <x v="1"/>
    <n v="1395338"/>
    <x v="0"/>
    <n v="378"/>
    <n v="1817314"/>
    <n v="16.260000000000002"/>
    <x v="0"/>
    <n v="455752"/>
    <x v="4"/>
    <x v="0"/>
    <s v="Married"/>
    <x v="1"/>
    <n v="1"/>
  </r>
  <r>
    <x v="918"/>
    <n v="58"/>
    <x v="0"/>
    <n v="1398395"/>
    <x v="0"/>
    <n v="612"/>
    <n v="1817670"/>
    <n v="10.36"/>
    <x v="1"/>
    <n v="456761"/>
    <x v="0"/>
    <x v="0"/>
    <s v="Married"/>
    <x v="0"/>
    <n v="0"/>
  </r>
  <r>
    <x v="919"/>
    <n v="58"/>
    <x v="0"/>
    <n v="1399899"/>
    <x v="1"/>
    <n v="846"/>
    <n v="1818527"/>
    <n v="15.72"/>
    <x v="3"/>
    <n v="456994"/>
    <x v="3"/>
    <x v="0"/>
    <s v="Single"/>
    <x v="0"/>
    <n v="0"/>
  </r>
  <r>
    <x v="920"/>
    <n v="58"/>
    <x v="1"/>
    <n v="1400350"/>
    <x v="1"/>
    <n v="719"/>
    <n v="1822695"/>
    <n v="13.36"/>
    <x v="0"/>
    <n v="457125"/>
    <x v="1"/>
    <x v="0"/>
    <s v="Married"/>
    <x v="2"/>
    <n v="1"/>
  </r>
  <r>
    <x v="921"/>
    <n v="58"/>
    <x v="0"/>
    <n v="1401096"/>
    <x v="1"/>
    <n v="333"/>
    <n v="1823511"/>
    <n v="9.68"/>
    <x v="3"/>
    <n v="457882"/>
    <x v="1"/>
    <x v="0"/>
    <s v="Married"/>
    <x v="1"/>
    <n v="1"/>
  </r>
  <r>
    <x v="922"/>
    <n v="58"/>
    <x v="1"/>
    <n v="1404832"/>
    <x v="0"/>
    <n v="783"/>
    <n v="1826384"/>
    <n v="7.81"/>
    <x v="1"/>
    <n v="458716"/>
    <x v="4"/>
    <x v="1"/>
    <s v="Married"/>
    <x v="1"/>
    <n v="0"/>
  </r>
  <r>
    <x v="923"/>
    <n v="58"/>
    <x v="0"/>
    <n v="1404961"/>
    <x v="0"/>
    <n v="618"/>
    <n v="1826451"/>
    <n v="12.76"/>
    <x v="0"/>
    <n v="459446"/>
    <x v="2"/>
    <x v="0"/>
    <s v="Married"/>
    <x v="1"/>
    <n v="0"/>
  </r>
  <r>
    <x v="924"/>
    <n v="58"/>
    <x v="1"/>
    <n v="1405052"/>
    <x v="0"/>
    <n v="648"/>
    <n v="1827131"/>
    <n v="11.59"/>
    <x v="4"/>
    <n v="461002"/>
    <x v="2"/>
    <x v="1"/>
    <s v="Married"/>
    <x v="1"/>
    <n v="0"/>
  </r>
  <r>
    <x v="925"/>
    <n v="58"/>
    <x v="0"/>
    <n v="1405519"/>
    <x v="0"/>
    <n v="598"/>
    <n v="1827702"/>
    <n v="10.44"/>
    <x v="0"/>
    <n v="461725"/>
    <x v="2"/>
    <x v="1"/>
    <s v="Single"/>
    <x v="2"/>
    <n v="1"/>
  </r>
  <r>
    <x v="926"/>
    <n v="58"/>
    <x v="1"/>
    <n v="1408253"/>
    <x v="0"/>
    <n v="577"/>
    <n v="1827899"/>
    <n v="13.15"/>
    <x v="0"/>
    <n v="461830"/>
    <x v="0"/>
    <x v="1"/>
    <s v="Single"/>
    <x v="1"/>
    <n v="0"/>
  </r>
  <r>
    <x v="927"/>
    <n v="58"/>
    <x v="0"/>
    <n v="1409019"/>
    <x v="0"/>
    <n v="321"/>
    <n v="1828512"/>
    <n v="13.53"/>
    <x v="4"/>
    <n v="462499"/>
    <x v="0"/>
    <x v="1"/>
    <s v="Single"/>
    <x v="0"/>
    <n v="0"/>
  </r>
  <r>
    <x v="928"/>
    <n v="58"/>
    <x v="1"/>
    <n v="1409590"/>
    <x v="1"/>
    <n v="783"/>
    <n v="1829042"/>
    <n v="9.09"/>
    <x v="0"/>
    <n v="463042"/>
    <x v="2"/>
    <x v="0"/>
    <s v="Single"/>
    <x v="1"/>
    <n v="0"/>
  </r>
  <r>
    <x v="929"/>
    <n v="58"/>
    <x v="0"/>
    <n v="1411672"/>
    <x v="1"/>
    <n v="708"/>
    <n v="1831721"/>
    <n v="8.1"/>
    <x v="3"/>
    <n v="463389"/>
    <x v="3"/>
    <x v="1"/>
    <s v="Married"/>
    <x v="0"/>
    <n v="0"/>
  </r>
  <r>
    <x v="930"/>
    <n v="58"/>
    <x v="1"/>
    <n v="1412585"/>
    <x v="1"/>
    <n v="594"/>
    <n v="1836524"/>
    <n v="14.94"/>
    <x v="4"/>
    <n v="464039"/>
    <x v="1"/>
    <x v="1"/>
    <s v="Married"/>
    <x v="1"/>
    <n v="1"/>
  </r>
  <r>
    <x v="931"/>
    <n v="58"/>
    <x v="0"/>
    <n v="1412622"/>
    <x v="1"/>
    <n v="471"/>
    <n v="1837122"/>
    <n v="9.09"/>
    <x v="1"/>
    <n v="465721"/>
    <x v="0"/>
    <x v="0"/>
    <s v="Married"/>
    <x v="1"/>
    <n v="0"/>
  </r>
  <r>
    <x v="932"/>
    <n v="58"/>
    <x v="0"/>
    <n v="1417793"/>
    <x v="0"/>
    <n v="552"/>
    <n v="1838358"/>
    <n v="7.54"/>
    <x v="0"/>
    <n v="465912"/>
    <x v="2"/>
    <x v="1"/>
    <s v="Single"/>
    <x v="0"/>
    <n v="0"/>
  </r>
  <r>
    <x v="933"/>
    <n v="58"/>
    <x v="1"/>
    <n v="1420256"/>
    <x v="1"/>
    <n v="391"/>
    <n v="1840068"/>
    <n v="12.61"/>
    <x v="4"/>
    <n v="466001"/>
    <x v="2"/>
    <x v="0"/>
    <s v="Single"/>
    <x v="2"/>
    <n v="1"/>
  </r>
  <r>
    <x v="934"/>
    <n v="58"/>
    <x v="1"/>
    <n v="1420366"/>
    <x v="0"/>
    <n v="878"/>
    <n v="1841430"/>
    <n v="16.2"/>
    <x v="3"/>
    <n v="466179"/>
    <x v="4"/>
    <x v="0"/>
    <s v="Married"/>
    <x v="0"/>
    <n v="0"/>
  </r>
  <r>
    <x v="935"/>
    <n v="58"/>
    <x v="0"/>
    <n v="1421360"/>
    <x v="0"/>
    <n v="680"/>
    <n v="1843761"/>
    <n v="16.2"/>
    <x v="1"/>
    <n v="466895"/>
    <x v="3"/>
    <x v="0"/>
    <s v="Single"/>
    <x v="1"/>
    <n v="0"/>
  </r>
  <r>
    <x v="936"/>
    <n v="58"/>
    <x v="0"/>
    <n v="1422631"/>
    <x v="1"/>
    <n v="745"/>
    <n v="1848397"/>
    <n v="12.51"/>
    <x v="1"/>
    <n v="468195"/>
    <x v="3"/>
    <x v="0"/>
    <s v="Single"/>
    <x v="1"/>
    <n v="0"/>
  </r>
  <r>
    <x v="937"/>
    <n v="58"/>
    <x v="0"/>
    <n v="1422973"/>
    <x v="1"/>
    <n v="609"/>
    <n v="1849977"/>
    <n v="8.91"/>
    <x v="1"/>
    <n v="468721"/>
    <x v="2"/>
    <x v="0"/>
    <s v="Married"/>
    <x v="2"/>
    <n v="0"/>
  </r>
  <r>
    <x v="938"/>
    <n v="58"/>
    <x v="1"/>
    <n v="1423547"/>
    <x v="1"/>
    <n v="792"/>
    <n v="1855209"/>
    <n v="7.7"/>
    <x v="1"/>
    <n v="472204"/>
    <x v="0"/>
    <x v="1"/>
    <s v="Single"/>
    <x v="2"/>
    <n v="0"/>
  </r>
  <r>
    <x v="939"/>
    <n v="58"/>
    <x v="1"/>
    <n v="1424237"/>
    <x v="1"/>
    <n v="536"/>
    <n v="1858064"/>
    <n v="15.49"/>
    <x v="3"/>
    <n v="472641"/>
    <x v="2"/>
    <x v="1"/>
    <s v="Married"/>
    <x v="2"/>
    <n v="1"/>
  </r>
  <r>
    <x v="940"/>
    <n v="58"/>
    <x v="1"/>
    <n v="1428418"/>
    <x v="1"/>
    <n v="716"/>
    <n v="1861522"/>
    <n v="14.26"/>
    <x v="3"/>
    <n v="473107"/>
    <x v="1"/>
    <x v="0"/>
    <s v="Married"/>
    <x v="2"/>
    <n v="0"/>
  </r>
  <r>
    <x v="941"/>
    <n v="59"/>
    <x v="0"/>
    <n v="1431947"/>
    <x v="0"/>
    <n v="675"/>
    <n v="1871583"/>
    <n v="14.97"/>
    <x v="4"/>
    <n v="473700"/>
    <x v="2"/>
    <x v="0"/>
    <s v="Married"/>
    <x v="0"/>
    <n v="0"/>
  </r>
  <r>
    <x v="942"/>
    <n v="59"/>
    <x v="1"/>
    <n v="1432103"/>
    <x v="1"/>
    <n v="424"/>
    <n v="1873178"/>
    <n v="9.51"/>
    <x v="1"/>
    <n v="474038"/>
    <x v="2"/>
    <x v="1"/>
    <s v="Married"/>
    <x v="2"/>
    <n v="0"/>
  </r>
  <r>
    <x v="943"/>
    <n v="59"/>
    <x v="1"/>
    <n v="1432652"/>
    <x v="1"/>
    <n v="878"/>
    <n v="1874626"/>
    <n v="7.74"/>
    <x v="0"/>
    <n v="474058"/>
    <x v="3"/>
    <x v="0"/>
    <s v="Married"/>
    <x v="1"/>
    <n v="1"/>
  </r>
  <r>
    <x v="944"/>
    <n v="59"/>
    <x v="0"/>
    <n v="1433300"/>
    <x v="1"/>
    <n v="335"/>
    <n v="1876958"/>
    <n v="13.89"/>
    <x v="2"/>
    <n v="474248"/>
    <x v="3"/>
    <x v="0"/>
    <s v="Married"/>
    <x v="2"/>
    <n v="0"/>
  </r>
  <r>
    <x v="945"/>
    <n v="59"/>
    <x v="1"/>
    <n v="1434008"/>
    <x v="1"/>
    <n v="481"/>
    <n v="1879466"/>
    <n v="16.41"/>
    <x v="4"/>
    <n v="474591"/>
    <x v="1"/>
    <x v="1"/>
    <s v="Single"/>
    <x v="2"/>
    <n v="0"/>
  </r>
  <r>
    <x v="946"/>
    <n v="59"/>
    <x v="1"/>
    <n v="1434785"/>
    <x v="0"/>
    <n v="804"/>
    <n v="1880799"/>
    <n v="8.92"/>
    <x v="1"/>
    <n v="475548"/>
    <x v="3"/>
    <x v="1"/>
    <s v="Single"/>
    <x v="0"/>
    <n v="0"/>
  </r>
  <r>
    <x v="947"/>
    <n v="59"/>
    <x v="0"/>
    <n v="1436894"/>
    <x v="0"/>
    <n v="322"/>
    <n v="1881282"/>
    <n v="8.19"/>
    <x v="0"/>
    <n v="475589"/>
    <x v="1"/>
    <x v="1"/>
    <s v="Married"/>
    <x v="2"/>
    <n v="0"/>
  </r>
  <r>
    <x v="948"/>
    <n v="59"/>
    <x v="0"/>
    <n v="1439404"/>
    <x v="0"/>
    <n v="455"/>
    <n v="1881447"/>
    <n v="9.51"/>
    <x v="2"/>
    <n v="475607"/>
    <x v="1"/>
    <x v="0"/>
    <s v="Married"/>
    <x v="1"/>
    <n v="0"/>
  </r>
  <r>
    <x v="949"/>
    <n v="59"/>
    <x v="0"/>
    <n v="1439416"/>
    <x v="0"/>
    <n v="844"/>
    <n v="1886956"/>
    <n v="9.51"/>
    <x v="4"/>
    <n v="475681"/>
    <x v="2"/>
    <x v="0"/>
    <s v="Married"/>
    <x v="1"/>
    <n v="0"/>
  </r>
  <r>
    <x v="950"/>
    <n v="59"/>
    <x v="1"/>
    <n v="1440515"/>
    <x v="0"/>
    <n v="632"/>
    <n v="1887850"/>
    <n v="11.57"/>
    <x v="2"/>
    <n v="476061"/>
    <x v="3"/>
    <x v="0"/>
    <s v="Single"/>
    <x v="1"/>
    <n v="0"/>
  </r>
  <r>
    <x v="951"/>
    <n v="59"/>
    <x v="1"/>
    <n v="1441144"/>
    <x v="0"/>
    <n v="851"/>
    <n v="1893787"/>
    <n v="10.94"/>
    <x v="4"/>
    <n v="476160"/>
    <x v="4"/>
    <x v="1"/>
    <s v="Married"/>
    <x v="0"/>
    <n v="0"/>
  </r>
  <r>
    <x v="952"/>
    <n v="59"/>
    <x v="0"/>
    <n v="1442564"/>
    <x v="1"/>
    <n v="304"/>
    <n v="1893984"/>
    <n v="10.01"/>
    <x v="3"/>
    <n v="476328"/>
    <x v="1"/>
    <x v="1"/>
    <s v="Single"/>
    <x v="1"/>
    <n v="1"/>
  </r>
  <r>
    <x v="953"/>
    <n v="59"/>
    <x v="0"/>
    <n v="1442959"/>
    <x v="1"/>
    <n v="407"/>
    <n v="1898202"/>
    <n v="11.54"/>
    <x v="3"/>
    <n v="476473"/>
    <x v="0"/>
    <x v="0"/>
    <s v="Married"/>
    <x v="2"/>
    <n v="1"/>
  </r>
  <r>
    <x v="954"/>
    <n v="59"/>
    <x v="1"/>
    <n v="1443196"/>
    <x v="1"/>
    <n v="706"/>
    <n v="1902580"/>
    <n v="11.74"/>
    <x v="2"/>
    <n v="476529"/>
    <x v="2"/>
    <x v="0"/>
    <s v="Single"/>
    <x v="2"/>
    <n v="0"/>
  </r>
  <r>
    <x v="955"/>
    <n v="59"/>
    <x v="0"/>
    <n v="1443887"/>
    <x v="1"/>
    <n v="315"/>
    <n v="1903232"/>
    <n v="9.67"/>
    <x v="0"/>
    <n v="476797"/>
    <x v="2"/>
    <x v="1"/>
    <s v="Single"/>
    <x v="1"/>
    <n v="0"/>
  </r>
  <r>
    <x v="956"/>
    <n v="59"/>
    <x v="0"/>
    <n v="1445610"/>
    <x v="0"/>
    <n v="370"/>
    <n v="1904134"/>
    <n v="13.34"/>
    <x v="0"/>
    <n v="477441"/>
    <x v="3"/>
    <x v="0"/>
    <s v="Single"/>
    <x v="0"/>
    <n v="1"/>
  </r>
  <r>
    <x v="957"/>
    <n v="59"/>
    <x v="0"/>
    <n v="1446666"/>
    <x v="0"/>
    <n v="424"/>
    <n v="1905552"/>
    <n v="14.96"/>
    <x v="3"/>
    <n v="477678"/>
    <x v="3"/>
    <x v="0"/>
    <s v="Married"/>
    <x v="0"/>
    <n v="1"/>
  </r>
  <r>
    <x v="958"/>
    <n v="59"/>
    <x v="0"/>
    <n v="1447363"/>
    <x v="1"/>
    <n v="717"/>
    <n v="1906298"/>
    <n v="8.69"/>
    <x v="4"/>
    <n v="478215"/>
    <x v="1"/>
    <x v="1"/>
    <s v="Married"/>
    <x v="0"/>
    <n v="0"/>
  </r>
  <r>
    <x v="959"/>
    <n v="59"/>
    <x v="1"/>
    <n v="1448228"/>
    <x v="0"/>
    <n v="683"/>
    <n v="1908434"/>
    <n v="13.09"/>
    <x v="2"/>
    <n v="478772"/>
    <x v="1"/>
    <x v="0"/>
    <s v="Single"/>
    <x v="2"/>
    <n v="0"/>
  </r>
  <r>
    <x v="960"/>
    <n v="59"/>
    <x v="1"/>
    <n v="1448639"/>
    <x v="0"/>
    <n v="741"/>
    <n v="1909679"/>
    <n v="14.49"/>
    <x v="4"/>
    <n v="480080"/>
    <x v="0"/>
    <x v="0"/>
    <s v="Married"/>
    <x v="1"/>
    <n v="0"/>
  </r>
  <r>
    <x v="961"/>
    <n v="59"/>
    <x v="0"/>
    <n v="1448959"/>
    <x v="1"/>
    <n v="897"/>
    <n v="1913388"/>
    <n v="9.2100000000000009"/>
    <x v="2"/>
    <n v="480327"/>
    <x v="3"/>
    <x v="1"/>
    <s v="Single"/>
    <x v="0"/>
    <n v="0"/>
  </r>
  <r>
    <x v="962"/>
    <n v="59"/>
    <x v="0"/>
    <n v="1449355"/>
    <x v="0"/>
    <n v="710"/>
    <n v="1917070"/>
    <n v="14.6"/>
    <x v="2"/>
    <n v="480546"/>
    <x v="1"/>
    <x v="0"/>
    <s v="Married"/>
    <x v="2"/>
    <n v="0"/>
  </r>
  <r>
    <x v="963"/>
    <n v="59"/>
    <x v="0"/>
    <n v="1450068"/>
    <x v="0"/>
    <n v="833"/>
    <n v="1917439"/>
    <n v="11.46"/>
    <x v="3"/>
    <n v="480974"/>
    <x v="2"/>
    <x v="1"/>
    <s v="Married"/>
    <x v="2"/>
    <n v="0"/>
  </r>
  <r>
    <x v="964"/>
    <n v="59"/>
    <x v="0"/>
    <n v="1450936"/>
    <x v="1"/>
    <n v="325"/>
    <n v="1917467"/>
    <n v="11.98"/>
    <x v="0"/>
    <n v="481696"/>
    <x v="3"/>
    <x v="1"/>
    <s v="Married"/>
    <x v="2"/>
    <n v="0"/>
  </r>
  <r>
    <x v="965"/>
    <n v="59"/>
    <x v="0"/>
    <n v="1451086"/>
    <x v="1"/>
    <n v="470"/>
    <n v="1917478"/>
    <n v="13.28"/>
    <x v="2"/>
    <n v="482893"/>
    <x v="2"/>
    <x v="0"/>
    <s v="Married"/>
    <x v="1"/>
    <n v="1"/>
  </r>
  <r>
    <x v="966"/>
    <n v="59"/>
    <x v="1"/>
    <n v="1451582"/>
    <x v="0"/>
    <n v="388"/>
    <n v="1919597"/>
    <n v="10.32"/>
    <x v="4"/>
    <n v="483536"/>
    <x v="1"/>
    <x v="0"/>
    <s v="Married"/>
    <x v="0"/>
    <n v="0"/>
  </r>
  <r>
    <x v="967"/>
    <n v="59"/>
    <x v="0"/>
    <n v="1454461"/>
    <x v="0"/>
    <n v="688"/>
    <n v="1920306"/>
    <n v="14.88"/>
    <x v="2"/>
    <n v="483936"/>
    <x v="1"/>
    <x v="1"/>
    <s v="Married"/>
    <x v="1"/>
    <n v="0"/>
  </r>
  <r>
    <x v="968"/>
    <n v="60"/>
    <x v="0"/>
    <n v="1454955"/>
    <x v="0"/>
    <n v="370"/>
    <n v="1921014"/>
    <n v="7.79"/>
    <x v="0"/>
    <n v="484260"/>
    <x v="2"/>
    <x v="1"/>
    <s v="Single"/>
    <x v="1"/>
    <n v="1"/>
  </r>
  <r>
    <x v="969"/>
    <n v="60"/>
    <x v="0"/>
    <n v="1455975"/>
    <x v="0"/>
    <n v="662"/>
    <n v="1922229"/>
    <n v="7.68"/>
    <x v="4"/>
    <n v="485059"/>
    <x v="2"/>
    <x v="1"/>
    <s v="Married"/>
    <x v="2"/>
    <n v="0"/>
  </r>
  <r>
    <x v="970"/>
    <n v="60"/>
    <x v="1"/>
    <n v="1458262"/>
    <x v="1"/>
    <n v="527"/>
    <n v="1927413"/>
    <n v="14.31"/>
    <x v="1"/>
    <n v="486330"/>
    <x v="2"/>
    <x v="1"/>
    <s v="Married"/>
    <x v="2"/>
    <n v="1"/>
  </r>
  <r>
    <x v="971"/>
    <n v="60"/>
    <x v="1"/>
    <n v="1459321"/>
    <x v="1"/>
    <n v="836"/>
    <n v="1928995"/>
    <n v="8.86"/>
    <x v="2"/>
    <n v="486760"/>
    <x v="0"/>
    <x v="0"/>
    <s v="Single"/>
    <x v="2"/>
    <n v="0"/>
  </r>
  <r>
    <x v="972"/>
    <n v="60"/>
    <x v="0"/>
    <n v="1460597"/>
    <x v="1"/>
    <n v="755"/>
    <n v="1934253"/>
    <n v="10.83"/>
    <x v="0"/>
    <n v="486954"/>
    <x v="3"/>
    <x v="1"/>
    <s v="Single"/>
    <x v="0"/>
    <n v="0"/>
  </r>
  <r>
    <x v="973"/>
    <n v="60"/>
    <x v="0"/>
    <n v="1461656"/>
    <x v="1"/>
    <m/>
    <n v="1939823"/>
    <n v="15.45"/>
    <x v="4"/>
    <n v="487113"/>
    <x v="3"/>
    <x v="0"/>
    <s v="Married"/>
    <x v="1"/>
    <n v="1"/>
  </r>
  <r>
    <x v="974"/>
    <n v="60"/>
    <x v="0"/>
    <n v="1461722"/>
    <x v="1"/>
    <n v="585"/>
    <n v="1940183"/>
    <n v="14.87"/>
    <x v="1"/>
    <n v="487338"/>
    <x v="1"/>
    <x v="0"/>
    <s v="Single"/>
    <x v="2"/>
    <n v="0"/>
  </r>
  <r>
    <x v="975"/>
    <n v="60"/>
    <x v="1"/>
    <n v="1462527"/>
    <x v="1"/>
    <n v="815"/>
    <n v="1943107"/>
    <n v="8.02"/>
    <x v="3"/>
    <n v="487720"/>
    <x v="3"/>
    <x v="0"/>
    <s v="Married"/>
    <x v="1"/>
    <n v="0"/>
  </r>
  <r>
    <x v="976"/>
    <n v="60"/>
    <x v="1"/>
    <n v="1462940"/>
    <x v="1"/>
    <n v="697"/>
    <n v="1944521"/>
    <n v="15.44"/>
    <x v="2"/>
    <n v="488470"/>
    <x v="4"/>
    <x v="0"/>
    <s v="Married"/>
    <x v="1"/>
    <n v="0"/>
  </r>
  <r>
    <x v="977"/>
    <n v="60"/>
    <x v="0"/>
    <n v="1463385"/>
    <x v="1"/>
    <n v="843"/>
    <n v="1944934"/>
    <n v="16.22"/>
    <x v="1"/>
    <n v="490033"/>
    <x v="1"/>
    <x v="1"/>
    <s v="Married"/>
    <x v="2"/>
    <n v="0"/>
  </r>
  <r>
    <x v="978"/>
    <n v="60"/>
    <x v="1"/>
    <n v="1465982"/>
    <x v="1"/>
    <n v="674"/>
    <n v="1947175"/>
    <n v="13.25"/>
    <x v="1"/>
    <n v="490755"/>
    <x v="2"/>
    <x v="0"/>
    <s v="Single"/>
    <x v="0"/>
    <n v="0"/>
  </r>
  <r>
    <x v="979"/>
    <n v="60"/>
    <x v="0"/>
    <n v="1467765"/>
    <x v="1"/>
    <n v="599"/>
    <n v="1948486"/>
    <n v="11.55"/>
    <x v="3"/>
    <n v="491866"/>
    <x v="2"/>
    <x v="1"/>
    <s v="Single"/>
    <x v="2"/>
    <n v="0"/>
  </r>
  <r>
    <x v="980"/>
    <n v="60"/>
    <x v="1"/>
    <n v="1468920"/>
    <x v="1"/>
    <n v="357"/>
    <n v="1949398"/>
    <n v="8.91"/>
    <x v="4"/>
    <n v="492027"/>
    <x v="2"/>
    <x v="1"/>
    <s v="Single"/>
    <x v="2"/>
    <n v="0"/>
  </r>
  <r>
    <x v="981"/>
    <n v="60"/>
    <x v="0"/>
    <n v="1470656"/>
    <x v="0"/>
    <n v="665"/>
    <n v="1950838"/>
    <n v="15.6"/>
    <x v="2"/>
    <n v="492340"/>
    <x v="2"/>
    <x v="1"/>
    <s v="Married"/>
    <x v="2"/>
    <n v="0"/>
  </r>
  <r>
    <x v="982"/>
    <n v="60"/>
    <x v="0"/>
    <n v="1472888"/>
    <x v="0"/>
    <n v="848"/>
    <n v="1951600"/>
    <n v="8.35"/>
    <x v="3"/>
    <n v="492790"/>
    <x v="3"/>
    <x v="0"/>
    <s v="Single"/>
    <x v="0"/>
    <n v="0"/>
  </r>
  <r>
    <x v="983"/>
    <n v="60"/>
    <x v="0"/>
    <n v="1476923"/>
    <x v="1"/>
    <n v="375"/>
    <n v="1952868"/>
    <n v="14.59"/>
    <x v="2"/>
    <n v="493351"/>
    <x v="4"/>
    <x v="0"/>
    <s v="Single"/>
    <x v="2"/>
    <n v="0"/>
  </r>
  <r>
    <x v="984"/>
    <n v="60"/>
    <x v="0"/>
    <n v="1481722"/>
    <x v="1"/>
    <n v="809"/>
    <n v="1956773"/>
    <n v="11.52"/>
    <x v="4"/>
    <n v="493404"/>
    <x v="0"/>
    <x v="0"/>
    <s v="Single"/>
    <x v="0"/>
    <n v="0"/>
  </r>
  <r>
    <x v="985"/>
    <n v="60"/>
    <x v="0"/>
    <n v="1483204"/>
    <x v="1"/>
    <n v="454"/>
    <n v="1958906"/>
    <n v="8.8800000000000008"/>
    <x v="3"/>
    <n v="493959"/>
    <x v="2"/>
    <x v="0"/>
    <s v="Single"/>
    <x v="1"/>
    <n v="0"/>
  </r>
  <r>
    <x v="986"/>
    <n v="60"/>
    <x v="1"/>
    <n v="1484137"/>
    <x v="0"/>
    <n v="851"/>
    <n v="1961338"/>
    <n v="10.039999999999999"/>
    <x v="4"/>
    <n v="494521"/>
    <x v="2"/>
    <x v="0"/>
    <s v="Single"/>
    <x v="2"/>
    <n v="0"/>
  </r>
  <r>
    <x v="987"/>
    <n v="60"/>
    <x v="0"/>
    <n v="1484584"/>
    <x v="1"/>
    <n v="679"/>
    <n v="1961369"/>
    <n v="8.0399999999999991"/>
    <x v="4"/>
    <n v="494875"/>
    <x v="1"/>
    <x v="1"/>
    <s v="Single"/>
    <x v="1"/>
    <n v="0"/>
  </r>
  <r>
    <x v="988"/>
    <n v="60"/>
    <x v="0"/>
    <n v="1485375"/>
    <x v="0"/>
    <n v="326"/>
    <n v="1961879"/>
    <n v="11.65"/>
    <x v="3"/>
    <n v="495052"/>
    <x v="4"/>
    <x v="1"/>
    <s v="Single"/>
    <x v="0"/>
    <n v="0"/>
  </r>
  <r>
    <x v="989"/>
    <n v="60"/>
    <x v="1"/>
    <n v="1485742"/>
    <x v="0"/>
    <n v="686"/>
    <n v="1963120"/>
    <n v="14.14"/>
    <x v="3"/>
    <n v="496039"/>
    <x v="0"/>
    <x v="0"/>
    <s v="Single"/>
    <x v="0"/>
    <n v="0"/>
  </r>
  <r>
    <x v="990"/>
    <n v="60"/>
    <x v="1"/>
    <n v="1487054"/>
    <x v="1"/>
    <n v="861"/>
    <n v="1965258"/>
    <n v="14.45"/>
    <x v="0"/>
    <n v="496115"/>
    <x v="2"/>
    <x v="1"/>
    <s v="Single"/>
    <x v="2"/>
    <n v="0"/>
  </r>
  <r>
    <x v="991"/>
    <n v="60"/>
    <x v="1"/>
    <n v="1488009"/>
    <x v="1"/>
    <n v="318"/>
    <n v="1968962"/>
    <n v="14.18"/>
    <x v="0"/>
    <n v="496636"/>
    <x v="2"/>
    <x v="1"/>
    <s v="Married"/>
    <x v="1"/>
    <n v="1"/>
  </r>
  <r>
    <x v="992"/>
    <n v="60"/>
    <x v="0"/>
    <n v="1489246"/>
    <x v="0"/>
    <n v="825"/>
    <n v="1969451"/>
    <n v="13.95"/>
    <x v="2"/>
    <n v="496744"/>
    <x v="1"/>
    <x v="1"/>
    <s v="Single"/>
    <x v="2"/>
    <n v="0"/>
  </r>
  <r>
    <x v="993"/>
    <n v="60"/>
    <x v="1"/>
    <n v="1490690"/>
    <x v="0"/>
    <n v="412"/>
    <n v="1970351"/>
    <n v="13.13"/>
    <x v="0"/>
    <n v="497270"/>
    <x v="3"/>
    <x v="0"/>
    <s v="Married"/>
    <x v="0"/>
    <n v="1"/>
  </r>
  <r>
    <x v="994"/>
    <n v="60"/>
    <x v="0"/>
    <n v="1490761"/>
    <x v="0"/>
    <n v="795"/>
    <n v="1971041"/>
    <n v="10.41"/>
    <x v="2"/>
    <n v="497372"/>
    <x v="2"/>
    <x v="0"/>
    <s v="Married"/>
    <x v="2"/>
    <n v="0"/>
  </r>
  <r>
    <x v="995"/>
    <n v="60"/>
    <x v="1"/>
    <n v="1493082"/>
    <x v="0"/>
    <n v="430"/>
    <n v="1981105"/>
    <n v="16.37"/>
    <x v="0"/>
    <n v="498206"/>
    <x v="3"/>
    <x v="0"/>
    <s v="Married"/>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5C786A-7A16-46AD-AB1B-2E86F79A31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7" firstHeaderRow="1" firstDataRow="1" firstDataCol="1"/>
  <pivotFields count="15">
    <pivotField showAll="0"/>
    <pivotField showAll="0"/>
    <pivotField showAll="0">
      <items count="4">
        <item x="1"/>
        <item x="0"/>
        <item x="2"/>
        <item t="default"/>
      </items>
    </pivotField>
    <pivotField showAll="0"/>
    <pivotField showAll="0">
      <items count="3">
        <item x="0"/>
        <item x="1"/>
        <item t="default"/>
      </items>
    </pivotField>
    <pivotField dataField="1" showAll="0"/>
    <pivotField showAll="0"/>
    <pivotField showAll="0"/>
    <pivotField showAll="0"/>
    <pivotField showAll="0"/>
    <pivotField showAll="0">
      <items count="6">
        <item x="2"/>
        <item x="4"/>
        <item x="1"/>
        <item x="3"/>
        <item x="0"/>
        <item t="default"/>
      </items>
    </pivotField>
    <pivotField showAll="0">
      <items count="3">
        <item x="1"/>
        <item h="1" x="0"/>
        <item t="default"/>
      </items>
    </pivotField>
    <pivotField showAll="0"/>
    <pivotField axis="axisRow" showAll="0">
      <items count="4">
        <item x="0"/>
        <item x="2"/>
        <item x="1"/>
        <item t="default"/>
      </items>
    </pivotField>
    <pivotField showAll="0"/>
  </pivotFields>
  <rowFields count="1">
    <field x="13"/>
  </rowFields>
  <rowItems count="4">
    <i>
      <x/>
    </i>
    <i>
      <x v="1"/>
    </i>
    <i>
      <x v="2"/>
    </i>
    <i t="grand">
      <x/>
    </i>
  </rowItems>
  <colItems count="1">
    <i/>
  </colItems>
  <dataFields count="1">
    <dataField name="Sum of Credit_Score" fld="5"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8538B2-0518-4C0D-891D-8072D86CD5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7" firstHeaderRow="1" firstDataRow="1" firstDataCol="1"/>
  <pivotFields count="15">
    <pivotField showAll="0"/>
    <pivotField showAll="0"/>
    <pivotField axis="axisRow" showAll="0">
      <items count="4">
        <item x="1"/>
        <item x="0"/>
        <item x="2"/>
        <item t="default"/>
      </items>
    </pivotField>
    <pivotField showAll="0"/>
    <pivotField showAll="0">
      <items count="3">
        <item x="0"/>
        <item x="1"/>
        <item t="default"/>
      </items>
    </pivotField>
    <pivotField showAll="0"/>
    <pivotField showAll="0"/>
    <pivotField showAll="0"/>
    <pivotField showAll="0"/>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dataField="1" showAll="0"/>
  </pivotFields>
  <rowFields count="1">
    <field x="2"/>
  </rowFields>
  <rowItems count="4">
    <i>
      <x/>
    </i>
    <i>
      <x v="1"/>
    </i>
    <i>
      <x v="2"/>
    </i>
    <i t="grand">
      <x/>
    </i>
  </rowItems>
  <colItems count="1">
    <i/>
  </colItems>
  <dataFields count="1">
    <dataField name="Sum of Default" fld="14"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18193D-7793-4331-940C-3193A0A7E4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1:H23" firstHeaderRow="1" firstDataRow="1" firstDataCol="1"/>
  <pivotFields count="15">
    <pivotField dataField="1" showAll="0"/>
    <pivotField showAll="0"/>
    <pivotField showAll="0">
      <items count="4">
        <item x="1"/>
        <item x="0"/>
        <item x="2"/>
        <item t="default"/>
      </items>
    </pivotField>
    <pivotField showAll="0"/>
    <pivotField showAll="0">
      <items count="3">
        <item x="0"/>
        <item x="1"/>
        <item t="default"/>
      </items>
    </pivotField>
    <pivotField showAll="0"/>
    <pivotField showAll="0"/>
    <pivotField showAll="0"/>
    <pivotField showAll="0"/>
    <pivotField showAll="0"/>
    <pivotField showAll="0">
      <items count="6">
        <item x="2"/>
        <item x="4"/>
        <item x="1"/>
        <item x="3"/>
        <item x="0"/>
        <item t="default"/>
      </items>
    </pivotField>
    <pivotField axis="axisRow" showAll="0">
      <items count="3">
        <item x="1"/>
        <item h="1" x="0"/>
        <item t="default"/>
      </items>
    </pivotField>
    <pivotField showAll="0"/>
    <pivotField showAll="0">
      <items count="4">
        <item x="0"/>
        <item x="2"/>
        <item x="1"/>
        <item t="default"/>
      </items>
    </pivotField>
    <pivotField showAll="0"/>
  </pivotFields>
  <rowFields count="1">
    <field x="11"/>
  </rowFields>
  <rowItems count="2">
    <i>
      <x/>
    </i>
    <i t="grand">
      <x/>
    </i>
  </rowItems>
  <colItems count="1">
    <i/>
  </colItems>
  <dataFields count="1">
    <dataField name="Count of Loan_ID" fld="0" subtotal="count"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840BF7-6CE3-4893-BC8A-70CB2E072F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43:I44" firstHeaderRow="1" firstDataRow="1" firstDataCol="0"/>
  <pivotFields count="15">
    <pivotField showAll="0"/>
    <pivotField showAll="0"/>
    <pivotField showAll="0">
      <items count="4">
        <item x="1"/>
        <item x="0"/>
        <item x="2"/>
        <item t="default"/>
      </items>
    </pivotField>
    <pivotField showAll="0"/>
    <pivotField showAll="0">
      <items count="3">
        <item x="0"/>
        <item x="1"/>
        <item t="default"/>
      </items>
    </pivotField>
    <pivotField showAll="0"/>
    <pivotField showAll="0"/>
    <pivotField showAll="0"/>
    <pivotField showAll="0"/>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dataField="1" showAll="0"/>
  </pivotFields>
  <rowItems count="1">
    <i/>
  </rowItems>
  <colItems count="1">
    <i/>
  </colItems>
  <dataFields count="1">
    <dataField name="Sum of Defaul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2E3A3-E4C5-48CA-8A54-A1B7FBD8C6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3:G44" firstHeaderRow="1" firstDataRow="1" firstDataCol="0"/>
  <pivotFields count="15">
    <pivotField showAll="0"/>
    <pivotField showAll="0"/>
    <pivotField showAll="0">
      <items count="4">
        <item x="1"/>
        <item x="0"/>
        <item x="2"/>
        <item t="default"/>
      </items>
    </pivotField>
    <pivotField showAll="0"/>
    <pivotField showAll="0">
      <items count="3">
        <item x="0"/>
        <item x="1"/>
        <item t="default"/>
      </items>
    </pivotField>
    <pivotField dataField="1" showAll="0"/>
    <pivotField showAll="0"/>
    <pivotField showAll="0"/>
    <pivotField showAll="0"/>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showAll="0"/>
  </pivotFields>
  <rowItems count="1">
    <i/>
  </rowItems>
  <colItems count="1">
    <i/>
  </colItems>
  <dataFields count="1">
    <dataField name="Average of Credit_Sco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12268-A59F-4289-B965-D056B20071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43:E44" firstHeaderRow="1" firstDataRow="1" firstDataCol="0"/>
  <pivotFields count="15">
    <pivotField showAll="0"/>
    <pivotField showAll="0"/>
    <pivotField showAll="0">
      <items count="4">
        <item x="1"/>
        <item x="0"/>
        <item x="2"/>
        <item t="default"/>
      </items>
    </pivotField>
    <pivotField showAll="0"/>
    <pivotField showAll="0">
      <items count="3">
        <item x="0"/>
        <item x="1"/>
        <item t="default"/>
      </items>
    </pivotField>
    <pivotField showAll="0"/>
    <pivotField dataField="1" showAll="0"/>
    <pivotField showAll="0"/>
    <pivotField showAll="0"/>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showAll="0"/>
  </pivotFields>
  <rowItems count="1">
    <i/>
  </rowItems>
  <colItems count="1">
    <i/>
  </colItems>
  <dataFields count="1">
    <dataField name="Sum of Loan_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2C8E73-8C07-4648-B5DB-A39014F9CB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6" firstHeaderRow="1" firstDataRow="1" firstDataCol="1"/>
  <pivotFields count="15">
    <pivotField showAll="0"/>
    <pivotField showAll="0"/>
    <pivotField showAll="0">
      <items count="4">
        <item x="1"/>
        <item x="0"/>
        <item x="2"/>
        <item t="default"/>
      </items>
    </pivotField>
    <pivotField dataField="1" showAll="0"/>
    <pivotField axis="axisRow" showAll="0">
      <items count="3">
        <item x="0"/>
        <item x="1"/>
        <item t="default"/>
      </items>
    </pivotField>
    <pivotField showAll="0"/>
    <pivotField showAll="0"/>
    <pivotField showAll="0"/>
    <pivotField showAll="0"/>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showAll="0"/>
  </pivotFields>
  <rowFields count="1">
    <field x="4"/>
  </rowFields>
  <rowItems count="3">
    <i>
      <x/>
    </i>
    <i>
      <x v="1"/>
    </i>
    <i t="grand">
      <x/>
    </i>
  </rowItems>
  <colItems count="1">
    <i/>
  </colItems>
  <dataFields count="1">
    <dataField name="Sum of Annual_Income" fld="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D3CA8A-83F4-4E40-A564-3C454B8B1C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B518" firstHeaderRow="1" firstDataRow="1" firstDataCol="1"/>
  <pivotFields count="15">
    <pivotField axis="axisRow" dataField="1" showAll="0">
      <items count="997">
        <item x="648"/>
        <item x="44"/>
        <item x="334"/>
        <item x="388"/>
        <item x="678"/>
        <item x="599"/>
        <item x="73"/>
        <item x="679"/>
        <item x="20"/>
        <item x="45"/>
        <item x="46"/>
        <item x="74"/>
        <item x="389"/>
        <item x="902"/>
        <item x="21"/>
        <item x="553"/>
        <item x="128"/>
        <item x="162"/>
        <item x="680"/>
        <item x="903"/>
        <item x="485"/>
        <item x="129"/>
        <item x="600"/>
        <item x="649"/>
        <item x="47"/>
        <item x="130"/>
        <item x="750"/>
        <item x="48"/>
        <item x="363"/>
        <item x="390"/>
        <item x="486"/>
        <item x="862"/>
        <item x="464"/>
        <item x="420"/>
        <item x="267"/>
        <item x="335"/>
        <item x="601"/>
        <item x="131"/>
        <item x="681"/>
        <item x="0"/>
        <item x="215"/>
        <item x="904"/>
        <item x="291"/>
        <item x="583"/>
        <item x="336"/>
        <item x="876"/>
        <item x="95"/>
        <item x="905"/>
        <item x="487"/>
        <item x="22"/>
        <item x="787"/>
        <item x="163"/>
        <item x="863"/>
        <item x="488"/>
        <item x="906"/>
        <item x="465"/>
        <item x="317"/>
        <item x="489"/>
        <item x="602"/>
        <item x="337"/>
        <item x="772"/>
        <item x="682"/>
        <item x="683"/>
        <item x="584"/>
        <item x="809"/>
        <item x="515"/>
        <item x="239"/>
        <item x="132"/>
        <item x="318"/>
        <item x="240"/>
        <item x="96"/>
        <item x="241"/>
        <item x="364"/>
        <item x="968"/>
        <item x="466"/>
        <item x="969"/>
        <item x="603"/>
        <item x="838"/>
        <item x="189"/>
        <item x="467"/>
        <item x="907"/>
        <item x="630"/>
        <item x="319"/>
        <item x="190"/>
        <item x="721"/>
        <item x="877"/>
        <item x="970"/>
        <item x="773"/>
        <item x="338"/>
        <item x="554"/>
        <item x="810"/>
        <item x="631"/>
        <item x="242"/>
        <item x="650"/>
        <item x="365"/>
        <item x="908"/>
        <item x="97"/>
        <item x="49"/>
        <item x="516"/>
        <item x="909"/>
        <item x="941"/>
        <item x="366"/>
        <item x="878"/>
        <item x="864"/>
        <item x="879"/>
        <item x="839"/>
        <item x="50"/>
        <item x="216"/>
        <item x="910"/>
        <item x="651"/>
        <item x="604"/>
        <item x="98"/>
        <item x="1"/>
        <item x="684"/>
        <item x="652"/>
        <item x="840"/>
        <item x="133"/>
        <item x="537"/>
        <item x="320"/>
        <item x="811"/>
        <item x="751"/>
        <item x="243"/>
        <item x="134"/>
        <item x="339"/>
        <item x="340"/>
        <item x="135"/>
        <item x="244"/>
        <item x="653"/>
        <item x="23"/>
        <item x="911"/>
        <item x="24"/>
        <item x="912"/>
        <item x="722"/>
        <item x="685"/>
        <item x="880"/>
        <item x="292"/>
        <item x="774"/>
        <item x="555"/>
        <item x="517"/>
        <item x="702"/>
        <item x="164"/>
        <item x="191"/>
        <item x="881"/>
        <item x="654"/>
        <item x="293"/>
        <item x="605"/>
        <item x="655"/>
        <item x="971"/>
        <item x="632"/>
        <item x="268"/>
        <item x="99"/>
        <item x="556"/>
        <item x="913"/>
        <item x="443"/>
        <item x="136"/>
        <item x="421"/>
        <item x="192"/>
        <item x="165"/>
        <item x="193"/>
        <item x="633"/>
        <item x="217"/>
        <item x="75"/>
        <item x="788"/>
        <item x="972"/>
        <item x="100"/>
        <item x="942"/>
        <item x="656"/>
        <item x="723"/>
        <item x="606"/>
        <item x="2"/>
        <item x="101"/>
        <item x="841"/>
        <item x="391"/>
        <item x="137"/>
        <item x="724"/>
        <item x="657"/>
        <item x="76"/>
        <item x="269"/>
        <item x="557"/>
        <item x="194"/>
        <item x="270"/>
        <item x="725"/>
        <item x="865"/>
        <item x="658"/>
        <item x="195"/>
        <item x="789"/>
        <item x="607"/>
        <item x="294"/>
        <item x="608"/>
        <item x="882"/>
        <item x="914"/>
        <item x="609"/>
        <item x="842"/>
        <item x="752"/>
        <item x="726"/>
        <item x="812"/>
        <item x="538"/>
        <item x="367"/>
        <item x="539"/>
        <item x="271"/>
        <item x="866"/>
        <item x="392"/>
        <item x="218"/>
        <item x="558"/>
        <item x="813"/>
        <item x="659"/>
        <item x="686"/>
        <item x="77"/>
        <item x="444"/>
        <item x="422"/>
        <item x="445"/>
        <item x="78"/>
        <item x="341"/>
        <item x="753"/>
        <item x="687"/>
        <item x="368"/>
        <item x="272"/>
        <item x="727"/>
        <item x="585"/>
        <item x="166"/>
        <item x="943"/>
        <item x="102"/>
        <item x="518"/>
        <item x="273"/>
        <item x="446"/>
        <item x="103"/>
        <item x="3"/>
        <item x="104"/>
        <item x="610"/>
        <item x="867"/>
        <item x="519"/>
        <item x="105"/>
        <item x="611"/>
        <item x="728"/>
        <item x="423"/>
        <item x="915"/>
        <item x="51"/>
        <item x="196"/>
        <item x="245"/>
        <item x="447"/>
        <item x="520"/>
        <item x="25"/>
        <item x="944"/>
        <item x="197"/>
        <item x="448"/>
        <item x="612"/>
        <item x="424"/>
        <item x="198"/>
        <item x="219"/>
        <item x="220"/>
        <item x="246"/>
        <item x="106"/>
        <item x="393"/>
        <item x="559"/>
        <item x="883"/>
        <item x="754"/>
        <item x="449"/>
        <item x="814"/>
        <item x="843"/>
        <item x="394"/>
        <item x="560"/>
        <item x="521"/>
        <item x="221"/>
        <item x="613"/>
        <item x="916"/>
        <item x="222"/>
        <item x="729"/>
        <item x="369"/>
        <item x="660"/>
        <item x="775"/>
        <item x="917"/>
        <item x="425"/>
        <item x="426"/>
        <item x="490"/>
        <item x="26"/>
        <item x="79"/>
        <item x="138"/>
        <item x="167"/>
        <item x="703"/>
        <item x="295"/>
        <item x="168"/>
        <item x="223"/>
        <item x="688"/>
        <item x="918"/>
        <item x="491"/>
        <item x="755"/>
        <item x="561"/>
        <item x="815"/>
        <item x="395"/>
        <item x="945"/>
        <item x="704"/>
        <item x="844"/>
        <item x="562"/>
        <item x="730"/>
        <item x="296"/>
        <item x="522"/>
        <item x="107"/>
        <item x="396"/>
        <item x="108"/>
        <item x="540"/>
        <item x="342"/>
        <item x="4"/>
        <item x="274"/>
        <item x="973"/>
        <item x="370"/>
        <item x="224"/>
        <item x="468"/>
        <item x="974"/>
        <item x="169"/>
        <item x="946"/>
        <item x="705"/>
        <item x="247"/>
        <item x="275"/>
        <item x="450"/>
        <item x="661"/>
        <item x="248"/>
        <item x="731"/>
        <item x="919"/>
        <item x="614"/>
        <item x="634"/>
        <item x="845"/>
        <item x="139"/>
        <item x="975"/>
        <item x="52"/>
        <item x="541"/>
        <item x="947"/>
        <item x="109"/>
        <item x="586"/>
        <item x="790"/>
        <item x="976"/>
        <item x="920"/>
        <item x="276"/>
        <item x="397"/>
        <item x="587"/>
        <item x="170"/>
        <item x="5"/>
        <item x="321"/>
        <item x="977"/>
        <item x="6"/>
        <item x="297"/>
        <item x="662"/>
        <item x="398"/>
        <item x="948"/>
        <item x="298"/>
        <item x="299"/>
        <item x="978"/>
        <item x="140"/>
        <item x="563"/>
        <item x="492"/>
        <item x="921"/>
        <item x="399"/>
        <item x="884"/>
        <item x="343"/>
        <item x="615"/>
        <item x="791"/>
        <item x="846"/>
        <item x="493"/>
        <item x="469"/>
        <item x="776"/>
        <item x="588"/>
        <item x="300"/>
        <item x="110"/>
        <item x="847"/>
        <item x="111"/>
        <item x="922"/>
        <item x="80"/>
        <item x="979"/>
        <item x="564"/>
        <item x="848"/>
        <item x="301"/>
        <item x="885"/>
        <item x="777"/>
        <item x="494"/>
        <item x="980"/>
        <item x="756"/>
        <item x="171"/>
        <item x="141"/>
        <item x="277"/>
        <item x="225"/>
        <item x="542"/>
        <item x="142"/>
        <item x="495"/>
        <item x="981"/>
        <item x="470"/>
        <item x="706"/>
        <item x="81"/>
        <item x="199"/>
        <item x="172"/>
        <item x="344"/>
        <item x="635"/>
        <item x="278"/>
        <item x="371"/>
        <item x="663"/>
        <item x="471"/>
        <item x="689"/>
        <item x="279"/>
        <item x="496"/>
        <item x="982"/>
        <item x="302"/>
        <item x="732"/>
        <item x="523"/>
        <item x="778"/>
        <item x="472"/>
        <item x="372"/>
        <item x="112"/>
        <item x="7"/>
        <item x="82"/>
        <item x="543"/>
        <item x="779"/>
        <item x="303"/>
        <item x="27"/>
        <item x="780"/>
        <item x="200"/>
        <item x="949"/>
        <item x="733"/>
        <item x="792"/>
        <item x="524"/>
        <item x="793"/>
        <item x="757"/>
        <item x="707"/>
        <item x="849"/>
        <item x="497"/>
        <item x="565"/>
        <item x="345"/>
        <item x="322"/>
        <item x="173"/>
        <item x="983"/>
        <item x="566"/>
        <item x="226"/>
        <item x="498"/>
        <item x="567"/>
        <item x="83"/>
        <item x="28"/>
        <item x="850"/>
        <item x="589"/>
        <item x="427"/>
        <item x="851"/>
        <item x="53"/>
        <item x="346"/>
        <item x="758"/>
        <item x="451"/>
        <item x="400"/>
        <item x="54"/>
        <item x="29"/>
        <item x="690"/>
        <item x="984"/>
        <item x="499"/>
        <item x="708"/>
        <item x="816"/>
        <item x="473"/>
        <item x="323"/>
        <item x="734"/>
        <item x="950"/>
        <item x="201"/>
        <item x="249"/>
        <item x="113"/>
        <item x="373"/>
        <item x="202"/>
        <item x="691"/>
        <item x="114"/>
        <item x="525"/>
        <item x="401"/>
        <item x="55"/>
        <item x="923"/>
        <item x="115"/>
        <item x="227"/>
        <item x="402"/>
        <item x="817"/>
        <item x="794"/>
        <item x="116"/>
        <item x="84"/>
        <item x="709"/>
        <item x="636"/>
        <item x="428"/>
        <item x="174"/>
        <item x="710"/>
        <item x="143"/>
        <item x="735"/>
        <item x="374"/>
        <item x="144"/>
        <item x="759"/>
        <item x="347"/>
        <item x="868"/>
        <item x="795"/>
        <item x="869"/>
        <item x="175"/>
        <item x="56"/>
        <item x="616"/>
        <item x="176"/>
        <item x="951"/>
        <item x="375"/>
        <item x="145"/>
        <item x="664"/>
        <item x="617"/>
        <item x="177"/>
        <item x="8"/>
        <item x="500"/>
        <item x="852"/>
        <item x="886"/>
        <item x="796"/>
        <item x="637"/>
        <item x="280"/>
        <item x="985"/>
        <item x="403"/>
        <item x="952"/>
        <item x="348"/>
        <item x="924"/>
        <item x="349"/>
        <item x="429"/>
        <item x="526"/>
        <item x="711"/>
        <item x="953"/>
        <item x="304"/>
        <item x="986"/>
        <item x="638"/>
        <item x="692"/>
        <item x="404"/>
        <item x="618"/>
        <item x="987"/>
        <item x="797"/>
        <item x="544"/>
        <item x="818"/>
        <item x="452"/>
        <item x="870"/>
        <item x="568"/>
        <item x="146"/>
        <item x="250"/>
        <item x="57"/>
        <item x="430"/>
        <item x="203"/>
        <item x="545"/>
        <item x="431"/>
        <item x="405"/>
        <item x="665"/>
        <item x="453"/>
        <item x="712"/>
        <item x="590"/>
        <item x="350"/>
        <item x="798"/>
        <item x="954"/>
        <item x="955"/>
        <item x="406"/>
        <item x="85"/>
        <item x="887"/>
        <item x="407"/>
        <item x="781"/>
        <item x="819"/>
        <item x="178"/>
        <item x="179"/>
        <item x="799"/>
        <item x="925"/>
        <item x="591"/>
        <item x="619"/>
        <item x="281"/>
        <item x="501"/>
        <item x="147"/>
        <item x="639"/>
        <item x="853"/>
        <item x="760"/>
        <item x="782"/>
        <item x="30"/>
        <item x="58"/>
        <item x="783"/>
        <item x="820"/>
        <item x="988"/>
        <item x="821"/>
        <item x="854"/>
        <item x="822"/>
        <item x="784"/>
        <item x="180"/>
        <item x="502"/>
        <item x="527"/>
        <item x="823"/>
        <item x="824"/>
        <item x="148"/>
        <item x="503"/>
        <item x="305"/>
        <item x="569"/>
        <item x="620"/>
        <item x="666"/>
        <item x="408"/>
        <item x="474"/>
        <item x="117"/>
        <item x="454"/>
        <item x="228"/>
        <item x="282"/>
        <item x="118"/>
        <item x="204"/>
        <item x="475"/>
        <item x="283"/>
        <item x="926"/>
        <item x="229"/>
        <item x="855"/>
        <item x="825"/>
        <item x="927"/>
        <item x="9"/>
        <item x="761"/>
        <item x="640"/>
        <item x="455"/>
        <item x="10"/>
        <item x="205"/>
        <item x="888"/>
        <item x="86"/>
        <item x="528"/>
        <item x="928"/>
        <item x="181"/>
        <item x="284"/>
        <item x="641"/>
        <item x="621"/>
        <item x="592"/>
        <item x="956"/>
        <item x="667"/>
        <item x="285"/>
        <item x="570"/>
        <item x="149"/>
        <item x="571"/>
        <item x="409"/>
        <item x="182"/>
        <item x="546"/>
        <item x="529"/>
        <item x="432"/>
        <item x="251"/>
        <item x="889"/>
        <item x="31"/>
        <item x="929"/>
        <item x="890"/>
        <item x="547"/>
        <item x="87"/>
        <item x="530"/>
        <item x="891"/>
        <item x="930"/>
        <item x="11"/>
        <item x="736"/>
        <item x="762"/>
        <item x="286"/>
        <item x="183"/>
        <item x="230"/>
        <item x="150"/>
        <item x="668"/>
        <item x="410"/>
        <item x="287"/>
        <item x="476"/>
        <item x="504"/>
        <item x="12"/>
        <item x="456"/>
        <item x="826"/>
        <item x="622"/>
        <item x="32"/>
        <item x="324"/>
        <item x="593"/>
        <item x="931"/>
        <item x="572"/>
        <item x="252"/>
        <item x="253"/>
        <item x="892"/>
        <item x="151"/>
        <item x="932"/>
        <item x="893"/>
        <item x="119"/>
        <item x="827"/>
        <item x="433"/>
        <item x="184"/>
        <item x="411"/>
        <item x="989"/>
        <item x="894"/>
        <item x="573"/>
        <item x="763"/>
        <item x="531"/>
        <item x="351"/>
        <item x="693"/>
        <item x="306"/>
        <item x="764"/>
        <item x="88"/>
        <item x="13"/>
        <item x="325"/>
        <item x="532"/>
        <item x="713"/>
        <item x="623"/>
        <item x="871"/>
        <item x="120"/>
        <item x="59"/>
        <item x="307"/>
        <item x="548"/>
        <item x="60"/>
        <item x="990"/>
        <item x="669"/>
        <item x="642"/>
        <item x="694"/>
        <item x="765"/>
        <item x="695"/>
        <item x="574"/>
        <item x="800"/>
        <item x="308"/>
        <item x="352"/>
        <item x="933"/>
        <item x="376"/>
        <item x="737"/>
        <item x="828"/>
        <item x="152"/>
        <item x="231"/>
        <item x="232"/>
        <item x="957"/>
        <item x="670"/>
        <item x="121"/>
        <item x="856"/>
        <item x="33"/>
        <item x="353"/>
        <item x="206"/>
        <item x="122"/>
        <item x="738"/>
        <item x="254"/>
        <item x="549"/>
        <item x="309"/>
        <item x="958"/>
        <item x="123"/>
        <item x="34"/>
        <item x="412"/>
        <item x="413"/>
        <item x="354"/>
        <item x="153"/>
        <item x="326"/>
        <item x="154"/>
        <item x="327"/>
        <item x="89"/>
        <item x="377"/>
        <item x="155"/>
        <item x="233"/>
        <item x="991"/>
        <item x="934"/>
        <item x="594"/>
        <item x="310"/>
        <item x="328"/>
        <item x="207"/>
        <item x="624"/>
        <item x="311"/>
        <item x="312"/>
        <item x="457"/>
        <item x="378"/>
        <item x="575"/>
        <item x="35"/>
        <item x="576"/>
        <item x="313"/>
        <item x="595"/>
        <item x="895"/>
        <item x="458"/>
        <item x="959"/>
        <item x="355"/>
        <item x="14"/>
        <item x="992"/>
        <item x="714"/>
        <item x="61"/>
        <item x="643"/>
        <item x="577"/>
        <item x="477"/>
        <item x="533"/>
        <item x="314"/>
        <item x="459"/>
        <item x="234"/>
        <item x="124"/>
        <item x="993"/>
        <item x="460"/>
        <item x="62"/>
        <item x="505"/>
        <item x="578"/>
        <item x="739"/>
        <item x="829"/>
        <item x="90"/>
        <item x="715"/>
        <item x="434"/>
        <item x="356"/>
        <item x="63"/>
        <item x="644"/>
        <item x="255"/>
        <item x="785"/>
        <item x="696"/>
        <item x="256"/>
        <item x="257"/>
        <item x="671"/>
        <item x="740"/>
        <item x="478"/>
        <item x="830"/>
        <item x="857"/>
        <item x="125"/>
        <item x="831"/>
        <item x="435"/>
        <item x="414"/>
        <item x="415"/>
        <item x="15"/>
        <item x="416"/>
        <item x="288"/>
        <item x="379"/>
        <item x="16"/>
        <item x="185"/>
        <item x="329"/>
        <item x="417"/>
        <item x="36"/>
        <item x="672"/>
        <item x="258"/>
        <item x="91"/>
        <item x="741"/>
        <item x="960"/>
        <item x="506"/>
        <item x="625"/>
        <item x="896"/>
        <item x="37"/>
        <item x="479"/>
        <item x="766"/>
        <item x="330"/>
        <item x="832"/>
        <item x="64"/>
        <item x="994"/>
        <item x="697"/>
        <item x="235"/>
        <item x="65"/>
        <item x="380"/>
        <item x="208"/>
        <item x="315"/>
        <item x="935"/>
        <item x="436"/>
        <item x="259"/>
        <item x="480"/>
        <item x="331"/>
        <item x="186"/>
        <item x="507"/>
        <item x="897"/>
        <item x="767"/>
        <item x="936"/>
        <item x="66"/>
        <item x="357"/>
        <item x="209"/>
        <item x="596"/>
        <item x="716"/>
        <item x="833"/>
        <item x="210"/>
        <item x="126"/>
        <item x="92"/>
        <item x="768"/>
        <item x="260"/>
        <item x="481"/>
        <item x="261"/>
        <item x="995"/>
        <item x="211"/>
        <item x="461"/>
        <item x="212"/>
        <item x="437"/>
        <item x="67"/>
        <item x="898"/>
        <item x="801"/>
        <item x="597"/>
        <item x="462"/>
        <item x="834"/>
        <item x="742"/>
        <item x="626"/>
        <item x="381"/>
        <item x="482"/>
        <item x="187"/>
        <item x="316"/>
        <item x="550"/>
        <item x="156"/>
        <item x="157"/>
        <item x="213"/>
        <item x="358"/>
        <item x="743"/>
        <item x="673"/>
        <item x="961"/>
        <item x="418"/>
        <item x="332"/>
        <item x="872"/>
        <item x="899"/>
        <item x="262"/>
        <item x="17"/>
        <item x="438"/>
        <item x="18"/>
        <item x="645"/>
        <item x="802"/>
        <item x="744"/>
        <item x="508"/>
        <item x="534"/>
        <item x="717"/>
        <item x="674"/>
        <item x="236"/>
        <item x="803"/>
        <item x="900"/>
        <item x="188"/>
        <item x="873"/>
        <item x="38"/>
        <item x="804"/>
        <item x="93"/>
        <item x="937"/>
        <item x="858"/>
        <item x="39"/>
        <item x="382"/>
        <item x="962"/>
        <item x="745"/>
        <item x="874"/>
        <item x="769"/>
        <item x="675"/>
        <item x="483"/>
        <item x="263"/>
        <item x="509"/>
        <item x="383"/>
        <item x="384"/>
        <item x="359"/>
        <item x="463"/>
        <item x="901"/>
        <item x="68"/>
        <item x="718"/>
        <item x="385"/>
        <item x="40"/>
        <item x="510"/>
        <item x="579"/>
        <item x="511"/>
        <item x="551"/>
        <item x="512"/>
        <item x="646"/>
        <item x="386"/>
        <item x="627"/>
        <item x="41"/>
        <item x="746"/>
        <item x="439"/>
        <item x="805"/>
        <item x="264"/>
        <item x="360"/>
        <item x="42"/>
        <item x="747"/>
        <item x="628"/>
        <item x="938"/>
        <item x="748"/>
        <item x="806"/>
        <item x="859"/>
        <item x="535"/>
        <item x="158"/>
        <item x="19"/>
        <item x="629"/>
        <item x="440"/>
        <item x="536"/>
        <item x="159"/>
        <item x="598"/>
        <item x="963"/>
        <item x="580"/>
        <item x="94"/>
        <item x="964"/>
        <item x="387"/>
        <item x="835"/>
        <item x="786"/>
        <item x="237"/>
        <item x="698"/>
        <item x="581"/>
        <item x="770"/>
        <item x="441"/>
        <item x="214"/>
        <item x="647"/>
        <item x="860"/>
        <item x="807"/>
        <item x="939"/>
        <item x="699"/>
        <item x="719"/>
        <item x="160"/>
        <item x="69"/>
        <item x="749"/>
        <item x="70"/>
        <item x="582"/>
        <item x="836"/>
        <item x="965"/>
        <item x="265"/>
        <item x="513"/>
        <item x="484"/>
        <item x="966"/>
        <item x="837"/>
        <item x="289"/>
        <item x="676"/>
        <item x="361"/>
        <item x="808"/>
        <item x="442"/>
        <item x="861"/>
        <item x="362"/>
        <item x="290"/>
        <item x="419"/>
        <item x="700"/>
        <item x="514"/>
        <item x="43"/>
        <item x="720"/>
        <item x="701"/>
        <item x="71"/>
        <item x="677"/>
        <item x="552"/>
        <item x="875"/>
        <item x="771"/>
        <item x="266"/>
        <item x="333"/>
        <item x="72"/>
        <item x="127"/>
        <item x="967"/>
        <item x="161"/>
        <item x="238"/>
        <item x="940"/>
        <item t="default"/>
      </items>
    </pivotField>
    <pivotField showAll="0"/>
    <pivotField showAll="0">
      <items count="4">
        <item x="1"/>
        <item x="0"/>
        <item x="2"/>
        <item t="default"/>
      </items>
    </pivotField>
    <pivotField showAll="0"/>
    <pivotField showAll="0">
      <items count="3">
        <item x="0"/>
        <item x="1"/>
        <item t="default"/>
      </items>
    </pivotField>
    <pivotField showAll="0"/>
    <pivotField showAll="0"/>
    <pivotField showAll="0"/>
    <pivotField showAll="0">
      <items count="6">
        <item sd="0" x="3"/>
        <item x="1"/>
        <item sd="0" x="2"/>
        <item sd="0" x="0"/>
        <item sd="0" x="4"/>
        <item t="default" sd="0"/>
      </items>
    </pivotField>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showAll="0"/>
  </pivotFields>
  <rowFields count="1">
    <field x="0"/>
  </rowFields>
  <rowItems count="475">
    <i>
      <x/>
    </i>
    <i>
      <x v="1"/>
    </i>
    <i>
      <x v="2"/>
    </i>
    <i>
      <x v="3"/>
    </i>
    <i>
      <x v="5"/>
    </i>
    <i>
      <x v="6"/>
    </i>
    <i>
      <x v="8"/>
    </i>
    <i>
      <x v="9"/>
    </i>
    <i>
      <x v="10"/>
    </i>
    <i>
      <x v="12"/>
    </i>
    <i>
      <x v="13"/>
    </i>
    <i>
      <x v="14"/>
    </i>
    <i>
      <x v="15"/>
    </i>
    <i>
      <x v="17"/>
    </i>
    <i>
      <x v="20"/>
    </i>
    <i>
      <x v="23"/>
    </i>
    <i>
      <x v="24"/>
    </i>
    <i>
      <x v="25"/>
    </i>
    <i>
      <x v="29"/>
    </i>
    <i>
      <x v="31"/>
    </i>
    <i>
      <x v="33"/>
    </i>
    <i>
      <x v="34"/>
    </i>
    <i>
      <x v="35"/>
    </i>
    <i>
      <x v="36"/>
    </i>
    <i>
      <x v="40"/>
    </i>
    <i>
      <x v="41"/>
    </i>
    <i>
      <x v="44"/>
    </i>
    <i>
      <x v="45"/>
    </i>
    <i>
      <x v="51"/>
    </i>
    <i>
      <x v="52"/>
    </i>
    <i>
      <x v="54"/>
    </i>
    <i>
      <x v="57"/>
    </i>
    <i>
      <x v="61"/>
    </i>
    <i>
      <x v="62"/>
    </i>
    <i>
      <x v="64"/>
    </i>
    <i>
      <x v="67"/>
    </i>
    <i>
      <x v="69"/>
    </i>
    <i>
      <x v="70"/>
    </i>
    <i>
      <x v="73"/>
    </i>
    <i>
      <x v="75"/>
    </i>
    <i>
      <x v="76"/>
    </i>
    <i>
      <x v="78"/>
    </i>
    <i>
      <x v="80"/>
    </i>
    <i>
      <x v="82"/>
    </i>
    <i>
      <x v="84"/>
    </i>
    <i>
      <x v="86"/>
    </i>
    <i>
      <x v="87"/>
    </i>
    <i>
      <x v="88"/>
    </i>
    <i>
      <x v="89"/>
    </i>
    <i>
      <x v="90"/>
    </i>
    <i>
      <x v="91"/>
    </i>
    <i>
      <x v="92"/>
    </i>
    <i>
      <x v="93"/>
    </i>
    <i>
      <x v="94"/>
    </i>
    <i>
      <x v="103"/>
    </i>
    <i>
      <x v="104"/>
    </i>
    <i>
      <x v="105"/>
    </i>
    <i>
      <x v="106"/>
    </i>
    <i>
      <x v="107"/>
    </i>
    <i>
      <x v="108"/>
    </i>
    <i>
      <x v="110"/>
    </i>
    <i>
      <x v="118"/>
    </i>
    <i>
      <x v="119"/>
    </i>
    <i>
      <x v="121"/>
    </i>
    <i>
      <x v="122"/>
    </i>
    <i>
      <x v="125"/>
    </i>
    <i>
      <x v="126"/>
    </i>
    <i>
      <x v="131"/>
    </i>
    <i>
      <x v="132"/>
    </i>
    <i>
      <x v="134"/>
    </i>
    <i>
      <x v="135"/>
    </i>
    <i>
      <x v="136"/>
    </i>
    <i>
      <x v="139"/>
    </i>
    <i>
      <x v="140"/>
    </i>
    <i>
      <x v="141"/>
    </i>
    <i>
      <x v="148"/>
    </i>
    <i>
      <x v="151"/>
    </i>
    <i>
      <x v="152"/>
    </i>
    <i>
      <x v="153"/>
    </i>
    <i>
      <x v="157"/>
    </i>
    <i>
      <x v="158"/>
    </i>
    <i>
      <x v="159"/>
    </i>
    <i>
      <x v="161"/>
    </i>
    <i>
      <x v="162"/>
    </i>
    <i>
      <x v="163"/>
    </i>
    <i>
      <x v="165"/>
    </i>
    <i>
      <x v="170"/>
    </i>
    <i>
      <x v="171"/>
    </i>
    <i>
      <x v="174"/>
    </i>
    <i>
      <x v="177"/>
    </i>
    <i>
      <x v="178"/>
    </i>
    <i>
      <x v="180"/>
    </i>
    <i>
      <x v="181"/>
    </i>
    <i>
      <x v="183"/>
    </i>
    <i>
      <x v="184"/>
    </i>
    <i>
      <x v="186"/>
    </i>
    <i>
      <x v="187"/>
    </i>
    <i>
      <x v="189"/>
    </i>
    <i>
      <x v="192"/>
    </i>
    <i>
      <x v="194"/>
    </i>
    <i>
      <x v="198"/>
    </i>
    <i>
      <x v="199"/>
    </i>
    <i>
      <x v="205"/>
    </i>
    <i>
      <x v="209"/>
    </i>
    <i>
      <x v="210"/>
    </i>
    <i>
      <x v="212"/>
    </i>
    <i>
      <x v="214"/>
    </i>
    <i>
      <x v="215"/>
    </i>
    <i>
      <x v="217"/>
    </i>
    <i>
      <x v="222"/>
    </i>
    <i>
      <x v="232"/>
    </i>
    <i>
      <x v="235"/>
    </i>
    <i>
      <x v="236"/>
    </i>
    <i>
      <x v="237"/>
    </i>
    <i>
      <x v="238"/>
    </i>
    <i>
      <x v="243"/>
    </i>
    <i>
      <x v="245"/>
    </i>
    <i>
      <x v="248"/>
    </i>
    <i>
      <x v="254"/>
    </i>
    <i>
      <x v="255"/>
    </i>
    <i>
      <x v="256"/>
    </i>
    <i>
      <x v="261"/>
    </i>
    <i>
      <x v="262"/>
    </i>
    <i>
      <x v="264"/>
    </i>
    <i>
      <x v="265"/>
    </i>
    <i>
      <x v="266"/>
    </i>
    <i>
      <x v="268"/>
    </i>
    <i>
      <x v="271"/>
    </i>
    <i>
      <x v="272"/>
    </i>
    <i>
      <x v="273"/>
    </i>
    <i>
      <x v="275"/>
    </i>
    <i>
      <x v="276"/>
    </i>
    <i>
      <x v="277"/>
    </i>
    <i>
      <x v="279"/>
    </i>
    <i>
      <x v="280"/>
    </i>
    <i>
      <x v="282"/>
    </i>
    <i>
      <x v="284"/>
    </i>
    <i>
      <x v="288"/>
    </i>
    <i>
      <x v="289"/>
    </i>
    <i>
      <x v="290"/>
    </i>
    <i>
      <x v="297"/>
    </i>
    <i>
      <x v="298"/>
    </i>
    <i>
      <x v="300"/>
    </i>
    <i>
      <x v="301"/>
    </i>
    <i>
      <x v="302"/>
    </i>
    <i>
      <x v="305"/>
    </i>
    <i>
      <x v="309"/>
    </i>
    <i>
      <x v="311"/>
    </i>
    <i>
      <x v="314"/>
    </i>
    <i>
      <x v="315"/>
    </i>
    <i>
      <x v="318"/>
    </i>
    <i>
      <x v="320"/>
    </i>
    <i>
      <x v="323"/>
    </i>
    <i>
      <x v="324"/>
    </i>
    <i>
      <x v="325"/>
    </i>
    <i>
      <x v="326"/>
    </i>
    <i>
      <x v="328"/>
    </i>
    <i>
      <x v="331"/>
    </i>
    <i>
      <x v="333"/>
    </i>
    <i>
      <x v="334"/>
    </i>
    <i>
      <x v="337"/>
    </i>
    <i>
      <x v="341"/>
    </i>
    <i>
      <x v="344"/>
    </i>
    <i>
      <x v="346"/>
    </i>
    <i>
      <x v="348"/>
    </i>
    <i>
      <x v="350"/>
    </i>
    <i>
      <x v="352"/>
    </i>
    <i>
      <x v="361"/>
    </i>
    <i>
      <x v="362"/>
    </i>
    <i>
      <x v="364"/>
    </i>
    <i>
      <x v="366"/>
    </i>
    <i>
      <x v="367"/>
    </i>
    <i>
      <x v="371"/>
    </i>
    <i>
      <x v="372"/>
    </i>
    <i>
      <x v="373"/>
    </i>
    <i>
      <x v="376"/>
    </i>
    <i>
      <x v="380"/>
    </i>
    <i>
      <x v="381"/>
    </i>
    <i>
      <x v="382"/>
    </i>
    <i>
      <x v="383"/>
    </i>
    <i>
      <x v="384"/>
    </i>
    <i>
      <x v="385"/>
    </i>
    <i>
      <x v="387"/>
    </i>
    <i>
      <x v="389"/>
    </i>
    <i>
      <x v="390"/>
    </i>
    <i>
      <x v="391"/>
    </i>
    <i>
      <x v="392"/>
    </i>
    <i>
      <x v="393"/>
    </i>
    <i>
      <x v="394"/>
    </i>
    <i>
      <x v="395"/>
    </i>
    <i>
      <x v="396"/>
    </i>
    <i>
      <x v="403"/>
    </i>
    <i>
      <x v="408"/>
    </i>
    <i>
      <x v="409"/>
    </i>
    <i>
      <x v="410"/>
    </i>
    <i>
      <x v="411"/>
    </i>
    <i>
      <x v="412"/>
    </i>
    <i>
      <x v="414"/>
    </i>
    <i>
      <x v="415"/>
    </i>
    <i>
      <x v="416"/>
    </i>
    <i>
      <x v="419"/>
    </i>
    <i>
      <x v="425"/>
    </i>
    <i>
      <x v="430"/>
    </i>
    <i>
      <x v="431"/>
    </i>
    <i>
      <x v="433"/>
    </i>
    <i>
      <x v="436"/>
    </i>
    <i>
      <x v="437"/>
    </i>
    <i>
      <x v="440"/>
    </i>
    <i>
      <x v="446"/>
    </i>
    <i>
      <x v="447"/>
    </i>
    <i>
      <x v="448"/>
    </i>
    <i>
      <x v="450"/>
    </i>
    <i>
      <x v="451"/>
    </i>
    <i>
      <x v="453"/>
    </i>
    <i>
      <x v="456"/>
    </i>
    <i>
      <x v="461"/>
    </i>
    <i>
      <x v="464"/>
    </i>
    <i>
      <x v="465"/>
    </i>
    <i>
      <x v="466"/>
    </i>
    <i>
      <x v="468"/>
    </i>
    <i>
      <x v="470"/>
    </i>
    <i>
      <x v="471"/>
    </i>
    <i>
      <x v="472"/>
    </i>
    <i>
      <x v="473"/>
    </i>
    <i>
      <x v="474"/>
    </i>
    <i>
      <x v="475"/>
    </i>
    <i>
      <x v="477"/>
    </i>
    <i>
      <x v="478"/>
    </i>
    <i>
      <x v="480"/>
    </i>
    <i>
      <x v="481"/>
    </i>
    <i>
      <x v="483"/>
    </i>
    <i>
      <x v="486"/>
    </i>
    <i>
      <x v="488"/>
    </i>
    <i>
      <x v="489"/>
    </i>
    <i>
      <x v="490"/>
    </i>
    <i>
      <x v="491"/>
    </i>
    <i>
      <x v="494"/>
    </i>
    <i>
      <x v="497"/>
    </i>
    <i>
      <x v="499"/>
    </i>
    <i>
      <x v="501"/>
    </i>
    <i>
      <x v="503"/>
    </i>
    <i>
      <x v="504"/>
    </i>
    <i>
      <x v="506"/>
    </i>
    <i>
      <x v="507"/>
    </i>
    <i>
      <x v="508"/>
    </i>
    <i>
      <x v="510"/>
    </i>
    <i>
      <x v="512"/>
    </i>
    <i>
      <x v="514"/>
    </i>
    <i>
      <x v="516"/>
    </i>
    <i>
      <x v="518"/>
    </i>
    <i>
      <x v="521"/>
    </i>
    <i>
      <x v="522"/>
    </i>
    <i>
      <x v="523"/>
    </i>
    <i>
      <x v="525"/>
    </i>
    <i>
      <x v="526"/>
    </i>
    <i>
      <x v="527"/>
    </i>
    <i>
      <x v="528"/>
    </i>
    <i>
      <x v="534"/>
    </i>
    <i>
      <x v="540"/>
    </i>
    <i>
      <x v="541"/>
    </i>
    <i>
      <x v="544"/>
    </i>
    <i>
      <x v="547"/>
    </i>
    <i>
      <x v="550"/>
    </i>
    <i>
      <x v="552"/>
    </i>
    <i>
      <x v="554"/>
    </i>
    <i>
      <x v="557"/>
    </i>
    <i>
      <x v="559"/>
    </i>
    <i>
      <x v="561"/>
    </i>
    <i>
      <x v="562"/>
    </i>
    <i>
      <x v="563"/>
    </i>
    <i>
      <x v="564"/>
    </i>
    <i>
      <x v="565"/>
    </i>
    <i>
      <x v="567"/>
    </i>
    <i>
      <x v="568"/>
    </i>
    <i>
      <x v="571"/>
    </i>
    <i>
      <x v="576"/>
    </i>
    <i>
      <x v="578"/>
    </i>
    <i>
      <x v="581"/>
    </i>
    <i>
      <x v="583"/>
    </i>
    <i>
      <x v="587"/>
    </i>
    <i>
      <x v="590"/>
    </i>
    <i>
      <x v="591"/>
    </i>
    <i>
      <x v="592"/>
    </i>
    <i>
      <x v="594"/>
    </i>
    <i>
      <x v="595"/>
    </i>
    <i>
      <x v="596"/>
    </i>
    <i>
      <x v="598"/>
    </i>
    <i>
      <x v="599"/>
    </i>
    <i>
      <x v="600"/>
    </i>
    <i>
      <x v="611"/>
    </i>
    <i>
      <x v="615"/>
    </i>
    <i>
      <x v="619"/>
    </i>
    <i>
      <x v="624"/>
    </i>
    <i>
      <x v="625"/>
    </i>
    <i>
      <x v="629"/>
    </i>
    <i>
      <x v="630"/>
    </i>
    <i>
      <x v="632"/>
    </i>
    <i>
      <x v="634"/>
    </i>
    <i>
      <x v="636"/>
    </i>
    <i>
      <x v="637"/>
    </i>
    <i>
      <x v="640"/>
    </i>
    <i>
      <x v="644"/>
    </i>
    <i>
      <x v="647"/>
    </i>
    <i>
      <x v="648"/>
    </i>
    <i>
      <x v="649"/>
    </i>
    <i>
      <x v="653"/>
    </i>
    <i>
      <x v="655"/>
    </i>
    <i>
      <x v="656"/>
    </i>
    <i>
      <x v="657"/>
    </i>
    <i>
      <x v="658"/>
    </i>
    <i>
      <x v="659"/>
    </i>
    <i>
      <x v="660"/>
    </i>
    <i>
      <x v="661"/>
    </i>
    <i>
      <x v="662"/>
    </i>
    <i>
      <x v="665"/>
    </i>
    <i>
      <x v="669"/>
    </i>
    <i>
      <x v="670"/>
    </i>
    <i>
      <x v="671"/>
    </i>
    <i>
      <x v="675"/>
    </i>
    <i>
      <x v="678"/>
    </i>
    <i>
      <x v="683"/>
    </i>
    <i>
      <x v="684"/>
    </i>
    <i>
      <x v="686"/>
    </i>
    <i>
      <x v="687"/>
    </i>
    <i>
      <x v="689"/>
    </i>
    <i>
      <x v="690"/>
    </i>
    <i>
      <x v="691"/>
    </i>
    <i>
      <x v="693"/>
    </i>
    <i>
      <x v="695"/>
    </i>
    <i>
      <x v="697"/>
    </i>
    <i>
      <x v="698"/>
    </i>
    <i>
      <x v="700"/>
    </i>
    <i>
      <x v="703"/>
    </i>
    <i>
      <x v="704"/>
    </i>
    <i>
      <x v="707"/>
    </i>
    <i>
      <x v="708"/>
    </i>
    <i>
      <x v="713"/>
    </i>
    <i>
      <x v="716"/>
    </i>
    <i>
      <x v="718"/>
    </i>
    <i>
      <x v="721"/>
    </i>
    <i>
      <x v="724"/>
    </i>
    <i>
      <x v="727"/>
    </i>
    <i>
      <x v="729"/>
    </i>
    <i>
      <x v="731"/>
    </i>
    <i>
      <x v="732"/>
    </i>
    <i>
      <x v="737"/>
    </i>
    <i>
      <x v="739"/>
    </i>
    <i>
      <x v="740"/>
    </i>
    <i>
      <x v="742"/>
    </i>
    <i>
      <x v="743"/>
    </i>
    <i>
      <x v="747"/>
    </i>
    <i>
      <x v="748"/>
    </i>
    <i>
      <x v="749"/>
    </i>
    <i>
      <x v="750"/>
    </i>
    <i>
      <x v="751"/>
    </i>
    <i>
      <x v="752"/>
    </i>
    <i>
      <x v="753"/>
    </i>
    <i>
      <x v="754"/>
    </i>
    <i>
      <x v="756"/>
    </i>
    <i>
      <x v="757"/>
    </i>
    <i>
      <x v="761"/>
    </i>
    <i>
      <x v="765"/>
    </i>
    <i>
      <x v="766"/>
    </i>
    <i>
      <x v="767"/>
    </i>
    <i>
      <x v="768"/>
    </i>
    <i>
      <x v="771"/>
    </i>
    <i>
      <x v="773"/>
    </i>
    <i>
      <x v="777"/>
    </i>
    <i>
      <x v="778"/>
    </i>
    <i>
      <x v="779"/>
    </i>
    <i>
      <x v="781"/>
    </i>
    <i>
      <x v="782"/>
    </i>
    <i>
      <x v="783"/>
    </i>
    <i>
      <x v="784"/>
    </i>
    <i>
      <x v="786"/>
    </i>
    <i>
      <x v="787"/>
    </i>
    <i>
      <x v="789"/>
    </i>
    <i>
      <x v="790"/>
    </i>
    <i>
      <x v="793"/>
    </i>
    <i>
      <x v="795"/>
    </i>
    <i>
      <x v="796"/>
    </i>
    <i>
      <x v="797"/>
    </i>
    <i>
      <x v="798"/>
    </i>
    <i>
      <x v="804"/>
    </i>
    <i>
      <x v="806"/>
    </i>
    <i>
      <x v="807"/>
    </i>
    <i>
      <x v="808"/>
    </i>
    <i>
      <x v="809"/>
    </i>
    <i>
      <x v="811"/>
    </i>
    <i>
      <x v="812"/>
    </i>
    <i>
      <x v="813"/>
    </i>
    <i>
      <x v="814"/>
    </i>
    <i>
      <x v="816"/>
    </i>
    <i>
      <x v="818"/>
    </i>
    <i>
      <x v="822"/>
    </i>
    <i>
      <x v="832"/>
    </i>
    <i>
      <x v="835"/>
    </i>
    <i>
      <x v="837"/>
    </i>
    <i>
      <x v="839"/>
    </i>
    <i>
      <x v="842"/>
    </i>
    <i>
      <x v="844"/>
    </i>
    <i>
      <x v="846"/>
    </i>
    <i>
      <x v="848"/>
    </i>
    <i>
      <x v="849"/>
    </i>
    <i>
      <x v="852"/>
    </i>
    <i>
      <x v="853"/>
    </i>
    <i>
      <x v="854"/>
    </i>
    <i>
      <x v="855"/>
    </i>
    <i>
      <x v="856"/>
    </i>
    <i>
      <x v="859"/>
    </i>
    <i>
      <x v="861"/>
    </i>
    <i>
      <x v="862"/>
    </i>
    <i>
      <x v="864"/>
    </i>
    <i>
      <x v="866"/>
    </i>
    <i>
      <x v="867"/>
    </i>
    <i>
      <x v="869"/>
    </i>
    <i>
      <x v="870"/>
    </i>
    <i>
      <x v="872"/>
    </i>
    <i>
      <x v="873"/>
    </i>
    <i>
      <x v="874"/>
    </i>
    <i>
      <x v="875"/>
    </i>
    <i>
      <x v="876"/>
    </i>
    <i>
      <x v="877"/>
    </i>
    <i>
      <x v="879"/>
    </i>
    <i>
      <x v="881"/>
    </i>
    <i>
      <x v="882"/>
    </i>
    <i>
      <x v="884"/>
    </i>
    <i>
      <x v="889"/>
    </i>
    <i>
      <x v="890"/>
    </i>
    <i>
      <x v="895"/>
    </i>
    <i>
      <x v="896"/>
    </i>
    <i>
      <x v="899"/>
    </i>
    <i>
      <x v="900"/>
    </i>
    <i>
      <x v="901"/>
    </i>
    <i>
      <x v="906"/>
    </i>
    <i>
      <x v="909"/>
    </i>
    <i>
      <x v="910"/>
    </i>
    <i>
      <x v="912"/>
    </i>
    <i>
      <x v="916"/>
    </i>
    <i>
      <x v="917"/>
    </i>
    <i>
      <x v="918"/>
    </i>
    <i>
      <x v="919"/>
    </i>
    <i>
      <x v="920"/>
    </i>
    <i>
      <x v="925"/>
    </i>
    <i>
      <x v="926"/>
    </i>
    <i>
      <x v="931"/>
    </i>
    <i>
      <x v="932"/>
    </i>
    <i>
      <x v="934"/>
    </i>
    <i>
      <x v="935"/>
    </i>
    <i>
      <x v="936"/>
    </i>
    <i>
      <x v="938"/>
    </i>
    <i>
      <x v="941"/>
    </i>
    <i>
      <x v="946"/>
    </i>
    <i>
      <x v="948"/>
    </i>
    <i>
      <x v="951"/>
    </i>
    <i>
      <x v="952"/>
    </i>
    <i>
      <x v="953"/>
    </i>
    <i>
      <x v="954"/>
    </i>
    <i>
      <x v="962"/>
    </i>
    <i>
      <x v="964"/>
    </i>
    <i>
      <x v="965"/>
    </i>
    <i>
      <x v="966"/>
    </i>
    <i>
      <x v="969"/>
    </i>
    <i>
      <x v="974"/>
    </i>
    <i>
      <x v="976"/>
    </i>
    <i>
      <x v="978"/>
    </i>
    <i>
      <x v="979"/>
    </i>
    <i>
      <x v="980"/>
    </i>
    <i>
      <x v="982"/>
    </i>
    <i>
      <x v="985"/>
    </i>
    <i>
      <x v="986"/>
    </i>
    <i>
      <x v="989"/>
    </i>
    <i>
      <x v="992"/>
    </i>
    <i>
      <x v="994"/>
    </i>
    <i t="grand">
      <x/>
    </i>
  </rowItems>
  <colItems count="1">
    <i/>
  </colItems>
  <dataFields count="1">
    <dataField name="Count of Loa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76F5F9-CC34-40D8-8527-09AADE84B6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1:E27" firstHeaderRow="1" firstDataRow="1" firstDataCol="1"/>
  <pivotFields count="15">
    <pivotField showAll="0"/>
    <pivotField showAll="0"/>
    <pivotField showAll="0">
      <items count="4">
        <item x="1"/>
        <item x="0"/>
        <item x="2"/>
        <item t="default"/>
      </items>
    </pivotField>
    <pivotField showAll="0"/>
    <pivotField showAll="0">
      <items count="3">
        <item x="0"/>
        <item x="1"/>
        <item t="default"/>
      </items>
    </pivotField>
    <pivotField showAll="0"/>
    <pivotField dataField="1" showAll="0"/>
    <pivotField showAll="0"/>
    <pivotField axis="axisRow" showAll="0">
      <items count="6">
        <item x="3"/>
        <item x="1"/>
        <item x="2"/>
        <item x="0"/>
        <item x="4"/>
        <item t="default"/>
      </items>
    </pivotField>
    <pivotField showAll="0"/>
    <pivotField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showAll="0"/>
  </pivotFields>
  <rowFields count="1">
    <field x="8"/>
  </rowFields>
  <rowItems count="6">
    <i>
      <x/>
    </i>
    <i>
      <x v="1"/>
    </i>
    <i>
      <x v="2"/>
    </i>
    <i>
      <x v="3"/>
    </i>
    <i>
      <x v="4"/>
    </i>
    <i t="grand">
      <x/>
    </i>
  </rowItems>
  <colItems count="1">
    <i/>
  </colItems>
  <dataFields count="1">
    <dataField name="Sum of Loan_Amount" fld="6"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88443C-D825-4098-A303-A7A8CA2A01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5">
    <pivotField showAll="0"/>
    <pivotField showAll="0"/>
    <pivotField showAll="0">
      <items count="4">
        <item x="1"/>
        <item x="0"/>
        <item x="2"/>
        <item t="default"/>
      </items>
    </pivotField>
    <pivotField showAll="0"/>
    <pivotField showAll="0">
      <items count="3">
        <item x="0"/>
        <item x="1"/>
        <item t="default"/>
      </items>
    </pivotField>
    <pivotField showAll="0"/>
    <pivotField dataField="1" showAll="0"/>
    <pivotField showAll="0"/>
    <pivotField showAll="0"/>
    <pivotField showAll="0"/>
    <pivotField axis="axisRow" showAll="0">
      <items count="6">
        <item x="2"/>
        <item x="4"/>
        <item x="1"/>
        <item x="3"/>
        <item x="0"/>
        <item t="default"/>
      </items>
    </pivotField>
    <pivotField showAll="0">
      <items count="3">
        <item x="1"/>
        <item h="1" x="0"/>
        <item t="default"/>
      </items>
    </pivotField>
    <pivotField showAll="0"/>
    <pivotField showAll="0">
      <items count="4">
        <item x="0"/>
        <item x="2"/>
        <item x="1"/>
        <item t="default"/>
      </items>
    </pivotField>
    <pivotField showAll="0"/>
  </pivotFields>
  <rowFields count="1">
    <field x="10"/>
  </rowFields>
  <rowItems count="6">
    <i>
      <x/>
    </i>
    <i>
      <x v="1"/>
    </i>
    <i>
      <x v="2"/>
    </i>
    <i>
      <x v="3"/>
    </i>
    <i>
      <x v="4"/>
    </i>
    <i t="grand">
      <x/>
    </i>
  </rowItems>
  <colItems count="1">
    <i/>
  </colItems>
  <dataFields count="1">
    <dataField name="Sum of Loan_Amount" fld="6"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2B0259-344F-4ADA-A603-3E1F35947550}" sourceName="Gender">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10"/>
  </pivotTables>
  <data>
    <tabular pivotCacheId="10554633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706EB741-211F-4F02-BD47-EDF2347B7275}" sourceName="Employment_Type">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10"/>
  </pivotTables>
  <data>
    <tabular pivotCacheId="10554633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1F17EA61-25B9-4F28-ABBC-5BABC9225DCD}" sourceName="Loan_Purpose">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10"/>
  </pivotTables>
  <data>
    <tabular pivotCacheId="1055463330">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7E2D07-7F2B-4EE8-8971-366EDAE46EF5}" sourceName="Education">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10"/>
  </pivotTables>
  <data>
    <tabular pivotCacheId="1055463330">
      <items count="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26EF8381-E140-4729-9772-1394596C98B0}" sourceName="Property_Area">
  <pivotTables>
    <pivotTable tabId="4" name="PivotTable3"/>
    <pivotTable tabId="4" name="PivotTable1"/>
    <pivotTable tabId="4" name="PivotTable2"/>
    <pivotTable tabId="4" name="PivotTable4"/>
    <pivotTable tabId="4" name="PivotTable5"/>
    <pivotTable tabId="4" name="PivotTable6"/>
    <pivotTable tabId="4" name="PivotTable7"/>
    <pivotTable tabId="4" name="PivotTable8"/>
    <pivotTable tabId="4" name="PivotTable9"/>
    <pivotTable tabId="4" name="PivotTable10"/>
  </pivotTables>
  <data>
    <tabular pivotCacheId="10554633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A3CBD56-9DDE-4C86-ABD3-036B4C82BAAC}" cache="Slicer_Gender" caption="Gender" rowHeight="234950"/>
  <slicer name="Employment_Type 1" xr10:uid="{32560ED6-7390-460F-8369-8F7A7A08AC68}" cache="Slicer_Employment_Type" caption="Employment_Type" rowHeight="234950"/>
  <slicer name="Loan_Purpose 1" xr10:uid="{E1548BB0-2156-4546-9864-860149A82209}" cache="Slicer_Loan_Purpose" caption="Loan_Purpose" rowHeight="234950"/>
  <slicer name="Education 1" xr10:uid="{EF4CB810-7CEB-4405-9ABE-89C14AB37461}" cache="Slicer_Education" caption="Education" rowHeight="234950"/>
  <slicer name="Property_Area 1" xr10:uid="{2DE3AB96-606B-49F4-BFB2-0669CD643039}" cache="Slicer_Property_Area" caption="Property_Area"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E5F341-BB80-4166-92D9-EE76EAD40949}" cache="Slicer_Gender" caption="Gender" rowHeight="234950"/>
  <slicer name="Employment_Type" xr10:uid="{F1A8E973-DCD2-4113-B336-62930D975F41}" cache="Slicer_Employment_Type" caption="Employment_Type" rowHeight="234950"/>
  <slicer name="Loan_Purpose" xr10:uid="{BD191B5B-0A80-4CB4-B628-D2F29EACA52A}" cache="Slicer_Loan_Purpose" caption="Loan_Purpose" rowHeight="234950"/>
  <slicer name="Education" xr10:uid="{4D322167-0400-4C1C-81F3-33ECF9AC3751}" cache="Slicer_Education" caption="Education" rowHeight="234950"/>
  <slicer name="Property_Area" xr10:uid="{85430ADA-BA26-4B58-BDF7-110763B585A7}" cache="Slicer_Property_Area" caption="Property_Area"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4.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D7F1-2209-45C9-98DC-78C6FCFFB7C1}">
  <dimension ref="A1"/>
  <sheetViews>
    <sheetView tabSelected="1" zoomScale="59" zoomScaleNormal="172" workbookViewId="0">
      <selection activeCell="X7" sqref="X7"/>
    </sheetView>
  </sheetViews>
  <sheetFormatPr defaultRowHeight="14.4"/>
  <cols>
    <col min="1" max="1" width="10.77734375" customWidth="1"/>
    <col min="2" max="2" width="8.88671875" customWidth="1"/>
    <col min="3" max="3" width="38.88671875" customWidth="1"/>
    <col min="4" max="4" width="16.21875" customWidth="1"/>
    <col min="6" max="6" width="5.33203125" customWidth="1"/>
    <col min="17" max="17"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2CF2-2C5A-4B50-AD14-9EE6EABA98AE}">
  <dimension ref="A3:I518"/>
  <sheetViews>
    <sheetView zoomScale="62" workbookViewId="0">
      <selection activeCell="A3" sqref="A3"/>
    </sheetView>
  </sheetViews>
  <sheetFormatPr defaultRowHeight="14.4"/>
  <cols>
    <col min="1" max="1" width="17.6640625" bestFit="1" customWidth="1"/>
    <col min="2" max="2" width="20.88671875" bestFit="1" customWidth="1"/>
    <col min="3" max="3" width="32.44140625" customWidth="1"/>
    <col min="4" max="4" width="17.6640625" bestFit="1" customWidth="1"/>
    <col min="5" max="5" width="25.77734375" bestFit="1" customWidth="1"/>
    <col min="6" max="6" width="17" bestFit="1" customWidth="1"/>
    <col min="7" max="7" width="29" bestFit="1" customWidth="1"/>
    <col min="8" max="8" width="20.88671875" bestFit="1" customWidth="1"/>
    <col min="9" max="9" width="18.21875" bestFit="1" customWidth="1"/>
  </cols>
  <sheetData>
    <row r="3" spans="1:8">
      <c r="A3" s="6" t="s">
        <v>1046</v>
      </c>
      <c r="B3" t="s">
        <v>1048</v>
      </c>
      <c r="D3" s="6" t="s">
        <v>1046</v>
      </c>
      <c r="E3" t="s">
        <v>1049</v>
      </c>
      <c r="G3" s="6" t="s">
        <v>1046</v>
      </c>
      <c r="H3" t="s">
        <v>1050</v>
      </c>
    </row>
    <row r="4" spans="1:8">
      <c r="A4" s="7" t="s">
        <v>30</v>
      </c>
      <c r="B4">
        <v>94573145</v>
      </c>
      <c r="D4" s="7" t="s">
        <v>33</v>
      </c>
      <c r="E4">
        <v>56</v>
      </c>
      <c r="G4" s="7" t="s">
        <v>25</v>
      </c>
      <c r="H4">
        <v>194750537</v>
      </c>
    </row>
    <row r="5" spans="1:8">
      <c r="A5" s="7" t="s">
        <v>18</v>
      </c>
      <c r="B5">
        <v>93959552</v>
      </c>
      <c r="D5" s="7" t="s">
        <v>16</v>
      </c>
      <c r="E5">
        <v>57</v>
      </c>
      <c r="G5" s="7" t="s">
        <v>17</v>
      </c>
      <c r="H5">
        <v>228107270</v>
      </c>
    </row>
    <row r="6" spans="1:8">
      <c r="A6" s="7" t="s">
        <v>11</v>
      </c>
      <c r="B6">
        <v>96305052</v>
      </c>
      <c r="D6" s="7" t="s">
        <v>1026</v>
      </c>
      <c r="E6">
        <v>5</v>
      </c>
      <c r="G6" s="7" t="s">
        <v>1047</v>
      </c>
      <c r="H6">
        <v>422857807</v>
      </c>
    </row>
    <row r="7" spans="1:8">
      <c r="A7" s="7" t="s">
        <v>23</v>
      </c>
      <c r="B7">
        <v>93521058</v>
      </c>
      <c r="D7" s="7" t="s">
        <v>1047</v>
      </c>
      <c r="E7">
        <v>118</v>
      </c>
    </row>
    <row r="8" spans="1:8">
      <c r="A8" s="7" t="s">
        <v>26</v>
      </c>
      <c r="B8">
        <v>98527954</v>
      </c>
    </row>
    <row r="9" spans="1:8">
      <c r="A9" s="7" t="s">
        <v>1047</v>
      </c>
      <c r="B9">
        <v>476886761</v>
      </c>
    </row>
    <row r="21" spans="1:8">
      <c r="D21" s="6" t="s">
        <v>1046</v>
      </c>
      <c r="E21" t="s">
        <v>1048</v>
      </c>
      <c r="G21" s="6" t="s">
        <v>1046</v>
      </c>
      <c r="H21" t="s">
        <v>1052</v>
      </c>
    </row>
    <row r="22" spans="1:8">
      <c r="D22" s="7">
        <v>12</v>
      </c>
      <c r="E22">
        <v>90191168</v>
      </c>
      <c r="G22" s="7" t="s">
        <v>19</v>
      </c>
      <c r="H22">
        <v>482</v>
      </c>
    </row>
    <row r="23" spans="1:8">
      <c r="A23" s="6" t="s">
        <v>1046</v>
      </c>
      <c r="B23" t="s">
        <v>1051</v>
      </c>
      <c r="D23" s="7">
        <v>24</v>
      </c>
      <c r="E23">
        <v>95283551</v>
      </c>
      <c r="G23" s="7" t="s">
        <v>1047</v>
      </c>
      <c r="H23">
        <v>482</v>
      </c>
    </row>
    <row r="24" spans="1:8">
      <c r="A24" s="7" t="s">
        <v>21</v>
      </c>
      <c r="B24">
        <v>96071</v>
      </c>
      <c r="D24" s="7">
        <v>36</v>
      </c>
      <c r="E24">
        <v>87026772</v>
      </c>
    </row>
    <row r="25" spans="1:8">
      <c r="A25" s="7" t="s">
        <v>28</v>
      </c>
      <c r="B25">
        <v>91442</v>
      </c>
      <c r="D25" s="7">
        <v>48</v>
      </c>
      <c r="E25">
        <v>100187779</v>
      </c>
    </row>
    <row r="26" spans="1:8">
      <c r="A26" s="7" t="s">
        <v>31</v>
      </c>
      <c r="B26">
        <v>98365</v>
      </c>
      <c r="D26" s="7">
        <v>60</v>
      </c>
      <c r="E26">
        <v>104197491</v>
      </c>
    </row>
    <row r="27" spans="1:8">
      <c r="A27" s="7" t="s">
        <v>1047</v>
      </c>
      <c r="B27">
        <v>285878</v>
      </c>
      <c r="D27" s="7" t="s">
        <v>1047</v>
      </c>
      <c r="E27">
        <v>476886761</v>
      </c>
    </row>
    <row r="43" spans="1:9">
      <c r="A43" s="6" t="s">
        <v>1046</v>
      </c>
      <c r="B43" t="s">
        <v>1052</v>
      </c>
      <c r="E43" t="s">
        <v>1048</v>
      </c>
      <c r="G43" t="s">
        <v>1061</v>
      </c>
      <c r="I43" t="s">
        <v>1049</v>
      </c>
    </row>
    <row r="44" spans="1:9">
      <c r="A44" s="7" t="s">
        <v>15</v>
      </c>
      <c r="B44">
        <v>2</v>
      </c>
      <c r="C44">
        <f>GETPIVOTDATA("Loan_ID",$A$43)</f>
        <v>482</v>
      </c>
      <c r="E44">
        <v>476886761</v>
      </c>
      <c r="G44">
        <v>605.67372881355936</v>
      </c>
      <c r="I44">
        <v>118</v>
      </c>
    </row>
    <row r="45" spans="1:9">
      <c r="A45" s="7" t="s">
        <v>22</v>
      </c>
      <c r="B45">
        <v>2</v>
      </c>
    </row>
    <row r="46" spans="1:9">
      <c r="A46" s="7" t="s">
        <v>24</v>
      </c>
      <c r="B46">
        <v>2</v>
      </c>
      <c r="G46">
        <f>GETPIVOTDATA("Credit_Score",$G$43)</f>
        <v>605.67372881355936</v>
      </c>
    </row>
    <row r="47" spans="1:9">
      <c r="A47" s="7" t="s">
        <v>29</v>
      </c>
      <c r="B47">
        <v>2</v>
      </c>
      <c r="E47">
        <f>GETPIVOTDATA("Loan_Amount",$E$43)</f>
        <v>476886761</v>
      </c>
      <c r="I47">
        <f>GETPIVOTDATA("Default",$I$43)</f>
        <v>118</v>
      </c>
    </row>
    <row r="48" spans="1:9">
      <c r="A48" s="7" t="s">
        <v>35</v>
      </c>
      <c r="B48">
        <v>2</v>
      </c>
    </row>
    <row r="49" spans="1:2">
      <c r="A49" s="7" t="s">
        <v>36</v>
      </c>
      <c r="B49">
        <v>2</v>
      </c>
    </row>
    <row r="50" spans="1:2">
      <c r="A50" s="7" t="s">
        <v>38</v>
      </c>
      <c r="B50">
        <v>2</v>
      </c>
    </row>
    <row r="51" spans="1:2">
      <c r="A51" s="7" t="s">
        <v>39</v>
      </c>
      <c r="B51">
        <v>2</v>
      </c>
    </row>
    <row r="52" spans="1:2">
      <c r="A52" s="7" t="s">
        <v>40</v>
      </c>
      <c r="B52">
        <v>1</v>
      </c>
    </row>
    <row r="53" spans="1:2">
      <c r="A53" s="7" t="s">
        <v>42</v>
      </c>
      <c r="B53">
        <v>1</v>
      </c>
    </row>
    <row r="54" spans="1:2">
      <c r="A54" s="7" t="s">
        <v>43</v>
      </c>
      <c r="B54">
        <v>1</v>
      </c>
    </row>
    <row r="55" spans="1:2">
      <c r="A55" s="7" t="s">
        <v>44</v>
      </c>
      <c r="B55">
        <v>1</v>
      </c>
    </row>
    <row r="56" spans="1:2">
      <c r="A56" s="7" t="s">
        <v>45</v>
      </c>
      <c r="B56">
        <v>1</v>
      </c>
    </row>
    <row r="57" spans="1:2">
      <c r="A57" s="7" t="s">
        <v>47</v>
      </c>
      <c r="B57">
        <v>1</v>
      </c>
    </row>
    <row r="58" spans="1:2">
      <c r="A58" s="7" t="s">
        <v>50</v>
      </c>
      <c r="B58">
        <v>1</v>
      </c>
    </row>
    <row r="59" spans="1:2">
      <c r="A59" s="7" t="s">
        <v>53</v>
      </c>
      <c r="B59">
        <v>1</v>
      </c>
    </row>
    <row r="60" spans="1:2">
      <c r="A60" s="7" t="s">
        <v>54</v>
      </c>
      <c r="B60">
        <v>1</v>
      </c>
    </row>
    <row r="61" spans="1:2">
      <c r="A61" s="7" t="s">
        <v>55</v>
      </c>
      <c r="B61">
        <v>1</v>
      </c>
    </row>
    <row r="62" spans="1:2">
      <c r="A62" s="7" t="s">
        <v>59</v>
      </c>
      <c r="B62">
        <v>1</v>
      </c>
    </row>
    <row r="63" spans="1:2">
      <c r="A63" s="7" t="s">
        <v>61</v>
      </c>
      <c r="B63">
        <v>1</v>
      </c>
    </row>
    <row r="64" spans="1:2">
      <c r="A64" s="7" t="s">
        <v>63</v>
      </c>
      <c r="B64">
        <v>1</v>
      </c>
    </row>
    <row r="65" spans="1:2">
      <c r="A65" s="7" t="s">
        <v>64</v>
      </c>
      <c r="B65">
        <v>1</v>
      </c>
    </row>
    <row r="66" spans="1:2">
      <c r="A66" s="7" t="s">
        <v>65</v>
      </c>
      <c r="B66">
        <v>1</v>
      </c>
    </row>
    <row r="67" spans="1:2">
      <c r="A67" s="7" t="s">
        <v>66</v>
      </c>
      <c r="B67">
        <v>1</v>
      </c>
    </row>
    <row r="68" spans="1:2">
      <c r="A68" s="7" t="s">
        <v>70</v>
      </c>
      <c r="B68">
        <v>1</v>
      </c>
    </row>
    <row r="69" spans="1:2">
      <c r="A69" s="7" t="s">
        <v>71</v>
      </c>
      <c r="B69">
        <v>1</v>
      </c>
    </row>
    <row r="70" spans="1:2">
      <c r="A70" s="7" t="s">
        <v>74</v>
      </c>
      <c r="B70">
        <v>1</v>
      </c>
    </row>
    <row r="71" spans="1:2">
      <c r="A71" s="7" t="s">
        <v>75</v>
      </c>
      <c r="B71">
        <v>1</v>
      </c>
    </row>
    <row r="72" spans="1:2">
      <c r="A72" s="7" t="s">
        <v>81</v>
      </c>
      <c r="B72">
        <v>1</v>
      </c>
    </row>
    <row r="73" spans="1:2">
      <c r="A73" s="7" t="s">
        <v>82</v>
      </c>
      <c r="B73">
        <v>1</v>
      </c>
    </row>
    <row r="74" spans="1:2">
      <c r="A74" s="7" t="s">
        <v>84</v>
      </c>
      <c r="B74">
        <v>1</v>
      </c>
    </row>
    <row r="75" spans="1:2">
      <c r="A75" s="7" t="s">
        <v>87</v>
      </c>
      <c r="B75">
        <v>1</v>
      </c>
    </row>
    <row r="76" spans="1:2">
      <c r="A76" s="7" t="s">
        <v>91</v>
      </c>
      <c r="B76">
        <v>1</v>
      </c>
    </row>
    <row r="77" spans="1:2">
      <c r="A77" s="7" t="s">
        <v>92</v>
      </c>
      <c r="B77">
        <v>1</v>
      </c>
    </row>
    <row r="78" spans="1:2">
      <c r="A78" s="7" t="s">
        <v>94</v>
      </c>
      <c r="B78">
        <v>1</v>
      </c>
    </row>
    <row r="79" spans="1:2">
      <c r="A79" s="7" t="s">
        <v>97</v>
      </c>
      <c r="B79">
        <v>1</v>
      </c>
    </row>
    <row r="80" spans="1:2">
      <c r="A80" s="7" t="s">
        <v>99</v>
      </c>
      <c r="B80">
        <v>1</v>
      </c>
    </row>
    <row r="81" spans="1:2">
      <c r="A81" s="7" t="s">
        <v>100</v>
      </c>
      <c r="B81">
        <v>1</v>
      </c>
    </row>
    <row r="82" spans="1:2">
      <c r="A82" s="7" t="s">
        <v>103</v>
      </c>
      <c r="B82">
        <v>1</v>
      </c>
    </row>
    <row r="83" spans="1:2">
      <c r="A83" s="7" t="s">
        <v>105</v>
      </c>
      <c r="B83">
        <v>1</v>
      </c>
    </row>
    <row r="84" spans="1:2">
      <c r="A84" s="7" t="s">
        <v>106</v>
      </c>
      <c r="B84">
        <v>1</v>
      </c>
    </row>
    <row r="85" spans="1:2">
      <c r="A85" s="7" t="s">
        <v>108</v>
      </c>
      <c r="B85">
        <v>1</v>
      </c>
    </row>
    <row r="86" spans="1:2">
      <c r="A86" s="7" t="s">
        <v>110</v>
      </c>
      <c r="B86">
        <v>1</v>
      </c>
    </row>
    <row r="87" spans="1:2">
      <c r="A87" s="7" t="s">
        <v>112</v>
      </c>
      <c r="B87">
        <v>1</v>
      </c>
    </row>
    <row r="88" spans="1:2">
      <c r="A88" s="7" t="s">
        <v>114</v>
      </c>
      <c r="B88">
        <v>1</v>
      </c>
    </row>
    <row r="89" spans="1:2">
      <c r="A89" s="7" t="s">
        <v>116</v>
      </c>
      <c r="B89">
        <v>1</v>
      </c>
    </row>
    <row r="90" spans="1:2">
      <c r="A90" s="7" t="s">
        <v>117</v>
      </c>
      <c r="B90">
        <v>1</v>
      </c>
    </row>
    <row r="91" spans="1:2">
      <c r="A91" s="7" t="s">
        <v>118</v>
      </c>
      <c r="B91">
        <v>1</v>
      </c>
    </row>
    <row r="92" spans="1:2">
      <c r="A92" s="7" t="s">
        <v>119</v>
      </c>
      <c r="B92">
        <v>1</v>
      </c>
    </row>
    <row r="93" spans="1:2">
      <c r="A93" s="7" t="s">
        <v>120</v>
      </c>
      <c r="B93">
        <v>1</v>
      </c>
    </row>
    <row r="94" spans="1:2">
      <c r="A94" s="7" t="s">
        <v>121</v>
      </c>
      <c r="B94">
        <v>1</v>
      </c>
    </row>
    <row r="95" spans="1:2">
      <c r="A95" s="7" t="s">
        <v>122</v>
      </c>
      <c r="B95">
        <v>1</v>
      </c>
    </row>
    <row r="96" spans="1:2">
      <c r="A96" s="7" t="s">
        <v>123</v>
      </c>
      <c r="B96">
        <v>1</v>
      </c>
    </row>
    <row r="97" spans="1:2">
      <c r="A97" s="7" t="s">
        <v>124</v>
      </c>
      <c r="B97">
        <v>1</v>
      </c>
    </row>
    <row r="98" spans="1:2">
      <c r="A98" s="7" t="s">
        <v>133</v>
      </c>
      <c r="B98">
        <v>1</v>
      </c>
    </row>
    <row r="99" spans="1:2">
      <c r="A99" s="7" t="s">
        <v>134</v>
      </c>
      <c r="B99">
        <v>1</v>
      </c>
    </row>
    <row r="100" spans="1:2">
      <c r="A100" s="7" t="s">
        <v>135</v>
      </c>
      <c r="B100">
        <v>1</v>
      </c>
    </row>
    <row r="101" spans="1:2">
      <c r="A101" s="7" t="s">
        <v>136</v>
      </c>
      <c r="B101">
        <v>1</v>
      </c>
    </row>
    <row r="102" spans="1:2">
      <c r="A102" s="7" t="s">
        <v>137</v>
      </c>
      <c r="B102">
        <v>1</v>
      </c>
    </row>
    <row r="103" spans="1:2">
      <c r="A103" s="7" t="s">
        <v>138</v>
      </c>
      <c r="B103">
        <v>1</v>
      </c>
    </row>
    <row r="104" spans="1:2">
      <c r="A104" s="7" t="s">
        <v>140</v>
      </c>
      <c r="B104">
        <v>1</v>
      </c>
    </row>
    <row r="105" spans="1:2">
      <c r="A105" s="7" t="s">
        <v>148</v>
      </c>
      <c r="B105">
        <v>1</v>
      </c>
    </row>
    <row r="106" spans="1:2">
      <c r="A106" s="7" t="s">
        <v>149</v>
      </c>
      <c r="B106">
        <v>1</v>
      </c>
    </row>
    <row r="107" spans="1:2">
      <c r="A107" s="7" t="s">
        <v>151</v>
      </c>
      <c r="B107">
        <v>1</v>
      </c>
    </row>
    <row r="108" spans="1:2">
      <c r="A108" s="7" t="s">
        <v>152</v>
      </c>
      <c r="B108">
        <v>1</v>
      </c>
    </row>
    <row r="109" spans="1:2">
      <c r="A109" s="7" t="s">
        <v>155</v>
      </c>
      <c r="B109">
        <v>1</v>
      </c>
    </row>
    <row r="110" spans="1:2">
      <c r="A110" s="7" t="s">
        <v>156</v>
      </c>
      <c r="B110">
        <v>1</v>
      </c>
    </row>
    <row r="111" spans="1:2">
      <c r="A111" s="7" t="s">
        <v>161</v>
      </c>
      <c r="B111">
        <v>1</v>
      </c>
    </row>
    <row r="112" spans="1:2">
      <c r="A112" s="7" t="s">
        <v>162</v>
      </c>
      <c r="B112">
        <v>1</v>
      </c>
    </row>
    <row r="113" spans="1:2">
      <c r="A113" s="7" t="s">
        <v>164</v>
      </c>
      <c r="B113">
        <v>1</v>
      </c>
    </row>
    <row r="114" spans="1:2">
      <c r="A114" s="7" t="s">
        <v>165</v>
      </c>
      <c r="B114">
        <v>1</v>
      </c>
    </row>
    <row r="115" spans="1:2">
      <c r="A115" s="7" t="s">
        <v>166</v>
      </c>
      <c r="B115">
        <v>1</v>
      </c>
    </row>
    <row r="116" spans="1:2">
      <c r="A116" s="7" t="s">
        <v>169</v>
      </c>
      <c r="B116">
        <v>1</v>
      </c>
    </row>
    <row r="117" spans="1:2">
      <c r="A117" s="7" t="s">
        <v>170</v>
      </c>
      <c r="B117">
        <v>1</v>
      </c>
    </row>
    <row r="118" spans="1:2">
      <c r="A118" s="7" t="s">
        <v>171</v>
      </c>
      <c r="B118">
        <v>1</v>
      </c>
    </row>
    <row r="119" spans="1:2">
      <c r="A119" s="7" t="s">
        <v>178</v>
      </c>
      <c r="B119">
        <v>1</v>
      </c>
    </row>
    <row r="120" spans="1:2">
      <c r="A120" s="7" t="s">
        <v>181</v>
      </c>
      <c r="B120">
        <v>1</v>
      </c>
    </row>
    <row r="121" spans="1:2">
      <c r="A121" s="7" t="s">
        <v>182</v>
      </c>
      <c r="B121">
        <v>1</v>
      </c>
    </row>
    <row r="122" spans="1:2">
      <c r="A122" s="7" t="s">
        <v>183</v>
      </c>
      <c r="B122">
        <v>1</v>
      </c>
    </row>
    <row r="123" spans="1:2">
      <c r="A123" s="7" t="s">
        <v>187</v>
      </c>
      <c r="B123">
        <v>1</v>
      </c>
    </row>
    <row r="124" spans="1:2">
      <c r="A124" s="7" t="s">
        <v>188</v>
      </c>
      <c r="B124">
        <v>1</v>
      </c>
    </row>
    <row r="125" spans="1:2">
      <c r="A125" s="7" t="s">
        <v>189</v>
      </c>
      <c r="B125">
        <v>1</v>
      </c>
    </row>
    <row r="126" spans="1:2">
      <c r="A126" s="7" t="s">
        <v>191</v>
      </c>
      <c r="B126">
        <v>1</v>
      </c>
    </row>
    <row r="127" spans="1:2">
      <c r="A127" s="7" t="s">
        <v>192</v>
      </c>
      <c r="B127">
        <v>1</v>
      </c>
    </row>
    <row r="128" spans="1:2">
      <c r="A128" s="7" t="s">
        <v>193</v>
      </c>
      <c r="B128">
        <v>1</v>
      </c>
    </row>
    <row r="129" spans="1:2">
      <c r="A129" s="7" t="s">
        <v>195</v>
      </c>
      <c r="B129">
        <v>1</v>
      </c>
    </row>
    <row r="130" spans="1:2">
      <c r="A130" s="7" t="s">
        <v>200</v>
      </c>
      <c r="B130">
        <v>1</v>
      </c>
    </row>
    <row r="131" spans="1:2">
      <c r="A131" s="7" t="s">
        <v>201</v>
      </c>
      <c r="B131">
        <v>1</v>
      </c>
    </row>
    <row r="132" spans="1:2">
      <c r="A132" s="7" t="s">
        <v>204</v>
      </c>
      <c r="B132">
        <v>1</v>
      </c>
    </row>
    <row r="133" spans="1:2">
      <c r="A133" s="7" t="s">
        <v>207</v>
      </c>
      <c r="B133">
        <v>1</v>
      </c>
    </row>
    <row r="134" spans="1:2">
      <c r="A134" s="7" t="s">
        <v>208</v>
      </c>
      <c r="B134">
        <v>1</v>
      </c>
    </row>
    <row r="135" spans="1:2">
      <c r="A135" s="7" t="s">
        <v>210</v>
      </c>
      <c r="B135">
        <v>1</v>
      </c>
    </row>
    <row r="136" spans="1:2">
      <c r="A136" s="7" t="s">
        <v>211</v>
      </c>
      <c r="B136">
        <v>1</v>
      </c>
    </row>
    <row r="137" spans="1:2">
      <c r="A137" s="7" t="s">
        <v>213</v>
      </c>
      <c r="B137">
        <v>1</v>
      </c>
    </row>
    <row r="138" spans="1:2">
      <c r="A138" s="7" t="s">
        <v>214</v>
      </c>
      <c r="B138">
        <v>1</v>
      </c>
    </row>
    <row r="139" spans="1:2">
      <c r="A139" s="7" t="s">
        <v>216</v>
      </c>
      <c r="B139">
        <v>1</v>
      </c>
    </row>
    <row r="140" spans="1:2">
      <c r="A140" s="7" t="s">
        <v>217</v>
      </c>
      <c r="B140">
        <v>1</v>
      </c>
    </row>
    <row r="141" spans="1:2">
      <c r="A141" s="7" t="s">
        <v>219</v>
      </c>
      <c r="B141">
        <v>1</v>
      </c>
    </row>
    <row r="142" spans="1:2">
      <c r="A142" s="7" t="s">
        <v>222</v>
      </c>
      <c r="B142">
        <v>1</v>
      </c>
    </row>
    <row r="143" spans="1:2">
      <c r="A143" s="7" t="s">
        <v>224</v>
      </c>
      <c r="B143">
        <v>1</v>
      </c>
    </row>
    <row r="144" spans="1:2">
      <c r="A144" s="7" t="s">
        <v>228</v>
      </c>
      <c r="B144">
        <v>1</v>
      </c>
    </row>
    <row r="145" spans="1:2">
      <c r="A145" s="7" t="s">
        <v>229</v>
      </c>
      <c r="B145">
        <v>1</v>
      </c>
    </row>
    <row r="146" spans="1:2">
      <c r="A146" s="7" t="s">
        <v>235</v>
      </c>
      <c r="B146">
        <v>1</v>
      </c>
    </row>
    <row r="147" spans="1:2">
      <c r="A147" s="7" t="s">
        <v>239</v>
      </c>
      <c r="B147">
        <v>1</v>
      </c>
    </row>
    <row r="148" spans="1:2">
      <c r="A148" s="7" t="s">
        <v>240</v>
      </c>
      <c r="B148">
        <v>1</v>
      </c>
    </row>
    <row r="149" spans="1:2">
      <c r="A149" s="7" t="s">
        <v>242</v>
      </c>
      <c r="B149">
        <v>1</v>
      </c>
    </row>
    <row r="150" spans="1:2">
      <c r="A150" s="7" t="s">
        <v>244</v>
      </c>
      <c r="B150">
        <v>1</v>
      </c>
    </row>
    <row r="151" spans="1:2">
      <c r="A151" s="7" t="s">
        <v>245</v>
      </c>
      <c r="B151">
        <v>1</v>
      </c>
    </row>
    <row r="152" spans="1:2">
      <c r="A152" s="7" t="s">
        <v>247</v>
      </c>
      <c r="B152">
        <v>1</v>
      </c>
    </row>
    <row r="153" spans="1:2">
      <c r="A153" s="7" t="s">
        <v>252</v>
      </c>
      <c r="B153">
        <v>1</v>
      </c>
    </row>
    <row r="154" spans="1:2">
      <c r="A154" s="7" t="s">
        <v>262</v>
      </c>
      <c r="B154">
        <v>1</v>
      </c>
    </row>
    <row r="155" spans="1:2">
      <c r="A155" s="7" t="s">
        <v>265</v>
      </c>
      <c r="B155">
        <v>1</v>
      </c>
    </row>
    <row r="156" spans="1:2">
      <c r="A156" s="7" t="s">
        <v>266</v>
      </c>
      <c r="B156">
        <v>1</v>
      </c>
    </row>
    <row r="157" spans="1:2">
      <c r="A157" s="7" t="s">
        <v>267</v>
      </c>
      <c r="B157">
        <v>1</v>
      </c>
    </row>
    <row r="158" spans="1:2">
      <c r="A158" s="7" t="s">
        <v>268</v>
      </c>
      <c r="B158">
        <v>1</v>
      </c>
    </row>
    <row r="159" spans="1:2">
      <c r="A159" s="7" t="s">
        <v>273</v>
      </c>
      <c r="B159">
        <v>1</v>
      </c>
    </row>
    <row r="160" spans="1:2">
      <c r="A160" s="7" t="s">
        <v>275</v>
      </c>
      <c r="B160">
        <v>1</v>
      </c>
    </row>
    <row r="161" spans="1:2">
      <c r="A161" s="7" t="s">
        <v>278</v>
      </c>
      <c r="B161">
        <v>1</v>
      </c>
    </row>
    <row r="162" spans="1:2">
      <c r="A162" s="7" t="s">
        <v>284</v>
      </c>
      <c r="B162">
        <v>1</v>
      </c>
    </row>
    <row r="163" spans="1:2">
      <c r="A163" s="7" t="s">
        <v>285</v>
      </c>
      <c r="B163">
        <v>1</v>
      </c>
    </row>
    <row r="164" spans="1:2">
      <c r="A164" s="7" t="s">
        <v>286</v>
      </c>
      <c r="B164">
        <v>1</v>
      </c>
    </row>
    <row r="165" spans="1:2">
      <c r="A165" s="7" t="s">
        <v>291</v>
      </c>
      <c r="B165">
        <v>1</v>
      </c>
    </row>
    <row r="166" spans="1:2">
      <c r="A166" s="7" t="s">
        <v>292</v>
      </c>
      <c r="B166">
        <v>1</v>
      </c>
    </row>
    <row r="167" spans="1:2">
      <c r="A167" s="7" t="s">
        <v>294</v>
      </c>
      <c r="B167">
        <v>1</v>
      </c>
    </row>
    <row r="168" spans="1:2">
      <c r="A168" s="7" t="s">
        <v>295</v>
      </c>
      <c r="B168">
        <v>1</v>
      </c>
    </row>
    <row r="169" spans="1:2">
      <c r="A169" s="7" t="s">
        <v>296</v>
      </c>
      <c r="B169">
        <v>1</v>
      </c>
    </row>
    <row r="170" spans="1:2">
      <c r="A170" s="7" t="s">
        <v>298</v>
      </c>
      <c r="B170">
        <v>1</v>
      </c>
    </row>
    <row r="171" spans="1:2">
      <c r="A171" s="7" t="s">
        <v>301</v>
      </c>
      <c r="B171">
        <v>1</v>
      </c>
    </row>
    <row r="172" spans="1:2">
      <c r="A172" s="7" t="s">
        <v>302</v>
      </c>
      <c r="B172">
        <v>1</v>
      </c>
    </row>
    <row r="173" spans="1:2">
      <c r="A173" s="7" t="s">
        <v>303</v>
      </c>
      <c r="B173">
        <v>1</v>
      </c>
    </row>
    <row r="174" spans="1:2">
      <c r="A174" s="7" t="s">
        <v>305</v>
      </c>
      <c r="B174">
        <v>1</v>
      </c>
    </row>
    <row r="175" spans="1:2">
      <c r="A175" s="7" t="s">
        <v>306</v>
      </c>
      <c r="B175">
        <v>1</v>
      </c>
    </row>
    <row r="176" spans="1:2">
      <c r="A176" s="7" t="s">
        <v>307</v>
      </c>
      <c r="B176">
        <v>1</v>
      </c>
    </row>
    <row r="177" spans="1:2">
      <c r="A177" s="7" t="s">
        <v>309</v>
      </c>
      <c r="B177">
        <v>1</v>
      </c>
    </row>
    <row r="178" spans="1:2">
      <c r="A178" s="7" t="s">
        <v>310</v>
      </c>
      <c r="B178">
        <v>1</v>
      </c>
    </row>
    <row r="179" spans="1:2">
      <c r="A179" s="7" t="s">
        <v>312</v>
      </c>
      <c r="B179">
        <v>1</v>
      </c>
    </row>
    <row r="180" spans="1:2">
      <c r="A180" s="7" t="s">
        <v>314</v>
      </c>
      <c r="B180">
        <v>1</v>
      </c>
    </row>
    <row r="181" spans="1:2">
      <c r="A181" s="7" t="s">
        <v>318</v>
      </c>
      <c r="B181">
        <v>1</v>
      </c>
    </row>
    <row r="182" spans="1:2">
      <c r="A182" s="7" t="s">
        <v>319</v>
      </c>
      <c r="B182">
        <v>1</v>
      </c>
    </row>
    <row r="183" spans="1:2">
      <c r="A183" s="7" t="s">
        <v>320</v>
      </c>
      <c r="B183">
        <v>1</v>
      </c>
    </row>
    <row r="184" spans="1:2">
      <c r="A184" s="7" t="s">
        <v>327</v>
      </c>
      <c r="B184">
        <v>1</v>
      </c>
    </row>
    <row r="185" spans="1:2">
      <c r="A185" s="7" t="s">
        <v>328</v>
      </c>
      <c r="B185">
        <v>1</v>
      </c>
    </row>
    <row r="186" spans="1:2">
      <c r="A186" s="7" t="s">
        <v>330</v>
      </c>
      <c r="B186">
        <v>1</v>
      </c>
    </row>
    <row r="187" spans="1:2">
      <c r="A187" s="7" t="s">
        <v>331</v>
      </c>
      <c r="B187">
        <v>1</v>
      </c>
    </row>
    <row r="188" spans="1:2">
      <c r="A188" s="7" t="s">
        <v>332</v>
      </c>
      <c r="B188">
        <v>1</v>
      </c>
    </row>
    <row r="189" spans="1:2">
      <c r="A189" s="7" t="s">
        <v>335</v>
      </c>
      <c r="B189">
        <v>1</v>
      </c>
    </row>
    <row r="190" spans="1:2">
      <c r="A190" s="7" t="s">
        <v>339</v>
      </c>
      <c r="B190">
        <v>1</v>
      </c>
    </row>
    <row r="191" spans="1:2">
      <c r="A191" s="7" t="s">
        <v>341</v>
      </c>
      <c r="B191">
        <v>1</v>
      </c>
    </row>
    <row r="192" spans="1:2">
      <c r="A192" s="7" t="s">
        <v>344</v>
      </c>
      <c r="B192">
        <v>1</v>
      </c>
    </row>
    <row r="193" spans="1:2">
      <c r="A193" s="7" t="s">
        <v>345</v>
      </c>
      <c r="B193">
        <v>1</v>
      </c>
    </row>
    <row r="194" spans="1:2">
      <c r="A194" s="7" t="s">
        <v>348</v>
      </c>
      <c r="B194">
        <v>1</v>
      </c>
    </row>
    <row r="195" spans="1:2">
      <c r="A195" s="7" t="s">
        <v>350</v>
      </c>
      <c r="B195">
        <v>1</v>
      </c>
    </row>
    <row r="196" spans="1:2">
      <c r="A196" s="7" t="s">
        <v>353</v>
      </c>
      <c r="B196">
        <v>1</v>
      </c>
    </row>
    <row r="197" spans="1:2">
      <c r="A197" s="7" t="s">
        <v>354</v>
      </c>
      <c r="B197">
        <v>1</v>
      </c>
    </row>
    <row r="198" spans="1:2">
      <c r="A198" s="7" t="s">
        <v>355</v>
      </c>
      <c r="B198">
        <v>1</v>
      </c>
    </row>
    <row r="199" spans="1:2">
      <c r="A199" s="7" t="s">
        <v>356</v>
      </c>
      <c r="B199">
        <v>1</v>
      </c>
    </row>
    <row r="200" spans="1:2">
      <c r="A200" s="7" t="s">
        <v>358</v>
      </c>
      <c r="B200">
        <v>1</v>
      </c>
    </row>
    <row r="201" spans="1:2">
      <c r="A201" s="7" t="s">
        <v>361</v>
      </c>
      <c r="B201">
        <v>1</v>
      </c>
    </row>
    <row r="202" spans="1:2">
      <c r="A202" s="7" t="s">
        <v>363</v>
      </c>
      <c r="B202">
        <v>1</v>
      </c>
    </row>
    <row r="203" spans="1:2">
      <c r="A203" s="7" t="s">
        <v>364</v>
      </c>
      <c r="B203">
        <v>1</v>
      </c>
    </row>
    <row r="204" spans="1:2">
      <c r="A204" s="7" t="s">
        <v>367</v>
      </c>
      <c r="B204">
        <v>1</v>
      </c>
    </row>
    <row r="205" spans="1:2">
      <c r="A205" s="7" t="s">
        <v>371</v>
      </c>
      <c r="B205">
        <v>1</v>
      </c>
    </row>
    <row r="206" spans="1:2">
      <c r="A206" s="7" t="s">
        <v>374</v>
      </c>
      <c r="B206">
        <v>1</v>
      </c>
    </row>
    <row r="207" spans="1:2">
      <c r="A207" s="7" t="s">
        <v>376</v>
      </c>
      <c r="B207">
        <v>1</v>
      </c>
    </row>
    <row r="208" spans="1:2">
      <c r="A208" s="7" t="s">
        <v>378</v>
      </c>
      <c r="B208">
        <v>1</v>
      </c>
    </row>
    <row r="209" spans="1:2">
      <c r="A209" s="7" t="s">
        <v>380</v>
      </c>
      <c r="B209">
        <v>1</v>
      </c>
    </row>
    <row r="210" spans="1:2">
      <c r="A210" s="7" t="s">
        <v>382</v>
      </c>
      <c r="B210">
        <v>1</v>
      </c>
    </row>
    <row r="211" spans="1:2">
      <c r="A211" s="7" t="s">
        <v>391</v>
      </c>
      <c r="B211">
        <v>1</v>
      </c>
    </row>
    <row r="212" spans="1:2">
      <c r="A212" s="7" t="s">
        <v>392</v>
      </c>
      <c r="B212">
        <v>1</v>
      </c>
    </row>
    <row r="213" spans="1:2">
      <c r="A213" s="7" t="s">
        <v>394</v>
      </c>
      <c r="B213">
        <v>1</v>
      </c>
    </row>
    <row r="214" spans="1:2">
      <c r="A214" s="7" t="s">
        <v>396</v>
      </c>
      <c r="B214">
        <v>1</v>
      </c>
    </row>
    <row r="215" spans="1:2">
      <c r="A215" s="7" t="s">
        <v>397</v>
      </c>
      <c r="B215">
        <v>1</v>
      </c>
    </row>
    <row r="216" spans="1:2">
      <c r="A216" s="7" t="s">
        <v>401</v>
      </c>
      <c r="B216">
        <v>1</v>
      </c>
    </row>
    <row r="217" spans="1:2">
      <c r="A217" s="7" t="s">
        <v>402</v>
      </c>
      <c r="B217">
        <v>1</v>
      </c>
    </row>
    <row r="218" spans="1:2">
      <c r="A218" s="7" t="s">
        <v>403</v>
      </c>
      <c r="B218">
        <v>1</v>
      </c>
    </row>
    <row r="219" spans="1:2">
      <c r="A219" s="7" t="s">
        <v>406</v>
      </c>
      <c r="B219">
        <v>1</v>
      </c>
    </row>
    <row r="220" spans="1:2">
      <c r="A220" s="7" t="s">
        <v>410</v>
      </c>
      <c r="B220">
        <v>1</v>
      </c>
    </row>
    <row r="221" spans="1:2">
      <c r="A221" s="7" t="s">
        <v>411</v>
      </c>
      <c r="B221">
        <v>1</v>
      </c>
    </row>
    <row r="222" spans="1:2">
      <c r="A222" s="7" t="s">
        <v>412</v>
      </c>
      <c r="B222">
        <v>1</v>
      </c>
    </row>
    <row r="223" spans="1:2">
      <c r="A223" s="7" t="s">
        <v>413</v>
      </c>
      <c r="B223">
        <v>1</v>
      </c>
    </row>
    <row r="224" spans="1:2">
      <c r="A224" s="7" t="s">
        <v>414</v>
      </c>
      <c r="B224">
        <v>1</v>
      </c>
    </row>
    <row r="225" spans="1:2">
      <c r="A225" s="7" t="s">
        <v>415</v>
      </c>
      <c r="B225">
        <v>1</v>
      </c>
    </row>
    <row r="226" spans="1:2">
      <c r="A226" s="7" t="s">
        <v>417</v>
      </c>
      <c r="B226">
        <v>1</v>
      </c>
    </row>
    <row r="227" spans="1:2">
      <c r="A227" s="7" t="s">
        <v>419</v>
      </c>
      <c r="B227">
        <v>1</v>
      </c>
    </row>
    <row r="228" spans="1:2">
      <c r="A228" s="7" t="s">
        <v>420</v>
      </c>
      <c r="B228">
        <v>1</v>
      </c>
    </row>
    <row r="229" spans="1:2">
      <c r="A229" s="7" t="s">
        <v>421</v>
      </c>
      <c r="B229">
        <v>1</v>
      </c>
    </row>
    <row r="230" spans="1:2">
      <c r="A230" s="7" t="s">
        <v>422</v>
      </c>
      <c r="B230">
        <v>1</v>
      </c>
    </row>
    <row r="231" spans="1:2">
      <c r="A231" s="7" t="s">
        <v>423</v>
      </c>
      <c r="B231">
        <v>1</v>
      </c>
    </row>
    <row r="232" spans="1:2">
      <c r="A232" s="7" t="s">
        <v>424</v>
      </c>
      <c r="B232">
        <v>1</v>
      </c>
    </row>
    <row r="233" spans="1:2">
      <c r="A233" s="7" t="s">
        <v>425</v>
      </c>
      <c r="B233">
        <v>1</v>
      </c>
    </row>
    <row r="234" spans="1:2">
      <c r="A234" s="7" t="s">
        <v>426</v>
      </c>
      <c r="B234">
        <v>1</v>
      </c>
    </row>
    <row r="235" spans="1:2">
      <c r="A235" s="7" t="s">
        <v>433</v>
      </c>
      <c r="B235">
        <v>1</v>
      </c>
    </row>
    <row r="236" spans="1:2">
      <c r="A236" s="7" t="s">
        <v>438</v>
      </c>
      <c r="B236">
        <v>1</v>
      </c>
    </row>
    <row r="237" spans="1:2">
      <c r="A237" s="7" t="s">
        <v>439</v>
      </c>
      <c r="B237">
        <v>1</v>
      </c>
    </row>
    <row r="238" spans="1:2">
      <c r="A238" s="7" t="s">
        <v>440</v>
      </c>
      <c r="B238">
        <v>1</v>
      </c>
    </row>
    <row r="239" spans="1:2">
      <c r="A239" s="7" t="s">
        <v>441</v>
      </c>
      <c r="B239">
        <v>1</v>
      </c>
    </row>
    <row r="240" spans="1:2">
      <c r="A240" s="7" t="s">
        <v>442</v>
      </c>
      <c r="B240">
        <v>1</v>
      </c>
    </row>
    <row r="241" spans="1:2">
      <c r="A241" s="7" t="s">
        <v>444</v>
      </c>
      <c r="B241">
        <v>1</v>
      </c>
    </row>
    <row r="242" spans="1:2">
      <c r="A242" s="7" t="s">
        <v>445</v>
      </c>
      <c r="B242">
        <v>1</v>
      </c>
    </row>
    <row r="243" spans="1:2">
      <c r="A243" s="7" t="s">
        <v>446</v>
      </c>
      <c r="B243">
        <v>1</v>
      </c>
    </row>
    <row r="244" spans="1:2">
      <c r="A244" s="7" t="s">
        <v>449</v>
      </c>
      <c r="B244">
        <v>1</v>
      </c>
    </row>
    <row r="245" spans="1:2">
      <c r="A245" s="7" t="s">
        <v>455</v>
      </c>
      <c r="B245">
        <v>1</v>
      </c>
    </row>
    <row r="246" spans="1:2">
      <c r="A246" s="7" t="s">
        <v>460</v>
      </c>
      <c r="B246">
        <v>1</v>
      </c>
    </row>
    <row r="247" spans="1:2">
      <c r="A247" s="7" t="s">
        <v>461</v>
      </c>
      <c r="B247">
        <v>1</v>
      </c>
    </row>
    <row r="248" spans="1:2">
      <c r="A248" s="7" t="s">
        <v>463</v>
      </c>
      <c r="B248">
        <v>1</v>
      </c>
    </row>
    <row r="249" spans="1:2">
      <c r="A249" s="7" t="s">
        <v>466</v>
      </c>
      <c r="B249">
        <v>1</v>
      </c>
    </row>
    <row r="250" spans="1:2">
      <c r="A250" s="7" t="s">
        <v>467</v>
      </c>
      <c r="B250">
        <v>1</v>
      </c>
    </row>
    <row r="251" spans="1:2">
      <c r="A251" s="7" t="s">
        <v>470</v>
      </c>
      <c r="B251">
        <v>1</v>
      </c>
    </row>
    <row r="252" spans="1:2">
      <c r="A252" s="7" t="s">
        <v>476</v>
      </c>
      <c r="B252">
        <v>1</v>
      </c>
    </row>
    <row r="253" spans="1:2">
      <c r="A253" s="7" t="s">
        <v>477</v>
      </c>
      <c r="B253">
        <v>1</v>
      </c>
    </row>
    <row r="254" spans="1:2">
      <c r="A254" s="7" t="s">
        <v>478</v>
      </c>
      <c r="B254">
        <v>1</v>
      </c>
    </row>
    <row r="255" spans="1:2">
      <c r="A255" s="7" t="s">
        <v>480</v>
      </c>
      <c r="B255">
        <v>1</v>
      </c>
    </row>
    <row r="256" spans="1:2">
      <c r="A256" s="7" t="s">
        <v>481</v>
      </c>
      <c r="B256">
        <v>1</v>
      </c>
    </row>
    <row r="257" spans="1:2">
      <c r="A257" s="7" t="s">
        <v>483</v>
      </c>
      <c r="B257">
        <v>1</v>
      </c>
    </row>
    <row r="258" spans="1:2">
      <c r="A258" s="7" t="s">
        <v>486</v>
      </c>
      <c r="B258">
        <v>1</v>
      </c>
    </row>
    <row r="259" spans="1:2">
      <c r="A259" s="7" t="s">
        <v>491</v>
      </c>
      <c r="B259">
        <v>1</v>
      </c>
    </row>
    <row r="260" spans="1:2">
      <c r="A260" s="7" t="s">
        <v>494</v>
      </c>
      <c r="B260">
        <v>1</v>
      </c>
    </row>
    <row r="261" spans="1:2">
      <c r="A261" s="7" t="s">
        <v>495</v>
      </c>
      <c r="B261">
        <v>1</v>
      </c>
    </row>
    <row r="262" spans="1:2">
      <c r="A262" s="7" t="s">
        <v>496</v>
      </c>
      <c r="B262">
        <v>1</v>
      </c>
    </row>
    <row r="263" spans="1:2">
      <c r="A263" s="7" t="s">
        <v>498</v>
      </c>
      <c r="B263">
        <v>1</v>
      </c>
    </row>
    <row r="264" spans="1:2">
      <c r="A264" s="7" t="s">
        <v>500</v>
      </c>
      <c r="B264">
        <v>1</v>
      </c>
    </row>
    <row r="265" spans="1:2">
      <c r="A265" s="7" t="s">
        <v>501</v>
      </c>
      <c r="B265">
        <v>1</v>
      </c>
    </row>
    <row r="266" spans="1:2">
      <c r="A266" s="7" t="s">
        <v>502</v>
      </c>
      <c r="B266">
        <v>1</v>
      </c>
    </row>
    <row r="267" spans="1:2">
      <c r="A267" s="7" t="s">
        <v>503</v>
      </c>
      <c r="B267">
        <v>1</v>
      </c>
    </row>
    <row r="268" spans="1:2">
      <c r="A268" s="7" t="s">
        <v>504</v>
      </c>
      <c r="B268">
        <v>1</v>
      </c>
    </row>
    <row r="269" spans="1:2">
      <c r="A269" s="7" t="s">
        <v>505</v>
      </c>
      <c r="B269">
        <v>1</v>
      </c>
    </row>
    <row r="270" spans="1:2">
      <c r="A270" s="7" t="s">
        <v>507</v>
      </c>
      <c r="B270">
        <v>1</v>
      </c>
    </row>
    <row r="271" spans="1:2">
      <c r="A271" s="7" t="s">
        <v>508</v>
      </c>
      <c r="B271">
        <v>1</v>
      </c>
    </row>
    <row r="272" spans="1:2">
      <c r="A272" s="7" t="s">
        <v>510</v>
      </c>
      <c r="B272">
        <v>1</v>
      </c>
    </row>
    <row r="273" spans="1:2">
      <c r="A273" s="7" t="s">
        <v>511</v>
      </c>
      <c r="B273">
        <v>1</v>
      </c>
    </row>
    <row r="274" spans="1:2">
      <c r="A274" s="7" t="s">
        <v>513</v>
      </c>
      <c r="B274">
        <v>1</v>
      </c>
    </row>
    <row r="275" spans="1:2">
      <c r="A275" s="7" t="s">
        <v>516</v>
      </c>
      <c r="B275">
        <v>1</v>
      </c>
    </row>
    <row r="276" spans="1:2">
      <c r="A276" s="7" t="s">
        <v>518</v>
      </c>
      <c r="B276">
        <v>1</v>
      </c>
    </row>
    <row r="277" spans="1:2">
      <c r="A277" s="7" t="s">
        <v>519</v>
      </c>
      <c r="B277">
        <v>1</v>
      </c>
    </row>
    <row r="278" spans="1:2">
      <c r="A278" s="7" t="s">
        <v>520</v>
      </c>
      <c r="B278">
        <v>1</v>
      </c>
    </row>
    <row r="279" spans="1:2">
      <c r="A279" s="7" t="s">
        <v>521</v>
      </c>
      <c r="B279">
        <v>1</v>
      </c>
    </row>
    <row r="280" spans="1:2">
      <c r="A280" s="7" t="s">
        <v>524</v>
      </c>
      <c r="B280">
        <v>1</v>
      </c>
    </row>
    <row r="281" spans="1:2">
      <c r="A281" s="7" t="s">
        <v>527</v>
      </c>
      <c r="B281">
        <v>1</v>
      </c>
    </row>
    <row r="282" spans="1:2">
      <c r="A282" s="7" t="s">
        <v>529</v>
      </c>
      <c r="B282">
        <v>1</v>
      </c>
    </row>
    <row r="283" spans="1:2">
      <c r="A283" s="7" t="s">
        <v>531</v>
      </c>
      <c r="B283">
        <v>1</v>
      </c>
    </row>
    <row r="284" spans="1:2">
      <c r="A284" s="7" t="s">
        <v>533</v>
      </c>
      <c r="B284">
        <v>1</v>
      </c>
    </row>
    <row r="285" spans="1:2">
      <c r="A285" s="7" t="s">
        <v>534</v>
      </c>
      <c r="B285">
        <v>1</v>
      </c>
    </row>
    <row r="286" spans="1:2">
      <c r="A286" s="7" t="s">
        <v>536</v>
      </c>
      <c r="B286">
        <v>1</v>
      </c>
    </row>
    <row r="287" spans="1:2">
      <c r="A287" s="7" t="s">
        <v>537</v>
      </c>
      <c r="B287">
        <v>1</v>
      </c>
    </row>
    <row r="288" spans="1:2">
      <c r="A288" s="7" t="s">
        <v>538</v>
      </c>
      <c r="B288">
        <v>1</v>
      </c>
    </row>
    <row r="289" spans="1:2">
      <c r="A289" s="7" t="s">
        <v>540</v>
      </c>
      <c r="B289">
        <v>1</v>
      </c>
    </row>
    <row r="290" spans="1:2">
      <c r="A290" s="7" t="s">
        <v>542</v>
      </c>
      <c r="B290">
        <v>1</v>
      </c>
    </row>
    <row r="291" spans="1:2">
      <c r="A291" s="7" t="s">
        <v>544</v>
      </c>
      <c r="B291">
        <v>1</v>
      </c>
    </row>
    <row r="292" spans="1:2">
      <c r="A292" s="7" t="s">
        <v>546</v>
      </c>
      <c r="B292">
        <v>1</v>
      </c>
    </row>
    <row r="293" spans="1:2">
      <c r="A293" s="7" t="s">
        <v>548</v>
      </c>
      <c r="B293">
        <v>1</v>
      </c>
    </row>
    <row r="294" spans="1:2">
      <c r="A294" s="7" t="s">
        <v>551</v>
      </c>
      <c r="B294">
        <v>1</v>
      </c>
    </row>
    <row r="295" spans="1:2">
      <c r="A295" s="7" t="s">
        <v>552</v>
      </c>
      <c r="B295">
        <v>1</v>
      </c>
    </row>
    <row r="296" spans="1:2">
      <c r="A296" s="7" t="s">
        <v>553</v>
      </c>
      <c r="B296">
        <v>1</v>
      </c>
    </row>
    <row r="297" spans="1:2">
      <c r="A297" s="7" t="s">
        <v>555</v>
      </c>
      <c r="B297">
        <v>1</v>
      </c>
    </row>
    <row r="298" spans="1:2">
      <c r="A298" s="7" t="s">
        <v>556</v>
      </c>
      <c r="B298">
        <v>1</v>
      </c>
    </row>
    <row r="299" spans="1:2">
      <c r="A299" s="7" t="s">
        <v>557</v>
      </c>
      <c r="B299">
        <v>1</v>
      </c>
    </row>
    <row r="300" spans="1:2">
      <c r="A300" s="7" t="s">
        <v>558</v>
      </c>
      <c r="B300">
        <v>1</v>
      </c>
    </row>
    <row r="301" spans="1:2">
      <c r="A301" s="7" t="s">
        <v>564</v>
      </c>
      <c r="B301">
        <v>1</v>
      </c>
    </row>
    <row r="302" spans="1:2">
      <c r="A302" s="7" t="s">
        <v>570</v>
      </c>
      <c r="B302">
        <v>1</v>
      </c>
    </row>
    <row r="303" spans="1:2">
      <c r="A303" s="7" t="s">
        <v>571</v>
      </c>
      <c r="B303">
        <v>1</v>
      </c>
    </row>
    <row r="304" spans="1:2">
      <c r="A304" s="7" t="s">
        <v>574</v>
      </c>
      <c r="B304">
        <v>1</v>
      </c>
    </row>
    <row r="305" spans="1:2">
      <c r="A305" s="7" t="s">
        <v>577</v>
      </c>
      <c r="B305">
        <v>1</v>
      </c>
    </row>
    <row r="306" spans="1:2">
      <c r="A306" s="7" t="s">
        <v>580</v>
      </c>
      <c r="B306">
        <v>1</v>
      </c>
    </row>
    <row r="307" spans="1:2">
      <c r="A307" s="7" t="s">
        <v>582</v>
      </c>
      <c r="B307">
        <v>1</v>
      </c>
    </row>
    <row r="308" spans="1:2">
      <c r="A308" s="7" t="s">
        <v>584</v>
      </c>
      <c r="B308">
        <v>1</v>
      </c>
    </row>
    <row r="309" spans="1:2">
      <c r="A309" s="7" t="s">
        <v>587</v>
      </c>
      <c r="B309">
        <v>1</v>
      </c>
    </row>
    <row r="310" spans="1:2">
      <c r="A310" s="7" t="s">
        <v>589</v>
      </c>
      <c r="B310">
        <v>1</v>
      </c>
    </row>
    <row r="311" spans="1:2">
      <c r="A311" s="7" t="s">
        <v>591</v>
      </c>
      <c r="B311">
        <v>1</v>
      </c>
    </row>
    <row r="312" spans="1:2">
      <c r="A312" s="7" t="s">
        <v>592</v>
      </c>
      <c r="B312">
        <v>1</v>
      </c>
    </row>
    <row r="313" spans="1:2">
      <c r="A313" s="7" t="s">
        <v>593</v>
      </c>
      <c r="B313">
        <v>1</v>
      </c>
    </row>
    <row r="314" spans="1:2">
      <c r="A314" s="7" t="s">
        <v>594</v>
      </c>
      <c r="B314">
        <v>1</v>
      </c>
    </row>
    <row r="315" spans="1:2">
      <c r="A315" s="7" t="s">
        <v>595</v>
      </c>
      <c r="B315">
        <v>1</v>
      </c>
    </row>
    <row r="316" spans="1:2">
      <c r="A316" s="7" t="s">
        <v>597</v>
      </c>
      <c r="B316">
        <v>1</v>
      </c>
    </row>
    <row r="317" spans="1:2">
      <c r="A317" s="7" t="s">
        <v>598</v>
      </c>
      <c r="B317">
        <v>1</v>
      </c>
    </row>
    <row r="318" spans="1:2">
      <c r="A318" s="7" t="s">
        <v>601</v>
      </c>
      <c r="B318">
        <v>1</v>
      </c>
    </row>
    <row r="319" spans="1:2">
      <c r="A319" s="7" t="s">
        <v>606</v>
      </c>
      <c r="B319">
        <v>1</v>
      </c>
    </row>
    <row r="320" spans="1:2">
      <c r="A320" s="7" t="s">
        <v>608</v>
      </c>
      <c r="B320">
        <v>1</v>
      </c>
    </row>
    <row r="321" spans="1:2">
      <c r="A321" s="7" t="s">
        <v>611</v>
      </c>
      <c r="B321">
        <v>1</v>
      </c>
    </row>
    <row r="322" spans="1:2">
      <c r="A322" s="7" t="s">
        <v>613</v>
      </c>
      <c r="B322">
        <v>1</v>
      </c>
    </row>
    <row r="323" spans="1:2">
      <c r="A323" s="7" t="s">
        <v>617</v>
      </c>
      <c r="B323">
        <v>1</v>
      </c>
    </row>
    <row r="324" spans="1:2">
      <c r="A324" s="7" t="s">
        <v>620</v>
      </c>
      <c r="B324">
        <v>1</v>
      </c>
    </row>
    <row r="325" spans="1:2">
      <c r="A325" s="7" t="s">
        <v>621</v>
      </c>
      <c r="B325">
        <v>1</v>
      </c>
    </row>
    <row r="326" spans="1:2">
      <c r="A326" s="7" t="s">
        <v>622</v>
      </c>
      <c r="B326">
        <v>1</v>
      </c>
    </row>
    <row r="327" spans="1:2">
      <c r="A327" s="7" t="s">
        <v>624</v>
      </c>
      <c r="B327">
        <v>1</v>
      </c>
    </row>
    <row r="328" spans="1:2">
      <c r="A328" s="7" t="s">
        <v>625</v>
      </c>
      <c r="B328">
        <v>1</v>
      </c>
    </row>
    <row r="329" spans="1:2">
      <c r="A329" s="7" t="s">
        <v>626</v>
      </c>
      <c r="B329">
        <v>1</v>
      </c>
    </row>
    <row r="330" spans="1:2">
      <c r="A330" s="7" t="s">
        <v>628</v>
      </c>
      <c r="B330">
        <v>1</v>
      </c>
    </row>
    <row r="331" spans="1:2">
      <c r="A331" s="7" t="s">
        <v>629</v>
      </c>
      <c r="B331">
        <v>1</v>
      </c>
    </row>
    <row r="332" spans="1:2">
      <c r="A332" s="7" t="s">
        <v>630</v>
      </c>
      <c r="B332">
        <v>1</v>
      </c>
    </row>
    <row r="333" spans="1:2">
      <c r="A333" s="7" t="s">
        <v>641</v>
      </c>
      <c r="B333">
        <v>1</v>
      </c>
    </row>
    <row r="334" spans="1:2">
      <c r="A334" s="7" t="s">
        <v>645</v>
      </c>
      <c r="B334">
        <v>1</v>
      </c>
    </row>
    <row r="335" spans="1:2">
      <c r="A335" s="7" t="s">
        <v>649</v>
      </c>
      <c r="B335">
        <v>1</v>
      </c>
    </row>
    <row r="336" spans="1:2">
      <c r="A336" s="7" t="s">
        <v>654</v>
      </c>
      <c r="B336">
        <v>1</v>
      </c>
    </row>
    <row r="337" spans="1:2">
      <c r="A337" s="7" t="s">
        <v>655</v>
      </c>
      <c r="B337">
        <v>1</v>
      </c>
    </row>
    <row r="338" spans="1:2">
      <c r="A338" s="7" t="s">
        <v>659</v>
      </c>
      <c r="B338">
        <v>1</v>
      </c>
    </row>
    <row r="339" spans="1:2">
      <c r="A339" s="7" t="s">
        <v>660</v>
      </c>
      <c r="B339">
        <v>1</v>
      </c>
    </row>
    <row r="340" spans="1:2">
      <c r="A340" s="7" t="s">
        <v>662</v>
      </c>
      <c r="B340">
        <v>1</v>
      </c>
    </row>
    <row r="341" spans="1:2">
      <c r="A341" s="7" t="s">
        <v>664</v>
      </c>
      <c r="B341">
        <v>1</v>
      </c>
    </row>
    <row r="342" spans="1:2">
      <c r="A342" s="7" t="s">
        <v>666</v>
      </c>
      <c r="B342">
        <v>1</v>
      </c>
    </row>
    <row r="343" spans="1:2">
      <c r="A343" s="7" t="s">
        <v>667</v>
      </c>
      <c r="B343">
        <v>1</v>
      </c>
    </row>
    <row r="344" spans="1:2">
      <c r="A344" s="7" t="s">
        <v>670</v>
      </c>
      <c r="B344">
        <v>1</v>
      </c>
    </row>
    <row r="345" spans="1:2">
      <c r="A345" s="7" t="s">
        <v>674</v>
      </c>
      <c r="B345">
        <v>1</v>
      </c>
    </row>
    <row r="346" spans="1:2">
      <c r="A346" s="7" t="s">
        <v>677</v>
      </c>
      <c r="B346">
        <v>1</v>
      </c>
    </row>
    <row r="347" spans="1:2">
      <c r="A347" s="7" t="s">
        <v>678</v>
      </c>
      <c r="B347">
        <v>1</v>
      </c>
    </row>
    <row r="348" spans="1:2">
      <c r="A348" s="7" t="s">
        <v>679</v>
      </c>
      <c r="B348">
        <v>1</v>
      </c>
    </row>
    <row r="349" spans="1:2">
      <c r="A349" s="7" t="s">
        <v>683</v>
      </c>
      <c r="B349">
        <v>1</v>
      </c>
    </row>
    <row r="350" spans="1:2">
      <c r="A350" s="7" t="s">
        <v>685</v>
      </c>
      <c r="B350">
        <v>1</v>
      </c>
    </row>
    <row r="351" spans="1:2">
      <c r="A351" s="7" t="s">
        <v>686</v>
      </c>
      <c r="B351">
        <v>1</v>
      </c>
    </row>
    <row r="352" spans="1:2">
      <c r="A352" s="7" t="s">
        <v>687</v>
      </c>
      <c r="B352">
        <v>1</v>
      </c>
    </row>
    <row r="353" spans="1:2">
      <c r="A353" s="7" t="s">
        <v>688</v>
      </c>
      <c r="B353">
        <v>1</v>
      </c>
    </row>
    <row r="354" spans="1:2">
      <c r="A354" s="7" t="s">
        <v>689</v>
      </c>
      <c r="B354">
        <v>1</v>
      </c>
    </row>
    <row r="355" spans="1:2">
      <c r="A355" s="7" t="s">
        <v>690</v>
      </c>
      <c r="B355">
        <v>1</v>
      </c>
    </row>
    <row r="356" spans="1:2">
      <c r="A356" s="7" t="s">
        <v>691</v>
      </c>
      <c r="B356">
        <v>1</v>
      </c>
    </row>
    <row r="357" spans="1:2">
      <c r="A357" s="7" t="s">
        <v>692</v>
      </c>
      <c r="B357">
        <v>1</v>
      </c>
    </row>
    <row r="358" spans="1:2">
      <c r="A358" s="7" t="s">
        <v>695</v>
      </c>
      <c r="B358">
        <v>1</v>
      </c>
    </row>
    <row r="359" spans="1:2">
      <c r="A359" s="7" t="s">
        <v>699</v>
      </c>
      <c r="B359">
        <v>1</v>
      </c>
    </row>
    <row r="360" spans="1:2">
      <c r="A360" s="7" t="s">
        <v>700</v>
      </c>
      <c r="B360">
        <v>1</v>
      </c>
    </row>
    <row r="361" spans="1:2">
      <c r="A361" s="7" t="s">
        <v>701</v>
      </c>
      <c r="B361">
        <v>1</v>
      </c>
    </row>
    <row r="362" spans="1:2">
      <c r="A362" s="7" t="s">
        <v>705</v>
      </c>
      <c r="B362">
        <v>1</v>
      </c>
    </row>
    <row r="363" spans="1:2">
      <c r="A363" s="7" t="s">
        <v>708</v>
      </c>
      <c r="B363">
        <v>1</v>
      </c>
    </row>
    <row r="364" spans="1:2">
      <c r="A364" s="7" t="s">
        <v>713</v>
      </c>
      <c r="B364">
        <v>1</v>
      </c>
    </row>
    <row r="365" spans="1:2">
      <c r="A365" s="7" t="s">
        <v>714</v>
      </c>
      <c r="B365">
        <v>1</v>
      </c>
    </row>
    <row r="366" spans="1:2">
      <c r="A366" s="7" t="s">
        <v>716</v>
      </c>
      <c r="B366">
        <v>1</v>
      </c>
    </row>
    <row r="367" spans="1:2">
      <c r="A367" s="7" t="s">
        <v>717</v>
      </c>
      <c r="B367">
        <v>1</v>
      </c>
    </row>
    <row r="368" spans="1:2">
      <c r="A368" s="7" t="s">
        <v>719</v>
      </c>
      <c r="B368">
        <v>1</v>
      </c>
    </row>
    <row r="369" spans="1:2">
      <c r="A369" s="7" t="s">
        <v>720</v>
      </c>
      <c r="B369">
        <v>1</v>
      </c>
    </row>
    <row r="370" spans="1:2">
      <c r="A370" s="7" t="s">
        <v>721</v>
      </c>
      <c r="B370">
        <v>1</v>
      </c>
    </row>
    <row r="371" spans="1:2">
      <c r="A371" s="7" t="s">
        <v>723</v>
      </c>
      <c r="B371">
        <v>1</v>
      </c>
    </row>
    <row r="372" spans="1:2">
      <c r="A372" s="7" t="s">
        <v>725</v>
      </c>
      <c r="B372">
        <v>1</v>
      </c>
    </row>
    <row r="373" spans="1:2">
      <c r="A373" s="7" t="s">
        <v>727</v>
      </c>
      <c r="B373">
        <v>1</v>
      </c>
    </row>
    <row r="374" spans="1:2">
      <c r="A374" s="7" t="s">
        <v>728</v>
      </c>
      <c r="B374">
        <v>1</v>
      </c>
    </row>
    <row r="375" spans="1:2">
      <c r="A375" s="7" t="s">
        <v>730</v>
      </c>
      <c r="B375">
        <v>1</v>
      </c>
    </row>
    <row r="376" spans="1:2">
      <c r="A376" s="7" t="s">
        <v>733</v>
      </c>
      <c r="B376">
        <v>1</v>
      </c>
    </row>
    <row r="377" spans="1:2">
      <c r="A377" s="7" t="s">
        <v>734</v>
      </c>
      <c r="B377">
        <v>1</v>
      </c>
    </row>
    <row r="378" spans="1:2">
      <c r="A378" s="7" t="s">
        <v>737</v>
      </c>
      <c r="B378">
        <v>1</v>
      </c>
    </row>
    <row r="379" spans="1:2">
      <c r="A379" s="7" t="s">
        <v>738</v>
      </c>
      <c r="B379">
        <v>1</v>
      </c>
    </row>
    <row r="380" spans="1:2">
      <c r="A380" s="7" t="s">
        <v>743</v>
      </c>
      <c r="B380">
        <v>1</v>
      </c>
    </row>
    <row r="381" spans="1:2">
      <c r="A381" s="7" t="s">
        <v>746</v>
      </c>
      <c r="B381">
        <v>1</v>
      </c>
    </row>
    <row r="382" spans="1:2">
      <c r="A382" s="7" t="s">
        <v>748</v>
      </c>
      <c r="B382">
        <v>1</v>
      </c>
    </row>
    <row r="383" spans="1:2">
      <c r="A383" s="7" t="s">
        <v>751</v>
      </c>
      <c r="B383">
        <v>1</v>
      </c>
    </row>
    <row r="384" spans="1:2">
      <c r="A384" s="7" t="s">
        <v>754</v>
      </c>
      <c r="B384">
        <v>1</v>
      </c>
    </row>
    <row r="385" spans="1:2">
      <c r="A385" s="7" t="s">
        <v>757</v>
      </c>
      <c r="B385">
        <v>1</v>
      </c>
    </row>
    <row r="386" spans="1:2">
      <c r="A386" s="7" t="s">
        <v>759</v>
      </c>
      <c r="B386">
        <v>1</v>
      </c>
    </row>
    <row r="387" spans="1:2">
      <c r="A387" s="7" t="s">
        <v>761</v>
      </c>
      <c r="B387">
        <v>1</v>
      </c>
    </row>
    <row r="388" spans="1:2">
      <c r="A388" s="7" t="s">
        <v>762</v>
      </c>
      <c r="B388">
        <v>1</v>
      </c>
    </row>
    <row r="389" spans="1:2">
      <c r="A389" s="7" t="s">
        <v>767</v>
      </c>
      <c r="B389">
        <v>1</v>
      </c>
    </row>
    <row r="390" spans="1:2">
      <c r="A390" s="7" t="s">
        <v>769</v>
      </c>
      <c r="B390">
        <v>1</v>
      </c>
    </row>
    <row r="391" spans="1:2">
      <c r="A391" s="7" t="s">
        <v>770</v>
      </c>
      <c r="B391">
        <v>1</v>
      </c>
    </row>
    <row r="392" spans="1:2">
      <c r="A392" s="7" t="s">
        <v>772</v>
      </c>
      <c r="B392">
        <v>1</v>
      </c>
    </row>
    <row r="393" spans="1:2">
      <c r="A393" s="7" t="s">
        <v>773</v>
      </c>
      <c r="B393">
        <v>1</v>
      </c>
    </row>
    <row r="394" spans="1:2">
      <c r="A394" s="7" t="s">
        <v>777</v>
      </c>
      <c r="B394">
        <v>1</v>
      </c>
    </row>
    <row r="395" spans="1:2">
      <c r="A395" s="7" t="s">
        <v>778</v>
      </c>
      <c r="B395">
        <v>1</v>
      </c>
    </row>
    <row r="396" spans="1:2">
      <c r="A396" s="7" t="s">
        <v>779</v>
      </c>
      <c r="B396">
        <v>1</v>
      </c>
    </row>
    <row r="397" spans="1:2">
      <c r="A397" s="7" t="s">
        <v>780</v>
      </c>
      <c r="B397">
        <v>1</v>
      </c>
    </row>
    <row r="398" spans="1:2">
      <c r="A398" s="7" t="s">
        <v>781</v>
      </c>
      <c r="B398">
        <v>1</v>
      </c>
    </row>
    <row r="399" spans="1:2">
      <c r="A399" s="7" t="s">
        <v>782</v>
      </c>
      <c r="B399">
        <v>1</v>
      </c>
    </row>
    <row r="400" spans="1:2">
      <c r="A400" s="7" t="s">
        <v>783</v>
      </c>
      <c r="B400">
        <v>1</v>
      </c>
    </row>
    <row r="401" spans="1:2">
      <c r="A401" s="7" t="s">
        <v>784</v>
      </c>
      <c r="B401">
        <v>1</v>
      </c>
    </row>
    <row r="402" spans="1:2">
      <c r="A402" s="7" t="s">
        <v>786</v>
      </c>
      <c r="B402">
        <v>1</v>
      </c>
    </row>
    <row r="403" spans="1:2">
      <c r="A403" s="7" t="s">
        <v>787</v>
      </c>
      <c r="B403">
        <v>1</v>
      </c>
    </row>
    <row r="404" spans="1:2">
      <c r="A404" s="7" t="s">
        <v>791</v>
      </c>
      <c r="B404">
        <v>1</v>
      </c>
    </row>
    <row r="405" spans="1:2">
      <c r="A405" s="7" t="s">
        <v>795</v>
      </c>
      <c r="B405">
        <v>1</v>
      </c>
    </row>
    <row r="406" spans="1:2">
      <c r="A406" s="7" t="s">
        <v>796</v>
      </c>
      <c r="B406">
        <v>1</v>
      </c>
    </row>
    <row r="407" spans="1:2">
      <c r="A407" s="7" t="s">
        <v>797</v>
      </c>
      <c r="B407">
        <v>1</v>
      </c>
    </row>
    <row r="408" spans="1:2">
      <c r="A408" s="7" t="s">
        <v>798</v>
      </c>
      <c r="B408">
        <v>1</v>
      </c>
    </row>
    <row r="409" spans="1:2">
      <c r="A409" s="7" t="s">
        <v>801</v>
      </c>
      <c r="B409">
        <v>1</v>
      </c>
    </row>
    <row r="410" spans="1:2">
      <c r="A410" s="7" t="s">
        <v>803</v>
      </c>
      <c r="B410">
        <v>1</v>
      </c>
    </row>
    <row r="411" spans="1:2">
      <c r="A411" s="7" t="s">
        <v>807</v>
      </c>
      <c r="B411">
        <v>1</v>
      </c>
    </row>
    <row r="412" spans="1:2">
      <c r="A412" s="7" t="s">
        <v>808</v>
      </c>
      <c r="B412">
        <v>1</v>
      </c>
    </row>
    <row r="413" spans="1:2">
      <c r="A413" s="7" t="s">
        <v>809</v>
      </c>
      <c r="B413">
        <v>1</v>
      </c>
    </row>
    <row r="414" spans="1:2">
      <c r="A414" s="7" t="s">
        <v>811</v>
      </c>
      <c r="B414">
        <v>1</v>
      </c>
    </row>
    <row r="415" spans="1:2">
      <c r="A415" s="7" t="s">
        <v>812</v>
      </c>
      <c r="B415">
        <v>1</v>
      </c>
    </row>
    <row r="416" spans="1:2">
      <c r="A416" s="7" t="s">
        <v>813</v>
      </c>
      <c r="B416">
        <v>1</v>
      </c>
    </row>
    <row r="417" spans="1:2">
      <c r="A417" s="7" t="s">
        <v>814</v>
      </c>
      <c r="B417">
        <v>1</v>
      </c>
    </row>
    <row r="418" spans="1:2">
      <c r="A418" s="7" t="s">
        <v>816</v>
      </c>
      <c r="B418">
        <v>1</v>
      </c>
    </row>
    <row r="419" spans="1:2">
      <c r="A419" s="7" t="s">
        <v>817</v>
      </c>
      <c r="B419">
        <v>1</v>
      </c>
    </row>
    <row r="420" spans="1:2">
      <c r="A420" s="7" t="s">
        <v>819</v>
      </c>
      <c r="B420">
        <v>1</v>
      </c>
    </row>
    <row r="421" spans="1:2">
      <c r="A421" s="7" t="s">
        <v>820</v>
      </c>
      <c r="B421">
        <v>1</v>
      </c>
    </row>
    <row r="422" spans="1:2">
      <c r="A422" s="7" t="s">
        <v>823</v>
      </c>
      <c r="B422">
        <v>1</v>
      </c>
    </row>
    <row r="423" spans="1:2">
      <c r="A423" s="7" t="s">
        <v>825</v>
      </c>
      <c r="B423">
        <v>1</v>
      </c>
    </row>
    <row r="424" spans="1:2">
      <c r="A424" s="7" t="s">
        <v>826</v>
      </c>
      <c r="B424">
        <v>1</v>
      </c>
    </row>
    <row r="425" spans="1:2">
      <c r="A425" s="7" t="s">
        <v>827</v>
      </c>
      <c r="B425">
        <v>1</v>
      </c>
    </row>
    <row r="426" spans="1:2">
      <c r="A426" s="7" t="s">
        <v>828</v>
      </c>
      <c r="B426">
        <v>1</v>
      </c>
    </row>
    <row r="427" spans="1:2">
      <c r="A427" s="7" t="s">
        <v>834</v>
      </c>
      <c r="B427">
        <v>1</v>
      </c>
    </row>
    <row r="428" spans="1:2">
      <c r="A428" s="7" t="s">
        <v>836</v>
      </c>
      <c r="B428">
        <v>1</v>
      </c>
    </row>
    <row r="429" spans="1:2">
      <c r="A429" s="7" t="s">
        <v>837</v>
      </c>
      <c r="B429">
        <v>1</v>
      </c>
    </row>
    <row r="430" spans="1:2">
      <c r="A430" s="7" t="s">
        <v>838</v>
      </c>
      <c r="B430">
        <v>1</v>
      </c>
    </row>
    <row r="431" spans="1:2">
      <c r="A431" s="7" t="s">
        <v>839</v>
      </c>
      <c r="B431">
        <v>1</v>
      </c>
    </row>
    <row r="432" spans="1:2">
      <c r="A432" s="7" t="s">
        <v>841</v>
      </c>
      <c r="B432">
        <v>1</v>
      </c>
    </row>
    <row r="433" spans="1:2">
      <c r="A433" s="7" t="s">
        <v>842</v>
      </c>
      <c r="B433">
        <v>1</v>
      </c>
    </row>
    <row r="434" spans="1:2">
      <c r="A434" s="7" t="s">
        <v>843</v>
      </c>
      <c r="B434">
        <v>1</v>
      </c>
    </row>
    <row r="435" spans="1:2">
      <c r="A435" s="7" t="s">
        <v>844</v>
      </c>
      <c r="B435">
        <v>1</v>
      </c>
    </row>
    <row r="436" spans="1:2">
      <c r="A436" s="7" t="s">
        <v>846</v>
      </c>
      <c r="B436">
        <v>1</v>
      </c>
    </row>
    <row r="437" spans="1:2">
      <c r="A437" s="7" t="s">
        <v>848</v>
      </c>
      <c r="B437">
        <v>1</v>
      </c>
    </row>
    <row r="438" spans="1:2">
      <c r="A438" s="7" t="s">
        <v>852</v>
      </c>
      <c r="B438">
        <v>1</v>
      </c>
    </row>
    <row r="439" spans="1:2">
      <c r="A439" s="7" t="s">
        <v>862</v>
      </c>
      <c r="B439">
        <v>1</v>
      </c>
    </row>
    <row r="440" spans="1:2">
      <c r="A440" s="7" t="s">
        <v>865</v>
      </c>
      <c r="B440">
        <v>1</v>
      </c>
    </row>
    <row r="441" spans="1:2">
      <c r="A441" s="7" t="s">
        <v>867</v>
      </c>
      <c r="B441">
        <v>1</v>
      </c>
    </row>
    <row r="442" spans="1:2">
      <c r="A442" s="7" t="s">
        <v>869</v>
      </c>
      <c r="B442">
        <v>1</v>
      </c>
    </row>
    <row r="443" spans="1:2">
      <c r="A443" s="7" t="s">
        <v>872</v>
      </c>
      <c r="B443">
        <v>1</v>
      </c>
    </row>
    <row r="444" spans="1:2">
      <c r="A444" s="7" t="s">
        <v>874</v>
      </c>
      <c r="B444">
        <v>1</v>
      </c>
    </row>
    <row r="445" spans="1:2">
      <c r="A445" s="7" t="s">
        <v>876</v>
      </c>
      <c r="B445">
        <v>1</v>
      </c>
    </row>
    <row r="446" spans="1:2">
      <c r="A446" s="7" t="s">
        <v>878</v>
      </c>
      <c r="B446">
        <v>1</v>
      </c>
    </row>
    <row r="447" spans="1:2">
      <c r="A447" s="7" t="s">
        <v>879</v>
      </c>
      <c r="B447">
        <v>1</v>
      </c>
    </row>
    <row r="448" spans="1:2">
      <c r="A448" s="7" t="s">
        <v>882</v>
      </c>
      <c r="B448">
        <v>1</v>
      </c>
    </row>
    <row r="449" spans="1:2">
      <c r="A449" s="7" t="s">
        <v>883</v>
      </c>
      <c r="B449">
        <v>1</v>
      </c>
    </row>
    <row r="450" spans="1:2">
      <c r="A450" s="7" t="s">
        <v>884</v>
      </c>
      <c r="B450">
        <v>1</v>
      </c>
    </row>
    <row r="451" spans="1:2">
      <c r="A451" s="7" t="s">
        <v>885</v>
      </c>
      <c r="B451">
        <v>1</v>
      </c>
    </row>
    <row r="452" spans="1:2">
      <c r="A452" s="7" t="s">
        <v>886</v>
      </c>
      <c r="B452">
        <v>1</v>
      </c>
    </row>
    <row r="453" spans="1:2">
      <c r="A453" s="7" t="s">
        <v>889</v>
      </c>
      <c r="B453">
        <v>1</v>
      </c>
    </row>
    <row r="454" spans="1:2">
      <c r="A454" s="7" t="s">
        <v>891</v>
      </c>
      <c r="B454">
        <v>1</v>
      </c>
    </row>
    <row r="455" spans="1:2">
      <c r="A455" s="7" t="s">
        <v>892</v>
      </c>
      <c r="B455">
        <v>1</v>
      </c>
    </row>
    <row r="456" spans="1:2">
      <c r="A456" s="7" t="s">
        <v>894</v>
      </c>
      <c r="B456">
        <v>1</v>
      </c>
    </row>
    <row r="457" spans="1:2">
      <c r="A457" s="7" t="s">
        <v>896</v>
      </c>
      <c r="B457">
        <v>1</v>
      </c>
    </row>
    <row r="458" spans="1:2">
      <c r="A458" s="7" t="s">
        <v>897</v>
      </c>
      <c r="B458">
        <v>1</v>
      </c>
    </row>
    <row r="459" spans="1:2">
      <c r="A459" s="7" t="s">
        <v>899</v>
      </c>
      <c r="B459">
        <v>1</v>
      </c>
    </row>
    <row r="460" spans="1:2">
      <c r="A460" s="7" t="s">
        <v>900</v>
      </c>
      <c r="B460">
        <v>1</v>
      </c>
    </row>
    <row r="461" spans="1:2">
      <c r="A461" s="7" t="s">
        <v>902</v>
      </c>
      <c r="B461">
        <v>1</v>
      </c>
    </row>
    <row r="462" spans="1:2">
      <c r="A462" s="7" t="s">
        <v>903</v>
      </c>
      <c r="B462">
        <v>1</v>
      </c>
    </row>
    <row r="463" spans="1:2">
      <c r="A463" s="7" t="s">
        <v>904</v>
      </c>
      <c r="B463">
        <v>1</v>
      </c>
    </row>
    <row r="464" spans="1:2">
      <c r="A464" s="7" t="s">
        <v>905</v>
      </c>
      <c r="B464">
        <v>1</v>
      </c>
    </row>
    <row r="465" spans="1:2">
      <c r="A465" s="7" t="s">
        <v>906</v>
      </c>
      <c r="B465">
        <v>1</v>
      </c>
    </row>
    <row r="466" spans="1:2">
      <c r="A466" s="7" t="s">
        <v>907</v>
      </c>
      <c r="B466">
        <v>1</v>
      </c>
    </row>
    <row r="467" spans="1:2">
      <c r="A467" s="7" t="s">
        <v>909</v>
      </c>
      <c r="B467">
        <v>1</v>
      </c>
    </row>
    <row r="468" spans="1:2">
      <c r="A468" s="7" t="s">
        <v>911</v>
      </c>
      <c r="B468">
        <v>1</v>
      </c>
    </row>
    <row r="469" spans="1:2">
      <c r="A469" s="7" t="s">
        <v>912</v>
      </c>
      <c r="B469">
        <v>1</v>
      </c>
    </row>
    <row r="470" spans="1:2">
      <c r="A470" s="7" t="s">
        <v>914</v>
      </c>
      <c r="B470">
        <v>1</v>
      </c>
    </row>
    <row r="471" spans="1:2">
      <c r="A471" s="7" t="s">
        <v>919</v>
      </c>
      <c r="B471">
        <v>1</v>
      </c>
    </row>
    <row r="472" spans="1:2">
      <c r="A472" s="7" t="s">
        <v>920</v>
      </c>
      <c r="B472">
        <v>1</v>
      </c>
    </row>
    <row r="473" spans="1:2">
      <c r="A473" s="7" t="s">
        <v>925</v>
      </c>
      <c r="B473">
        <v>1</v>
      </c>
    </row>
    <row r="474" spans="1:2">
      <c r="A474" s="7" t="s">
        <v>926</v>
      </c>
      <c r="B474">
        <v>1</v>
      </c>
    </row>
    <row r="475" spans="1:2">
      <c r="A475" s="7" t="s">
        <v>929</v>
      </c>
      <c r="B475">
        <v>1</v>
      </c>
    </row>
    <row r="476" spans="1:2">
      <c r="A476" s="7" t="s">
        <v>930</v>
      </c>
      <c r="B476">
        <v>1</v>
      </c>
    </row>
    <row r="477" spans="1:2">
      <c r="A477" s="7" t="s">
        <v>931</v>
      </c>
      <c r="B477">
        <v>1</v>
      </c>
    </row>
    <row r="478" spans="1:2">
      <c r="A478" s="7" t="s">
        <v>936</v>
      </c>
      <c r="B478">
        <v>1</v>
      </c>
    </row>
    <row r="479" spans="1:2">
      <c r="A479" s="7" t="s">
        <v>939</v>
      </c>
      <c r="B479">
        <v>1</v>
      </c>
    </row>
    <row r="480" spans="1:2">
      <c r="A480" s="7" t="s">
        <v>940</v>
      </c>
      <c r="B480">
        <v>1</v>
      </c>
    </row>
    <row r="481" spans="1:2">
      <c r="A481" s="7" t="s">
        <v>942</v>
      </c>
      <c r="B481">
        <v>1</v>
      </c>
    </row>
    <row r="482" spans="1:2">
      <c r="A482" s="7" t="s">
        <v>946</v>
      </c>
      <c r="B482">
        <v>1</v>
      </c>
    </row>
    <row r="483" spans="1:2">
      <c r="A483" s="7" t="s">
        <v>947</v>
      </c>
      <c r="B483">
        <v>1</v>
      </c>
    </row>
    <row r="484" spans="1:2">
      <c r="A484" s="7" t="s">
        <v>948</v>
      </c>
      <c r="B484">
        <v>1</v>
      </c>
    </row>
    <row r="485" spans="1:2">
      <c r="A485" s="7" t="s">
        <v>949</v>
      </c>
      <c r="B485">
        <v>1</v>
      </c>
    </row>
    <row r="486" spans="1:2">
      <c r="A486" s="7" t="s">
        <v>950</v>
      </c>
      <c r="B486">
        <v>1</v>
      </c>
    </row>
    <row r="487" spans="1:2">
      <c r="A487" s="7" t="s">
        <v>955</v>
      </c>
      <c r="B487">
        <v>1</v>
      </c>
    </row>
    <row r="488" spans="1:2">
      <c r="A488" s="7" t="s">
        <v>956</v>
      </c>
      <c r="B488">
        <v>1</v>
      </c>
    </row>
    <row r="489" spans="1:2">
      <c r="A489" s="7" t="s">
        <v>961</v>
      </c>
      <c r="B489">
        <v>1</v>
      </c>
    </row>
    <row r="490" spans="1:2">
      <c r="A490" s="7" t="s">
        <v>962</v>
      </c>
      <c r="B490">
        <v>1</v>
      </c>
    </row>
    <row r="491" spans="1:2">
      <c r="A491" s="7" t="s">
        <v>964</v>
      </c>
      <c r="B491">
        <v>1</v>
      </c>
    </row>
    <row r="492" spans="1:2">
      <c r="A492" s="7" t="s">
        <v>965</v>
      </c>
      <c r="B492">
        <v>1</v>
      </c>
    </row>
    <row r="493" spans="1:2">
      <c r="A493" s="7" t="s">
        <v>966</v>
      </c>
      <c r="B493">
        <v>1</v>
      </c>
    </row>
    <row r="494" spans="1:2">
      <c r="A494" s="7" t="s">
        <v>968</v>
      </c>
      <c r="B494">
        <v>1</v>
      </c>
    </row>
    <row r="495" spans="1:2">
      <c r="A495" s="7" t="s">
        <v>971</v>
      </c>
      <c r="B495">
        <v>1</v>
      </c>
    </row>
    <row r="496" spans="1:2">
      <c r="A496" s="7" t="s">
        <v>976</v>
      </c>
      <c r="B496">
        <v>1</v>
      </c>
    </row>
    <row r="497" spans="1:2">
      <c r="A497" s="7" t="s">
        <v>978</v>
      </c>
      <c r="B497">
        <v>1</v>
      </c>
    </row>
    <row r="498" spans="1:2">
      <c r="A498" s="7" t="s">
        <v>981</v>
      </c>
      <c r="B498">
        <v>1</v>
      </c>
    </row>
    <row r="499" spans="1:2">
      <c r="A499" s="7" t="s">
        <v>982</v>
      </c>
      <c r="B499">
        <v>1</v>
      </c>
    </row>
    <row r="500" spans="1:2">
      <c r="A500" s="7" t="s">
        <v>983</v>
      </c>
      <c r="B500">
        <v>1</v>
      </c>
    </row>
    <row r="501" spans="1:2">
      <c r="A501" s="7" t="s">
        <v>984</v>
      </c>
      <c r="B501">
        <v>1</v>
      </c>
    </row>
    <row r="502" spans="1:2">
      <c r="A502" s="7" t="s">
        <v>992</v>
      </c>
      <c r="B502">
        <v>1</v>
      </c>
    </row>
    <row r="503" spans="1:2">
      <c r="A503" s="7" t="s">
        <v>994</v>
      </c>
      <c r="B503">
        <v>1</v>
      </c>
    </row>
    <row r="504" spans="1:2">
      <c r="A504" s="7" t="s">
        <v>995</v>
      </c>
      <c r="B504">
        <v>1</v>
      </c>
    </row>
    <row r="505" spans="1:2">
      <c r="A505" s="7" t="s">
        <v>996</v>
      </c>
      <c r="B505">
        <v>1</v>
      </c>
    </row>
    <row r="506" spans="1:2">
      <c r="A506" s="7" t="s">
        <v>999</v>
      </c>
      <c r="B506">
        <v>1</v>
      </c>
    </row>
    <row r="507" spans="1:2">
      <c r="A507" s="7" t="s">
        <v>1004</v>
      </c>
      <c r="B507">
        <v>1</v>
      </c>
    </row>
    <row r="508" spans="1:2">
      <c r="A508" s="7" t="s">
        <v>1006</v>
      </c>
      <c r="B508">
        <v>1</v>
      </c>
    </row>
    <row r="509" spans="1:2">
      <c r="A509" s="7" t="s">
        <v>1008</v>
      </c>
      <c r="B509">
        <v>1</v>
      </c>
    </row>
    <row r="510" spans="1:2">
      <c r="A510" s="7" t="s">
        <v>1009</v>
      </c>
      <c r="B510">
        <v>1</v>
      </c>
    </row>
    <row r="511" spans="1:2">
      <c r="A511" s="7" t="s">
        <v>1010</v>
      </c>
      <c r="B511">
        <v>1</v>
      </c>
    </row>
    <row r="512" spans="1:2">
      <c r="A512" s="7" t="s">
        <v>1012</v>
      </c>
      <c r="B512">
        <v>1</v>
      </c>
    </row>
    <row r="513" spans="1:2">
      <c r="A513" s="7" t="s">
        <v>1015</v>
      </c>
      <c r="B513">
        <v>1</v>
      </c>
    </row>
    <row r="514" spans="1:2">
      <c r="A514" s="7" t="s">
        <v>1016</v>
      </c>
      <c r="B514">
        <v>1</v>
      </c>
    </row>
    <row r="515" spans="1:2">
      <c r="A515" s="7" t="s">
        <v>1019</v>
      </c>
      <c r="B515">
        <v>1</v>
      </c>
    </row>
    <row r="516" spans="1:2">
      <c r="A516" s="7" t="s">
        <v>1022</v>
      </c>
      <c r="B516">
        <v>1</v>
      </c>
    </row>
    <row r="517" spans="1:2">
      <c r="A517" s="7" t="s">
        <v>1024</v>
      </c>
      <c r="B517">
        <v>1</v>
      </c>
    </row>
    <row r="518" spans="1:2">
      <c r="A518" s="7" t="s">
        <v>1047</v>
      </c>
      <c r="B518">
        <v>482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7"/>
  <sheetViews>
    <sheetView topLeftCell="F1" zoomScale="95" workbookViewId="0">
      <selection activeCell="S59" sqref="S59"/>
    </sheetView>
  </sheetViews>
  <sheetFormatPr defaultRowHeight="14.4"/>
  <cols>
    <col min="2" max="2" width="6.88671875" customWidth="1"/>
    <col min="4" max="4" width="15.109375" customWidth="1"/>
    <col min="5" max="5" width="17.44140625" customWidth="1"/>
    <col min="6" max="6" width="12.6640625" customWidth="1"/>
    <col min="7" max="7" width="13" customWidth="1"/>
    <col min="8" max="8" width="14.44140625" customWidth="1"/>
    <col min="9" max="9" width="12.21875" customWidth="1"/>
    <col min="10" max="11" width="14.33203125" customWidth="1"/>
    <col min="13" max="13" width="13.44140625" customWidth="1"/>
    <col min="14" max="14" width="13.33203125" customWidth="1"/>
    <col min="15" max="15" width="7.5546875" customWidth="1"/>
    <col min="16" max="16" width="4.77734375" customWidth="1"/>
    <col min="17" max="17" width="7.44140625" customWidth="1"/>
    <col min="18" max="18" width="4.6640625" customWidth="1"/>
    <col min="19" max="19" width="5.33203125" customWidth="1"/>
    <col min="20" max="20" width="40.33203125" customWidth="1"/>
    <col min="21" max="21" width="11.5546875" bestFit="1"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24">
      <c r="A2" t="s">
        <v>69</v>
      </c>
      <c r="B2">
        <v>21</v>
      </c>
      <c r="C2" t="s">
        <v>16</v>
      </c>
      <c r="D2">
        <v>941500</v>
      </c>
      <c r="E2" t="s">
        <v>25</v>
      </c>
      <c r="F2">
        <v>621</v>
      </c>
      <c r="G2">
        <v>51049</v>
      </c>
      <c r="H2">
        <v>12.02</v>
      </c>
      <c r="I2">
        <v>48</v>
      </c>
      <c r="J2">
        <v>771</v>
      </c>
      <c r="K2" t="s">
        <v>26</v>
      </c>
      <c r="L2" t="s">
        <v>34</v>
      </c>
      <c r="M2" t="s">
        <v>20</v>
      </c>
      <c r="N2" t="s">
        <v>21</v>
      </c>
      <c r="O2">
        <v>0</v>
      </c>
      <c r="T2" t="s">
        <v>1027</v>
      </c>
    </row>
    <row r="3" spans="1:24">
      <c r="A3" t="s">
        <v>142</v>
      </c>
      <c r="B3">
        <v>21</v>
      </c>
      <c r="C3" t="s">
        <v>33</v>
      </c>
      <c r="D3">
        <v>205067</v>
      </c>
      <c r="E3" t="s">
        <v>17</v>
      </c>
      <c r="F3">
        <v>374</v>
      </c>
      <c r="G3">
        <v>54154</v>
      </c>
      <c r="H3">
        <v>13.43</v>
      </c>
      <c r="I3">
        <v>24</v>
      </c>
      <c r="J3">
        <v>877</v>
      </c>
      <c r="K3" t="s">
        <v>11</v>
      </c>
      <c r="L3" t="s">
        <v>34</v>
      </c>
      <c r="M3" t="s">
        <v>20</v>
      </c>
      <c r="N3" t="s">
        <v>21</v>
      </c>
      <c r="O3">
        <v>0</v>
      </c>
      <c r="Q3">
        <f>AVERAGE(F2:F1007)</f>
        <v>601.65306122448976</v>
      </c>
      <c r="T3" s="1" t="s">
        <v>1028</v>
      </c>
    </row>
    <row r="4" spans="1:24">
      <c r="A4" t="s">
        <v>199</v>
      </c>
      <c r="B4">
        <v>21</v>
      </c>
      <c r="C4" t="s">
        <v>33</v>
      </c>
      <c r="D4">
        <v>206933</v>
      </c>
      <c r="E4" t="s">
        <v>25</v>
      </c>
      <c r="F4">
        <v>595</v>
      </c>
      <c r="G4">
        <v>54383</v>
      </c>
      <c r="H4">
        <v>13</v>
      </c>
      <c r="I4">
        <v>48</v>
      </c>
      <c r="J4">
        <v>1305</v>
      </c>
      <c r="K4" t="s">
        <v>11</v>
      </c>
      <c r="L4" t="s">
        <v>34</v>
      </c>
      <c r="M4" t="s">
        <v>20</v>
      </c>
      <c r="N4" t="s">
        <v>21</v>
      </c>
      <c r="O4">
        <v>0</v>
      </c>
      <c r="T4" s="2" t="s">
        <v>1029</v>
      </c>
      <c r="W4" s="1"/>
      <c r="X4" s="1"/>
    </row>
    <row r="5" spans="1:24">
      <c r="A5" t="s">
        <v>256</v>
      </c>
      <c r="B5">
        <v>21</v>
      </c>
      <c r="C5" t="s">
        <v>16</v>
      </c>
      <c r="D5">
        <v>206958</v>
      </c>
      <c r="E5" t="s">
        <v>17</v>
      </c>
      <c r="F5">
        <v>714</v>
      </c>
      <c r="G5">
        <v>56033</v>
      </c>
      <c r="H5">
        <v>12.18</v>
      </c>
      <c r="I5">
        <v>36</v>
      </c>
      <c r="J5">
        <v>1391</v>
      </c>
      <c r="K5" t="s">
        <v>30</v>
      </c>
      <c r="L5" t="s">
        <v>34</v>
      </c>
      <c r="M5" t="s">
        <v>20</v>
      </c>
      <c r="N5" t="s">
        <v>21</v>
      </c>
      <c r="O5">
        <v>0</v>
      </c>
      <c r="T5" t="str">
        <f>IF(F2&gt;=750,"Low Risk",IF(F2&gt;=650,"Medium Risk","High Risk"))</f>
        <v>High Risk</v>
      </c>
    </row>
    <row r="6" spans="1:24">
      <c r="A6" t="s">
        <v>331</v>
      </c>
      <c r="B6">
        <v>21</v>
      </c>
      <c r="C6" t="s">
        <v>16</v>
      </c>
      <c r="D6">
        <v>208649</v>
      </c>
      <c r="E6" t="s">
        <v>25</v>
      </c>
      <c r="F6">
        <v>581</v>
      </c>
      <c r="G6">
        <v>56505</v>
      </c>
      <c r="H6">
        <v>11.27</v>
      </c>
      <c r="I6">
        <v>24</v>
      </c>
      <c r="J6">
        <v>1393</v>
      </c>
      <c r="K6" t="s">
        <v>23</v>
      </c>
      <c r="L6" t="s">
        <v>19</v>
      </c>
      <c r="M6" t="s">
        <v>27</v>
      </c>
      <c r="N6" t="s">
        <v>31</v>
      </c>
      <c r="O6">
        <v>0</v>
      </c>
    </row>
    <row r="7" spans="1:24">
      <c r="A7" t="s">
        <v>365</v>
      </c>
      <c r="B7">
        <v>21</v>
      </c>
      <c r="C7" t="s">
        <v>33</v>
      </c>
      <c r="D7">
        <v>210902</v>
      </c>
      <c r="E7" t="s">
        <v>17</v>
      </c>
      <c r="F7">
        <v>407</v>
      </c>
      <c r="G7">
        <v>58724</v>
      </c>
      <c r="H7">
        <v>11.31</v>
      </c>
      <c r="I7">
        <v>48</v>
      </c>
      <c r="J7">
        <v>1627</v>
      </c>
      <c r="K7" t="s">
        <v>26</v>
      </c>
      <c r="L7" t="s">
        <v>34</v>
      </c>
      <c r="M7" t="s">
        <v>20</v>
      </c>
      <c r="N7" t="s">
        <v>21</v>
      </c>
      <c r="O7">
        <v>0</v>
      </c>
      <c r="Q7">
        <v>601.41999999999996</v>
      </c>
      <c r="T7" s="2" t="s">
        <v>1030</v>
      </c>
    </row>
    <row r="8" spans="1:24">
      <c r="A8" t="s">
        <v>368</v>
      </c>
      <c r="B8">
        <v>21</v>
      </c>
      <c r="C8" t="s">
        <v>16</v>
      </c>
      <c r="D8">
        <v>212270</v>
      </c>
      <c r="E8" t="s">
        <v>25</v>
      </c>
      <c r="F8">
        <v>659</v>
      </c>
      <c r="G8">
        <v>60496</v>
      </c>
      <c r="H8">
        <v>9.14</v>
      </c>
      <c r="I8">
        <v>24</v>
      </c>
      <c r="J8">
        <v>2077</v>
      </c>
      <c r="K8" t="s">
        <v>18</v>
      </c>
      <c r="L8" t="s">
        <v>34</v>
      </c>
      <c r="M8" t="s">
        <v>27</v>
      </c>
      <c r="N8" t="s">
        <v>21</v>
      </c>
      <c r="O8">
        <v>0</v>
      </c>
      <c r="T8" t="str">
        <f>IF(D2&lt;500000,"Low Income",IF(D2&lt;1000000,"Medium Income","High Income"))</f>
        <v>Medium Income</v>
      </c>
    </row>
    <row r="9" spans="1:24">
      <c r="A9" t="s">
        <v>435</v>
      </c>
      <c r="B9">
        <v>21</v>
      </c>
      <c r="C9" t="s">
        <v>16</v>
      </c>
      <c r="D9">
        <v>213131</v>
      </c>
      <c r="E9" t="s">
        <v>17</v>
      </c>
      <c r="F9">
        <v>667</v>
      </c>
      <c r="G9">
        <v>60930</v>
      </c>
      <c r="H9">
        <v>13.94</v>
      </c>
      <c r="I9">
        <v>24</v>
      </c>
      <c r="J9">
        <v>3010</v>
      </c>
      <c r="K9" t="s">
        <v>23</v>
      </c>
      <c r="L9" t="s">
        <v>34</v>
      </c>
      <c r="M9" t="s">
        <v>27</v>
      </c>
      <c r="N9" t="s">
        <v>28</v>
      </c>
      <c r="O9">
        <v>0</v>
      </c>
    </row>
    <row r="10" spans="1:24">
      <c r="A10" t="s">
        <v>525</v>
      </c>
      <c r="B10">
        <v>21</v>
      </c>
      <c r="C10" t="s">
        <v>16</v>
      </c>
      <c r="D10">
        <v>214687</v>
      </c>
      <c r="E10" t="s">
        <v>17</v>
      </c>
      <c r="F10">
        <v>352</v>
      </c>
      <c r="G10">
        <v>61524</v>
      </c>
      <c r="H10">
        <v>12.27</v>
      </c>
      <c r="I10">
        <v>36</v>
      </c>
      <c r="J10">
        <v>3022</v>
      </c>
      <c r="K10" t="s">
        <v>11</v>
      </c>
      <c r="L10" t="s">
        <v>34</v>
      </c>
      <c r="M10" t="s">
        <v>20</v>
      </c>
      <c r="N10" t="s">
        <v>31</v>
      </c>
      <c r="O10">
        <v>0</v>
      </c>
      <c r="T10" s="2" t="s">
        <v>1031</v>
      </c>
    </row>
    <row r="11" spans="1:24">
      <c r="A11" t="s">
        <v>625</v>
      </c>
      <c r="B11">
        <v>21</v>
      </c>
      <c r="C11" t="s">
        <v>33</v>
      </c>
      <c r="D11">
        <v>215548</v>
      </c>
      <c r="E11" t="s">
        <v>17</v>
      </c>
      <c r="F11">
        <v>609</v>
      </c>
      <c r="G11">
        <v>63438</v>
      </c>
      <c r="H11">
        <v>10</v>
      </c>
      <c r="I11">
        <v>12</v>
      </c>
      <c r="J11">
        <v>3422</v>
      </c>
      <c r="K11" t="s">
        <v>11</v>
      </c>
      <c r="L11" t="s">
        <v>19</v>
      </c>
      <c r="M11" t="s">
        <v>27</v>
      </c>
      <c r="N11" t="s">
        <v>31</v>
      </c>
      <c r="O11">
        <v>1</v>
      </c>
      <c r="T11">
        <f>COUNTIF(O:O,1)</f>
        <v>248</v>
      </c>
    </row>
    <row r="12" spans="1:24">
      <c r="A12" t="s">
        <v>629</v>
      </c>
      <c r="B12">
        <v>21</v>
      </c>
      <c r="C12" t="s">
        <v>16</v>
      </c>
      <c r="D12">
        <v>216878</v>
      </c>
      <c r="E12" t="s">
        <v>25</v>
      </c>
      <c r="F12">
        <v>713</v>
      </c>
      <c r="G12">
        <v>66708</v>
      </c>
      <c r="H12">
        <v>15.07</v>
      </c>
      <c r="I12">
        <v>36</v>
      </c>
      <c r="J12">
        <v>3540</v>
      </c>
      <c r="K12" t="s">
        <v>26</v>
      </c>
      <c r="L12" t="s">
        <v>19</v>
      </c>
      <c r="M12" t="s">
        <v>27</v>
      </c>
      <c r="N12" t="s">
        <v>21</v>
      </c>
      <c r="O12">
        <v>0</v>
      </c>
      <c r="T12" s="2" t="s">
        <v>1032</v>
      </c>
    </row>
    <row r="13" spans="1:24">
      <c r="A13" t="s">
        <v>661</v>
      </c>
      <c r="B13">
        <v>21</v>
      </c>
      <c r="C13" t="s">
        <v>16</v>
      </c>
      <c r="D13">
        <v>218475</v>
      </c>
      <c r="E13" t="s">
        <v>17</v>
      </c>
      <c r="F13">
        <v>844</v>
      </c>
      <c r="G13">
        <v>67180</v>
      </c>
      <c r="H13">
        <v>8.6300000000000008</v>
      </c>
      <c r="I13">
        <v>48</v>
      </c>
      <c r="J13">
        <v>3925</v>
      </c>
      <c r="K13" t="s">
        <v>11</v>
      </c>
      <c r="L13" t="s">
        <v>34</v>
      </c>
      <c r="M13" t="s">
        <v>27</v>
      </c>
      <c r="N13" t="s">
        <v>28</v>
      </c>
      <c r="O13">
        <v>0</v>
      </c>
      <c r="T13">
        <f>COUNTIF(O:O,0)</f>
        <v>758</v>
      </c>
    </row>
    <row r="14" spans="1:24">
      <c r="A14" t="s">
        <v>673</v>
      </c>
      <c r="B14">
        <v>21</v>
      </c>
      <c r="C14" t="s">
        <v>16</v>
      </c>
      <c r="D14">
        <v>218657</v>
      </c>
      <c r="E14" t="s">
        <v>25</v>
      </c>
      <c r="F14">
        <v>717</v>
      </c>
      <c r="G14">
        <v>67371</v>
      </c>
      <c r="H14">
        <v>7.57</v>
      </c>
      <c r="I14">
        <v>12</v>
      </c>
      <c r="J14">
        <v>3939</v>
      </c>
      <c r="K14" t="s">
        <v>18</v>
      </c>
      <c r="L14" t="s">
        <v>34</v>
      </c>
      <c r="M14" t="s">
        <v>27</v>
      </c>
      <c r="N14" t="s">
        <v>21</v>
      </c>
      <c r="O14">
        <v>0</v>
      </c>
    </row>
    <row r="15" spans="1:24">
      <c r="A15" t="s">
        <v>703</v>
      </c>
      <c r="B15">
        <v>21</v>
      </c>
      <c r="C15" t="s">
        <v>16</v>
      </c>
      <c r="D15">
        <v>222374</v>
      </c>
      <c r="E15" t="s">
        <v>25</v>
      </c>
      <c r="F15">
        <v>401</v>
      </c>
      <c r="G15">
        <v>67668</v>
      </c>
      <c r="H15">
        <v>10.29</v>
      </c>
      <c r="I15">
        <v>60</v>
      </c>
      <c r="J15">
        <v>4133</v>
      </c>
      <c r="K15" t="s">
        <v>26</v>
      </c>
      <c r="L15" t="s">
        <v>34</v>
      </c>
      <c r="M15" t="s">
        <v>20</v>
      </c>
      <c r="N15" t="s">
        <v>28</v>
      </c>
      <c r="O15">
        <v>0</v>
      </c>
      <c r="T15" s="2" t="s">
        <v>1033</v>
      </c>
    </row>
    <row r="16" spans="1:24">
      <c r="A16" t="s">
        <v>777</v>
      </c>
      <c r="B16">
        <v>21</v>
      </c>
      <c r="C16" t="s">
        <v>16</v>
      </c>
      <c r="D16">
        <v>223885</v>
      </c>
      <c r="E16" t="s">
        <v>17</v>
      </c>
      <c r="F16">
        <v>769</v>
      </c>
      <c r="G16">
        <v>71187</v>
      </c>
      <c r="H16">
        <v>7.95</v>
      </c>
      <c r="I16">
        <v>36</v>
      </c>
      <c r="J16">
        <v>5146</v>
      </c>
      <c r="K16" t="s">
        <v>30</v>
      </c>
      <c r="L16" t="s">
        <v>19</v>
      </c>
      <c r="M16" t="s">
        <v>27</v>
      </c>
      <c r="N16" t="s">
        <v>28</v>
      </c>
      <c r="O16">
        <v>0</v>
      </c>
      <c r="T16">
        <f>COUNTIF(C:C,"Male")</f>
        <v>513</v>
      </c>
    </row>
    <row r="17" spans="1:20">
      <c r="A17" t="s">
        <v>817</v>
      </c>
      <c r="B17">
        <v>21</v>
      </c>
      <c r="C17" t="s">
        <v>33</v>
      </c>
      <c r="D17">
        <v>224282</v>
      </c>
      <c r="E17" t="s">
        <v>25</v>
      </c>
      <c r="F17">
        <v>543</v>
      </c>
      <c r="G17">
        <v>71777</v>
      </c>
      <c r="H17">
        <v>15.02</v>
      </c>
      <c r="I17">
        <v>24</v>
      </c>
      <c r="J17">
        <v>5146</v>
      </c>
      <c r="K17" t="s">
        <v>26</v>
      </c>
      <c r="L17" t="s">
        <v>19</v>
      </c>
      <c r="M17" t="s">
        <v>20</v>
      </c>
      <c r="N17" t="s">
        <v>28</v>
      </c>
      <c r="O17">
        <v>0</v>
      </c>
      <c r="T17" s="2" t="s">
        <v>1034</v>
      </c>
    </row>
    <row r="18" spans="1:20">
      <c r="A18" t="s">
        <v>821</v>
      </c>
      <c r="B18">
        <v>21</v>
      </c>
      <c r="C18" t="s">
        <v>16</v>
      </c>
      <c r="D18">
        <v>225227</v>
      </c>
      <c r="E18" t="s">
        <v>25</v>
      </c>
      <c r="F18">
        <v>605</v>
      </c>
      <c r="G18">
        <v>72705</v>
      </c>
      <c r="H18">
        <v>13.93</v>
      </c>
      <c r="I18">
        <v>12</v>
      </c>
      <c r="J18">
        <v>5226</v>
      </c>
      <c r="K18" t="s">
        <v>11</v>
      </c>
      <c r="L18" t="s">
        <v>34</v>
      </c>
      <c r="M18" t="s">
        <v>20</v>
      </c>
      <c r="N18" t="s">
        <v>28</v>
      </c>
      <c r="O18">
        <v>0</v>
      </c>
      <c r="T18">
        <f>COUNTIF(C:C,"Female")</f>
        <v>473</v>
      </c>
    </row>
    <row r="19" spans="1:20">
      <c r="A19" t="s">
        <v>900</v>
      </c>
      <c r="B19">
        <v>21</v>
      </c>
      <c r="C19" t="s">
        <v>16</v>
      </c>
      <c r="D19">
        <v>225358</v>
      </c>
      <c r="E19" t="s">
        <v>17</v>
      </c>
      <c r="F19">
        <v>748</v>
      </c>
      <c r="G19">
        <v>75012</v>
      </c>
      <c r="H19">
        <v>10.66</v>
      </c>
      <c r="I19">
        <v>24</v>
      </c>
      <c r="J19">
        <v>5291</v>
      </c>
      <c r="K19" t="s">
        <v>18</v>
      </c>
      <c r="L19" t="s">
        <v>19</v>
      </c>
      <c r="M19" t="s">
        <v>27</v>
      </c>
      <c r="N19" t="s">
        <v>21</v>
      </c>
      <c r="O19">
        <v>1</v>
      </c>
    </row>
    <row r="20" spans="1:20">
      <c r="A20" t="s">
        <v>902</v>
      </c>
      <c r="B20">
        <v>21</v>
      </c>
      <c r="C20" t="s">
        <v>33</v>
      </c>
      <c r="D20">
        <v>225726</v>
      </c>
      <c r="E20" t="s">
        <v>17</v>
      </c>
      <c r="F20">
        <v>357</v>
      </c>
      <c r="G20">
        <v>75110</v>
      </c>
      <c r="H20">
        <v>10.84</v>
      </c>
      <c r="I20">
        <v>60</v>
      </c>
      <c r="J20">
        <v>5488</v>
      </c>
      <c r="K20" t="s">
        <v>11</v>
      </c>
      <c r="L20" t="s">
        <v>19</v>
      </c>
      <c r="M20" t="s">
        <v>20</v>
      </c>
      <c r="N20" t="s">
        <v>31</v>
      </c>
      <c r="O20">
        <v>1</v>
      </c>
      <c r="T20" s="2" t="s">
        <v>1035</v>
      </c>
    </row>
    <row r="21" spans="1:20">
      <c r="A21" t="s">
        <v>962</v>
      </c>
      <c r="B21">
        <v>21</v>
      </c>
      <c r="C21" t="s">
        <v>16</v>
      </c>
      <c r="D21">
        <v>227212</v>
      </c>
      <c r="E21" t="s">
        <v>25</v>
      </c>
      <c r="F21">
        <v>838</v>
      </c>
      <c r="G21">
        <v>75759</v>
      </c>
      <c r="H21">
        <v>13.57</v>
      </c>
      <c r="I21">
        <v>60</v>
      </c>
      <c r="J21">
        <v>5647</v>
      </c>
      <c r="K21" t="s">
        <v>26</v>
      </c>
      <c r="L21" t="s">
        <v>19</v>
      </c>
      <c r="M21" t="s">
        <v>27</v>
      </c>
      <c r="N21" t="s">
        <v>31</v>
      </c>
      <c r="O21">
        <v>0</v>
      </c>
      <c r="T21">
        <f>SUMIF(K:K,"Home",G:G)</f>
        <v>195373507</v>
      </c>
    </row>
    <row r="22" spans="1:20">
      <c r="A22" t="s">
        <v>38</v>
      </c>
      <c r="B22">
        <v>22</v>
      </c>
      <c r="C22" t="s">
        <v>1026</v>
      </c>
      <c r="D22">
        <v>229742</v>
      </c>
      <c r="E22" t="s">
        <v>17</v>
      </c>
      <c r="F22">
        <v>626</v>
      </c>
      <c r="G22">
        <v>77242</v>
      </c>
      <c r="H22">
        <v>10.66</v>
      </c>
      <c r="I22">
        <v>36</v>
      </c>
      <c r="J22">
        <v>5867</v>
      </c>
      <c r="K22" t="s">
        <v>23</v>
      </c>
      <c r="L22" t="s">
        <v>19</v>
      </c>
      <c r="M22" t="s">
        <v>20</v>
      </c>
      <c r="N22" t="s">
        <v>31</v>
      </c>
      <c r="O22">
        <v>1</v>
      </c>
      <c r="T22" s="2" t="s">
        <v>1036</v>
      </c>
    </row>
    <row r="23" spans="1:20">
      <c r="A23" t="s">
        <v>44</v>
      </c>
      <c r="B23">
        <v>22</v>
      </c>
      <c r="C23" t="s">
        <v>33</v>
      </c>
      <c r="D23">
        <v>229897</v>
      </c>
      <c r="E23" t="s">
        <v>17</v>
      </c>
      <c r="F23">
        <v>609</v>
      </c>
      <c r="G23">
        <v>81209</v>
      </c>
      <c r="H23">
        <v>15.69</v>
      </c>
      <c r="I23">
        <v>36</v>
      </c>
      <c r="J23">
        <v>6096</v>
      </c>
      <c r="K23" t="s">
        <v>23</v>
      </c>
      <c r="L23" t="s">
        <v>19</v>
      </c>
      <c r="M23" t="s">
        <v>27</v>
      </c>
      <c r="N23" t="s">
        <v>28</v>
      </c>
      <c r="O23">
        <v>1</v>
      </c>
      <c r="T23">
        <f>SUMIF(K:K,"Business",G:G)</f>
        <v>206411281</v>
      </c>
    </row>
    <row r="24" spans="1:20">
      <c r="A24" t="s">
        <v>79</v>
      </c>
      <c r="B24">
        <v>22</v>
      </c>
      <c r="C24" t="s">
        <v>33</v>
      </c>
      <c r="D24">
        <v>230173</v>
      </c>
      <c r="E24" t="s">
        <v>25</v>
      </c>
      <c r="F24">
        <v>315</v>
      </c>
      <c r="G24">
        <v>81671</v>
      </c>
      <c r="H24">
        <v>12.75</v>
      </c>
      <c r="I24">
        <v>48</v>
      </c>
      <c r="J24">
        <v>6134</v>
      </c>
      <c r="K24" t="s">
        <v>18</v>
      </c>
      <c r="L24" t="s">
        <v>34</v>
      </c>
      <c r="M24" t="s">
        <v>27</v>
      </c>
      <c r="N24" t="s">
        <v>31</v>
      </c>
      <c r="O24">
        <v>0</v>
      </c>
    </row>
    <row r="25" spans="1:20">
      <c r="A25" t="s">
        <v>158</v>
      </c>
      <c r="B25">
        <v>22</v>
      </c>
      <c r="C25" t="s">
        <v>16</v>
      </c>
      <c r="D25">
        <v>230858</v>
      </c>
      <c r="E25" t="s">
        <v>25</v>
      </c>
      <c r="F25">
        <v>500</v>
      </c>
      <c r="G25">
        <v>82523</v>
      </c>
      <c r="H25">
        <v>12.9</v>
      </c>
      <c r="I25">
        <v>24</v>
      </c>
      <c r="J25">
        <v>6416</v>
      </c>
      <c r="K25" t="s">
        <v>26</v>
      </c>
      <c r="L25" t="s">
        <v>34</v>
      </c>
      <c r="M25" t="s">
        <v>27</v>
      </c>
      <c r="N25" t="s">
        <v>31</v>
      </c>
      <c r="O25">
        <v>1</v>
      </c>
      <c r="T25" s="2" t="s">
        <v>1037</v>
      </c>
    </row>
    <row r="26" spans="1:20">
      <c r="A26" t="s">
        <v>160</v>
      </c>
      <c r="B26">
        <v>22</v>
      </c>
      <c r="C26" t="s">
        <v>33</v>
      </c>
      <c r="D26">
        <v>232045</v>
      </c>
      <c r="E26" t="s">
        <v>17</v>
      </c>
      <c r="F26">
        <v>368</v>
      </c>
      <c r="G26">
        <v>82523</v>
      </c>
      <c r="H26">
        <v>7.67</v>
      </c>
      <c r="I26">
        <v>48</v>
      </c>
      <c r="J26">
        <v>6491</v>
      </c>
      <c r="K26" t="s">
        <v>23</v>
      </c>
      <c r="L26" t="s">
        <v>34</v>
      </c>
      <c r="M26" t="s">
        <v>27</v>
      </c>
      <c r="N26" t="s">
        <v>31</v>
      </c>
      <c r="O26">
        <v>0</v>
      </c>
      <c r="T26">
        <f>AVERAGEIF(C:C,"Male",F:F)</f>
        <v>605.23694779116465</v>
      </c>
    </row>
    <row r="27" spans="1:20">
      <c r="A27" t="s">
        <v>271</v>
      </c>
      <c r="B27">
        <v>22</v>
      </c>
      <c r="C27" t="s">
        <v>33</v>
      </c>
      <c r="D27">
        <v>232405</v>
      </c>
      <c r="E27" t="s">
        <v>17</v>
      </c>
      <c r="F27">
        <v>386</v>
      </c>
      <c r="G27">
        <v>85162</v>
      </c>
      <c r="H27">
        <v>7.99</v>
      </c>
      <c r="I27">
        <v>48</v>
      </c>
      <c r="J27">
        <v>7948</v>
      </c>
      <c r="K27" t="s">
        <v>11</v>
      </c>
      <c r="L27" t="s">
        <v>34</v>
      </c>
      <c r="M27" t="s">
        <v>20</v>
      </c>
      <c r="N27" t="s">
        <v>21</v>
      </c>
      <c r="O27">
        <v>0</v>
      </c>
      <c r="T27" s="2" t="s">
        <v>1038</v>
      </c>
    </row>
    <row r="28" spans="1:20">
      <c r="A28" t="s">
        <v>304</v>
      </c>
      <c r="B28">
        <v>22</v>
      </c>
      <c r="C28" t="s">
        <v>16</v>
      </c>
      <c r="D28">
        <v>232820</v>
      </c>
      <c r="E28" t="s">
        <v>25</v>
      </c>
      <c r="F28">
        <v>696</v>
      </c>
      <c r="G28">
        <v>89069</v>
      </c>
      <c r="H28">
        <v>12.42</v>
      </c>
      <c r="I28">
        <v>12</v>
      </c>
      <c r="J28">
        <v>8166</v>
      </c>
      <c r="K28" t="s">
        <v>26</v>
      </c>
      <c r="L28" t="s">
        <v>34</v>
      </c>
      <c r="M28" t="s">
        <v>27</v>
      </c>
      <c r="N28" t="s">
        <v>28</v>
      </c>
      <c r="O28">
        <v>0</v>
      </c>
      <c r="T28">
        <f>AVERAGEIF(C:C,"Female",F:F)</f>
        <v>596.61688311688317</v>
      </c>
    </row>
    <row r="29" spans="1:20">
      <c r="A29" t="s">
        <v>440</v>
      </c>
      <c r="B29">
        <v>22</v>
      </c>
      <c r="C29" t="s">
        <v>16</v>
      </c>
      <c r="D29">
        <v>232820</v>
      </c>
      <c r="E29" t="s">
        <v>17</v>
      </c>
      <c r="F29">
        <v>462</v>
      </c>
      <c r="G29">
        <v>91969</v>
      </c>
      <c r="H29">
        <v>16.36</v>
      </c>
      <c r="I29">
        <v>12</v>
      </c>
      <c r="J29">
        <v>8948</v>
      </c>
      <c r="K29" t="s">
        <v>18</v>
      </c>
      <c r="L29" t="s">
        <v>19</v>
      </c>
      <c r="M29" t="s">
        <v>27</v>
      </c>
      <c r="N29" t="s">
        <v>28</v>
      </c>
      <c r="O29">
        <v>0</v>
      </c>
    </row>
    <row r="30" spans="1:20">
      <c r="A30" t="s">
        <v>462</v>
      </c>
      <c r="B30">
        <v>22</v>
      </c>
      <c r="C30" t="s">
        <v>33</v>
      </c>
      <c r="D30">
        <v>235290</v>
      </c>
      <c r="E30" t="s">
        <v>17</v>
      </c>
      <c r="F30">
        <v>574</v>
      </c>
      <c r="G30">
        <v>92119</v>
      </c>
      <c r="H30">
        <v>13.87</v>
      </c>
      <c r="I30">
        <v>60</v>
      </c>
      <c r="J30">
        <v>9274</v>
      </c>
      <c r="K30" t="s">
        <v>18</v>
      </c>
      <c r="L30" t="s">
        <v>34</v>
      </c>
      <c r="M30" t="s">
        <v>27</v>
      </c>
      <c r="N30" t="s">
        <v>31</v>
      </c>
      <c r="O30">
        <v>0</v>
      </c>
      <c r="T30" s="2" t="s">
        <v>1039</v>
      </c>
    </row>
    <row r="31" spans="1:20">
      <c r="A31" t="s">
        <v>473</v>
      </c>
      <c r="B31">
        <v>22</v>
      </c>
      <c r="C31" t="s">
        <v>16</v>
      </c>
      <c r="D31">
        <v>238403</v>
      </c>
      <c r="E31" t="s">
        <v>17</v>
      </c>
      <c r="F31">
        <v>824</v>
      </c>
      <c r="G31">
        <v>93355</v>
      </c>
      <c r="H31">
        <v>10.43</v>
      </c>
      <c r="I31">
        <v>12</v>
      </c>
      <c r="J31">
        <v>9709</v>
      </c>
      <c r="K31" t="s">
        <v>23</v>
      </c>
      <c r="L31" t="s">
        <v>34</v>
      </c>
      <c r="M31" t="s">
        <v>20</v>
      </c>
      <c r="N31" t="s">
        <v>21</v>
      </c>
      <c r="O31">
        <v>1</v>
      </c>
      <c r="T31">
        <f>AVERAGEIF(E:E,"Salaried",G:G)</f>
        <v>966649.54508196726</v>
      </c>
    </row>
    <row r="32" spans="1:20">
      <c r="A32" t="s">
        <v>590</v>
      </c>
      <c r="B32">
        <v>22</v>
      </c>
      <c r="C32" t="s">
        <v>16</v>
      </c>
      <c r="D32">
        <v>239655</v>
      </c>
      <c r="E32" t="s">
        <v>25</v>
      </c>
      <c r="F32">
        <v>628</v>
      </c>
      <c r="G32">
        <v>98660</v>
      </c>
      <c r="H32">
        <v>11.29</v>
      </c>
      <c r="I32">
        <v>60</v>
      </c>
      <c r="J32">
        <v>10461</v>
      </c>
      <c r="K32" t="s">
        <v>30</v>
      </c>
      <c r="L32" t="s">
        <v>34</v>
      </c>
      <c r="M32" t="s">
        <v>20</v>
      </c>
      <c r="N32" t="s">
        <v>28</v>
      </c>
      <c r="O32">
        <v>0</v>
      </c>
    </row>
    <row r="33" spans="1:20">
      <c r="A33" t="s">
        <v>653</v>
      </c>
      <c r="B33">
        <v>22</v>
      </c>
      <c r="C33" t="s">
        <v>33</v>
      </c>
      <c r="D33">
        <v>241395</v>
      </c>
      <c r="E33" t="s">
        <v>25</v>
      </c>
      <c r="G33">
        <v>105639</v>
      </c>
      <c r="H33">
        <v>16.25</v>
      </c>
      <c r="I33">
        <v>12</v>
      </c>
      <c r="J33">
        <v>10618</v>
      </c>
      <c r="K33" t="s">
        <v>26</v>
      </c>
      <c r="L33" t="s">
        <v>34</v>
      </c>
      <c r="M33" t="s">
        <v>27</v>
      </c>
      <c r="N33" t="s">
        <v>31</v>
      </c>
      <c r="O33">
        <v>0</v>
      </c>
      <c r="T33" s="2" t="s">
        <v>1040</v>
      </c>
    </row>
    <row r="34" spans="1:20">
      <c r="A34" t="s">
        <v>677</v>
      </c>
      <c r="B34">
        <v>22</v>
      </c>
      <c r="C34" t="s">
        <v>33</v>
      </c>
      <c r="D34">
        <v>242279</v>
      </c>
      <c r="E34" t="s">
        <v>17</v>
      </c>
      <c r="F34">
        <v>477</v>
      </c>
      <c r="G34">
        <v>105904</v>
      </c>
      <c r="H34">
        <v>7.76</v>
      </c>
      <c r="I34">
        <v>12</v>
      </c>
      <c r="J34">
        <v>11400</v>
      </c>
      <c r="K34" t="s">
        <v>18</v>
      </c>
      <c r="L34" t="s">
        <v>19</v>
      </c>
      <c r="M34" t="s">
        <v>20</v>
      </c>
      <c r="N34" t="s">
        <v>31</v>
      </c>
      <c r="O34">
        <v>1</v>
      </c>
      <c r="T34">
        <f>MAX(D:D)</f>
        <v>1493082</v>
      </c>
    </row>
    <row r="35" spans="1:20">
      <c r="A35" t="s">
        <v>735</v>
      </c>
      <c r="B35">
        <v>22</v>
      </c>
      <c r="C35" t="s">
        <v>33</v>
      </c>
      <c r="D35">
        <v>243400</v>
      </c>
      <c r="E35" t="s">
        <v>25</v>
      </c>
      <c r="F35">
        <v>574</v>
      </c>
      <c r="G35">
        <v>107196</v>
      </c>
      <c r="H35">
        <v>8.42</v>
      </c>
      <c r="I35">
        <v>36</v>
      </c>
      <c r="J35">
        <v>12585</v>
      </c>
      <c r="K35" t="s">
        <v>26</v>
      </c>
      <c r="L35" t="s">
        <v>34</v>
      </c>
      <c r="M35" t="s">
        <v>27</v>
      </c>
      <c r="N35" t="s">
        <v>31</v>
      </c>
      <c r="O35">
        <v>0</v>
      </c>
      <c r="T35" s="2" t="s">
        <v>1041</v>
      </c>
    </row>
    <row r="36" spans="1:20">
      <c r="A36" t="s">
        <v>745</v>
      </c>
      <c r="B36">
        <v>22</v>
      </c>
      <c r="C36" t="s">
        <v>33</v>
      </c>
      <c r="D36">
        <v>244364</v>
      </c>
      <c r="E36" t="s">
        <v>25</v>
      </c>
      <c r="G36">
        <v>107580</v>
      </c>
      <c r="H36">
        <v>13.95</v>
      </c>
      <c r="I36">
        <v>36</v>
      </c>
      <c r="J36">
        <v>12957</v>
      </c>
      <c r="K36" t="s">
        <v>23</v>
      </c>
      <c r="L36" t="s">
        <v>34</v>
      </c>
      <c r="M36" t="s">
        <v>20</v>
      </c>
      <c r="N36" t="s">
        <v>21</v>
      </c>
      <c r="O36">
        <v>0</v>
      </c>
      <c r="T36">
        <f>MIN(D:D)</f>
        <v>205067</v>
      </c>
    </row>
    <row r="37" spans="1:20">
      <c r="A37" t="s">
        <v>769</v>
      </c>
      <c r="B37">
        <v>22</v>
      </c>
      <c r="C37" t="s">
        <v>16</v>
      </c>
      <c r="D37">
        <v>246240</v>
      </c>
      <c r="E37" t="s">
        <v>17</v>
      </c>
      <c r="F37">
        <v>849</v>
      </c>
      <c r="G37">
        <v>108074</v>
      </c>
      <c r="H37">
        <v>12.36</v>
      </c>
      <c r="I37">
        <v>48</v>
      </c>
      <c r="J37">
        <v>13628</v>
      </c>
      <c r="K37" t="s">
        <v>23</v>
      </c>
      <c r="L37" t="s">
        <v>19</v>
      </c>
      <c r="M37" t="s">
        <v>20</v>
      </c>
      <c r="N37" t="s">
        <v>28</v>
      </c>
      <c r="O37">
        <v>0</v>
      </c>
    </row>
    <row r="38" spans="1:20">
      <c r="A38" t="s">
        <v>825</v>
      </c>
      <c r="B38">
        <v>22</v>
      </c>
      <c r="C38" t="s">
        <v>33</v>
      </c>
      <c r="D38">
        <v>246818</v>
      </c>
      <c r="E38" t="s">
        <v>25</v>
      </c>
      <c r="F38">
        <v>479</v>
      </c>
      <c r="G38">
        <v>108566</v>
      </c>
      <c r="H38">
        <v>10.45</v>
      </c>
      <c r="I38">
        <v>60</v>
      </c>
      <c r="J38">
        <v>13770</v>
      </c>
      <c r="K38" t="s">
        <v>18</v>
      </c>
      <c r="L38" t="s">
        <v>19</v>
      </c>
      <c r="M38" t="s">
        <v>27</v>
      </c>
      <c r="N38" t="s">
        <v>28</v>
      </c>
      <c r="O38">
        <v>1</v>
      </c>
      <c r="T38" s="3" t="s">
        <v>1042</v>
      </c>
    </row>
    <row r="39" spans="1:20">
      <c r="A39" t="s">
        <v>834</v>
      </c>
      <c r="B39">
        <v>22</v>
      </c>
      <c r="C39" t="s">
        <v>16</v>
      </c>
      <c r="D39">
        <v>247144</v>
      </c>
      <c r="E39" t="s">
        <v>25</v>
      </c>
      <c r="F39">
        <v>649</v>
      </c>
      <c r="G39">
        <v>110020</v>
      </c>
      <c r="H39">
        <v>11.59</v>
      </c>
      <c r="I39">
        <v>36</v>
      </c>
      <c r="J39">
        <v>13850</v>
      </c>
      <c r="K39" t="s">
        <v>11</v>
      </c>
      <c r="L39" t="s">
        <v>19</v>
      </c>
      <c r="M39" t="s">
        <v>20</v>
      </c>
      <c r="N39" t="s">
        <v>31</v>
      </c>
      <c r="O39">
        <v>1</v>
      </c>
      <c r="T39">
        <f>COUNTIF(O:O,1)/COUNTA(O:O)</f>
        <v>0.24627606752730885</v>
      </c>
    </row>
    <row r="40" spans="1:20">
      <c r="A40" t="s">
        <v>915</v>
      </c>
      <c r="B40">
        <v>22</v>
      </c>
      <c r="C40" t="s">
        <v>16</v>
      </c>
      <c r="D40">
        <v>249238</v>
      </c>
      <c r="E40" t="s">
        <v>17</v>
      </c>
      <c r="F40">
        <v>795</v>
      </c>
      <c r="G40">
        <v>110188</v>
      </c>
      <c r="H40">
        <v>9.56</v>
      </c>
      <c r="I40">
        <v>60</v>
      </c>
      <c r="J40">
        <v>14224</v>
      </c>
      <c r="K40" t="s">
        <v>30</v>
      </c>
      <c r="L40" t="s">
        <v>34</v>
      </c>
      <c r="M40" t="s">
        <v>20</v>
      </c>
      <c r="N40" t="s">
        <v>21</v>
      </c>
      <c r="O40">
        <v>1</v>
      </c>
    </row>
    <row r="41" spans="1:20">
      <c r="A41" t="s">
        <v>920</v>
      </c>
      <c r="B41">
        <v>22</v>
      </c>
      <c r="C41" t="s">
        <v>33</v>
      </c>
      <c r="D41">
        <v>249907</v>
      </c>
      <c r="E41" t="s">
        <v>25</v>
      </c>
      <c r="F41">
        <v>890</v>
      </c>
      <c r="G41">
        <v>110216</v>
      </c>
      <c r="H41">
        <v>8.99</v>
      </c>
      <c r="I41">
        <v>12</v>
      </c>
      <c r="J41">
        <v>14518</v>
      </c>
      <c r="K41" t="s">
        <v>26</v>
      </c>
      <c r="L41" t="s">
        <v>19</v>
      </c>
      <c r="M41" t="s">
        <v>27</v>
      </c>
      <c r="N41" t="s">
        <v>21</v>
      </c>
      <c r="O41">
        <v>0</v>
      </c>
    </row>
    <row r="42" spans="1:20">
      <c r="A42" t="s">
        <v>938</v>
      </c>
      <c r="B42">
        <v>22</v>
      </c>
      <c r="C42" t="s">
        <v>16</v>
      </c>
      <c r="D42">
        <v>250147</v>
      </c>
      <c r="E42" t="s">
        <v>17</v>
      </c>
      <c r="F42">
        <v>660</v>
      </c>
      <c r="G42">
        <v>116166</v>
      </c>
      <c r="H42">
        <v>15.55</v>
      </c>
      <c r="I42">
        <v>60</v>
      </c>
      <c r="J42">
        <v>14592</v>
      </c>
      <c r="K42" t="s">
        <v>11</v>
      </c>
      <c r="L42" t="s">
        <v>34</v>
      </c>
      <c r="M42" t="s">
        <v>20</v>
      </c>
      <c r="N42" t="s">
        <v>28</v>
      </c>
      <c r="O42">
        <v>0</v>
      </c>
      <c r="T42" s="2" t="s">
        <v>1043</v>
      </c>
    </row>
    <row r="43" spans="1:20">
      <c r="A43" t="s">
        <v>947</v>
      </c>
      <c r="B43">
        <v>22</v>
      </c>
      <c r="C43" t="s">
        <v>33</v>
      </c>
      <c r="D43">
        <v>251232</v>
      </c>
      <c r="E43" t="s">
        <v>17</v>
      </c>
      <c r="F43">
        <v>851</v>
      </c>
      <c r="G43">
        <v>118294</v>
      </c>
      <c r="H43">
        <v>15.4</v>
      </c>
      <c r="I43">
        <v>48</v>
      </c>
      <c r="J43">
        <v>15475</v>
      </c>
      <c r="K43" t="s">
        <v>11</v>
      </c>
      <c r="L43" t="s">
        <v>19</v>
      </c>
      <c r="M43" t="s">
        <v>27</v>
      </c>
      <c r="N43" t="s">
        <v>21</v>
      </c>
      <c r="O43">
        <v>0</v>
      </c>
      <c r="T43">
        <f>AVERAGE(G:G)</f>
        <v>985640.4204771372</v>
      </c>
    </row>
    <row r="44" spans="1:20">
      <c r="A44" t="s">
        <v>953</v>
      </c>
      <c r="B44">
        <v>22</v>
      </c>
      <c r="C44" t="s">
        <v>33</v>
      </c>
      <c r="D44">
        <v>252709</v>
      </c>
      <c r="E44" t="s">
        <v>25</v>
      </c>
      <c r="F44">
        <v>627</v>
      </c>
      <c r="G44">
        <v>121119</v>
      </c>
      <c r="H44">
        <v>10.050000000000001</v>
      </c>
      <c r="I44">
        <v>12</v>
      </c>
      <c r="J44">
        <v>15548</v>
      </c>
      <c r="K44" t="s">
        <v>23</v>
      </c>
      <c r="L44" t="s">
        <v>34</v>
      </c>
      <c r="M44" t="s">
        <v>27</v>
      </c>
      <c r="N44" t="s">
        <v>31</v>
      </c>
      <c r="O44">
        <v>0</v>
      </c>
      <c r="T44" s="2" t="s">
        <v>1044</v>
      </c>
    </row>
    <row r="45" spans="1:20">
      <c r="A45" t="s">
        <v>1010</v>
      </c>
      <c r="B45">
        <v>22</v>
      </c>
      <c r="C45" t="s">
        <v>16</v>
      </c>
      <c r="D45">
        <v>254217</v>
      </c>
      <c r="E45" t="s">
        <v>17</v>
      </c>
      <c r="F45">
        <v>605</v>
      </c>
      <c r="G45">
        <v>123913</v>
      </c>
      <c r="H45">
        <v>10.029999999999999</v>
      </c>
      <c r="I45">
        <v>24</v>
      </c>
      <c r="J45">
        <v>15816</v>
      </c>
      <c r="K45" t="s">
        <v>26</v>
      </c>
      <c r="L45" t="s">
        <v>19</v>
      </c>
      <c r="M45" t="s">
        <v>27</v>
      </c>
      <c r="N45" t="s">
        <v>31</v>
      </c>
      <c r="O45">
        <v>1</v>
      </c>
      <c r="T45">
        <f>AVERAGE(F:F)</f>
        <v>601.65306122448976</v>
      </c>
    </row>
    <row r="46" spans="1:20">
      <c r="A46" t="s">
        <v>38</v>
      </c>
      <c r="B46">
        <v>22</v>
      </c>
      <c r="C46" t="s">
        <v>1026</v>
      </c>
      <c r="D46">
        <v>256484</v>
      </c>
      <c r="E46" t="s">
        <v>17</v>
      </c>
      <c r="F46">
        <v>626</v>
      </c>
      <c r="G46">
        <v>127356</v>
      </c>
      <c r="H46">
        <v>10.66</v>
      </c>
      <c r="I46">
        <v>36</v>
      </c>
      <c r="J46">
        <v>16382</v>
      </c>
      <c r="K46" t="s">
        <v>23</v>
      </c>
      <c r="L46" t="s">
        <v>19</v>
      </c>
      <c r="M46" t="s">
        <v>20</v>
      </c>
      <c r="N46" t="s">
        <v>31</v>
      </c>
      <c r="O46">
        <v>1</v>
      </c>
    </row>
    <row r="47" spans="1:20">
      <c r="A47" t="s">
        <v>22</v>
      </c>
      <c r="B47">
        <v>23</v>
      </c>
      <c r="C47" t="s">
        <v>16</v>
      </c>
      <c r="D47">
        <v>259141</v>
      </c>
      <c r="E47" t="s">
        <v>17</v>
      </c>
      <c r="F47">
        <v>540</v>
      </c>
      <c r="G47">
        <v>128979</v>
      </c>
      <c r="H47">
        <v>13.62</v>
      </c>
      <c r="I47">
        <v>24</v>
      </c>
      <c r="J47">
        <v>17207</v>
      </c>
      <c r="K47" t="s">
        <v>23</v>
      </c>
      <c r="L47" t="s">
        <v>19</v>
      </c>
      <c r="M47" t="s">
        <v>20</v>
      </c>
      <c r="N47" t="s">
        <v>21</v>
      </c>
      <c r="O47">
        <v>1</v>
      </c>
    </row>
    <row r="48" spans="1:20">
      <c r="A48" t="s">
        <v>39</v>
      </c>
      <c r="B48">
        <v>23</v>
      </c>
      <c r="C48" t="s">
        <v>16</v>
      </c>
      <c r="D48">
        <v>259366</v>
      </c>
      <c r="E48" t="s">
        <v>25</v>
      </c>
      <c r="G48">
        <v>129114</v>
      </c>
      <c r="H48">
        <v>10.4</v>
      </c>
      <c r="I48">
        <v>60</v>
      </c>
      <c r="J48">
        <v>17760</v>
      </c>
      <c r="K48" t="s">
        <v>11</v>
      </c>
      <c r="L48" t="s">
        <v>19</v>
      </c>
      <c r="M48" t="s">
        <v>20</v>
      </c>
      <c r="N48" t="s">
        <v>31</v>
      </c>
      <c r="O48">
        <v>1</v>
      </c>
    </row>
    <row r="49" spans="1:21">
      <c r="A49" t="s">
        <v>40</v>
      </c>
      <c r="B49">
        <v>23</v>
      </c>
      <c r="C49" t="s">
        <v>33</v>
      </c>
      <c r="D49">
        <v>260393</v>
      </c>
      <c r="E49" t="s">
        <v>17</v>
      </c>
      <c r="F49">
        <v>564</v>
      </c>
      <c r="G49">
        <v>129294</v>
      </c>
      <c r="H49">
        <v>15.88</v>
      </c>
      <c r="I49">
        <v>24</v>
      </c>
      <c r="J49">
        <v>19452</v>
      </c>
      <c r="K49" t="s">
        <v>23</v>
      </c>
      <c r="L49" t="s">
        <v>19</v>
      </c>
      <c r="M49" t="s">
        <v>20</v>
      </c>
      <c r="N49" t="s">
        <v>31</v>
      </c>
      <c r="O49">
        <v>0</v>
      </c>
    </row>
    <row r="50" spans="1:21">
      <c r="A50" t="s">
        <v>54</v>
      </c>
      <c r="B50">
        <v>23</v>
      </c>
      <c r="C50" t="s">
        <v>16</v>
      </c>
      <c r="D50">
        <v>261270</v>
      </c>
      <c r="E50" t="s">
        <v>17</v>
      </c>
      <c r="F50">
        <v>777</v>
      </c>
      <c r="G50">
        <v>131757</v>
      </c>
      <c r="H50">
        <v>16.34</v>
      </c>
      <c r="I50">
        <v>48</v>
      </c>
      <c r="J50">
        <v>19824</v>
      </c>
      <c r="K50" t="s">
        <v>18</v>
      </c>
      <c r="L50" t="s">
        <v>19</v>
      </c>
      <c r="M50" t="s">
        <v>27</v>
      </c>
      <c r="N50" t="s">
        <v>28</v>
      </c>
      <c r="O50">
        <v>0</v>
      </c>
    </row>
    <row r="51" spans="1:21">
      <c r="A51" t="s">
        <v>57</v>
      </c>
      <c r="B51">
        <v>23</v>
      </c>
      <c r="C51" t="s">
        <v>33</v>
      </c>
      <c r="D51">
        <v>261650</v>
      </c>
      <c r="E51" t="s">
        <v>17</v>
      </c>
      <c r="F51">
        <v>803</v>
      </c>
      <c r="G51">
        <v>131888</v>
      </c>
      <c r="H51">
        <v>12.82</v>
      </c>
      <c r="I51">
        <v>48</v>
      </c>
      <c r="J51">
        <v>20295</v>
      </c>
      <c r="K51" t="s">
        <v>30</v>
      </c>
      <c r="L51" t="s">
        <v>34</v>
      </c>
      <c r="M51" t="s">
        <v>27</v>
      </c>
      <c r="N51" t="s">
        <v>31</v>
      </c>
      <c r="O51">
        <v>1</v>
      </c>
      <c r="T51" s="4" t="s">
        <v>1053</v>
      </c>
      <c r="U51" s="4" t="s">
        <v>1054</v>
      </c>
    </row>
    <row r="52" spans="1:21">
      <c r="A52" t="s">
        <v>127</v>
      </c>
      <c r="B52">
        <v>23</v>
      </c>
      <c r="C52" t="s">
        <v>33</v>
      </c>
      <c r="D52">
        <v>264635</v>
      </c>
      <c r="E52" t="s">
        <v>17</v>
      </c>
      <c r="F52">
        <v>580</v>
      </c>
      <c r="G52">
        <v>138239</v>
      </c>
      <c r="H52">
        <v>10.65</v>
      </c>
      <c r="I52">
        <v>48</v>
      </c>
      <c r="J52">
        <v>20772</v>
      </c>
      <c r="K52" t="s">
        <v>26</v>
      </c>
      <c r="L52" t="s">
        <v>34</v>
      </c>
      <c r="M52" t="s">
        <v>20</v>
      </c>
      <c r="N52" t="s">
        <v>28</v>
      </c>
      <c r="O52">
        <v>0</v>
      </c>
      <c r="T52" s="5" t="s">
        <v>1055</v>
      </c>
      <c r="U52" s="8">
        <f>COUNTA(A1:A997)</f>
        <v>997</v>
      </c>
    </row>
    <row r="53" spans="1:21">
      <c r="A53" t="s">
        <v>136</v>
      </c>
      <c r="B53">
        <v>23</v>
      </c>
      <c r="C53" t="s">
        <v>33</v>
      </c>
      <c r="D53">
        <v>265324</v>
      </c>
      <c r="E53" t="s">
        <v>17</v>
      </c>
      <c r="F53">
        <v>305</v>
      </c>
      <c r="G53">
        <v>139405</v>
      </c>
      <c r="H53">
        <v>12.44</v>
      </c>
      <c r="I53">
        <v>48</v>
      </c>
      <c r="J53">
        <v>20846</v>
      </c>
      <c r="K53" t="s">
        <v>18</v>
      </c>
      <c r="L53" t="s">
        <v>19</v>
      </c>
      <c r="M53" t="s">
        <v>27</v>
      </c>
      <c r="N53" t="s">
        <v>28</v>
      </c>
      <c r="O53">
        <v>0</v>
      </c>
      <c r="T53" s="5" t="s">
        <v>1056</v>
      </c>
      <c r="U53" s="8">
        <f>SUM(G:G)</f>
        <v>991554263</v>
      </c>
    </row>
    <row r="54" spans="1:21">
      <c r="A54" t="s">
        <v>266</v>
      </c>
      <c r="B54">
        <v>23</v>
      </c>
      <c r="C54" t="s">
        <v>33</v>
      </c>
      <c r="D54">
        <v>266645</v>
      </c>
      <c r="E54" t="s">
        <v>17</v>
      </c>
      <c r="F54">
        <v>603</v>
      </c>
      <c r="G54">
        <v>141348</v>
      </c>
      <c r="H54">
        <v>16.3</v>
      </c>
      <c r="I54">
        <v>12</v>
      </c>
      <c r="J54">
        <v>20872</v>
      </c>
      <c r="K54" t="s">
        <v>23</v>
      </c>
      <c r="L54" t="s">
        <v>19</v>
      </c>
      <c r="M54" t="s">
        <v>27</v>
      </c>
      <c r="N54" t="s">
        <v>28</v>
      </c>
      <c r="O54">
        <v>0</v>
      </c>
      <c r="T54" s="5" t="s">
        <v>1057</v>
      </c>
      <c r="U54" s="8">
        <f>AVERAGE(D:D)</f>
        <v>875823.39363817102</v>
      </c>
    </row>
    <row r="55" spans="1:21">
      <c r="A55" t="s">
        <v>353</v>
      </c>
      <c r="B55">
        <v>23</v>
      </c>
      <c r="C55" t="s">
        <v>16</v>
      </c>
      <c r="D55">
        <v>267622</v>
      </c>
      <c r="E55" t="s">
        <v>25</v>
      </c>
      <c r="F55">
        <v>743</v>
      </c>
      <c r="G55">
        <v>146034</v>
      </c>
      <c r="H55">
        <v>8.73</v>
      </c>
      <c r="I55">
        <v>36</v>
      </c>
      <c r="J55">
        <v>21800</v>
      </c>
      <c r="K55" t="s">
        <v>23</v>
      </c>
      <c r="L55" t="s">
        <v>19</v>
      </c>
      <c r="M55" t="s">
        <v>20</v>
      </c>
      <c r="N55" t="s">
        <v>28</v>
      </c>
      <c r="O55">
        <v>0</v>
      </c>
      <c r="T55" s="5" t="s">
        <v>1058</v>
      </c>
      <c r="U55" s="8">
        <f>AVERAGE(F:F)</f>
        <v>601.65306122448976</v>
      </c>
    </row>
    <row r="56" spans="1:21">
      <c r="A56" t="s">
        <v>467</v>
      </c>
      <c r="B56">
        <v>23</v>
      </c>
      <c r="C56" t="s">
        <v>16</v>
      </c>
      <c r="D56">
        <v>275907</v>
      </c>
      <c r="E56" t="s">
        <v>25</v>
      </c>
      <c r="F56">
        <v>818</v>
      </c>
      <c r="G56">
        <v>146189</v>
      </c>
      <c r="H56">
        <v>14.92</v>
      </c>
      <c r="I56">
        <v>36</v>
      </c>
      <c r="J56">
        <v>22018</v>
      </c>
      <c r="K56" t="s">
        <v>30</v>
      </c>
      <c r="L56" t="s">
        <v>19</v>
      </c>
      <c r="M56" t="s">
        <v>27</v>
      </c>
      <c r="N56" t="s">
        <v>28</v>
      </c>
      <c r="O56">
        <v>0</v>
      </c>
      <c r="T56" s="5" t="s">
        <v>1059</v>
      </c>
      <c r="U56" s="8">
        <f>COUNTIF(O:O,1)</f>
        <v>248</v>
      </c>
    </row>
    <row r="57" spans="1:21">
      <c r="A57" t="s">
        <v>472</v>
      </c>
      <c r="B57">
        <v>23</v>
      </c>
      <c r="C57" t="s">
        <v>16</v>
      </c>
      <c r="D57">
        <v>278859</v>
      </c>
      <c r="E57" t="s">
        <v>17</v>
      </c>
      <c r="G57">
        <v>146497</v>
      </c>
      <c r="H57">
        <v>12.83</v>
      </c>
      <c r="I57">
        <v>12</v>
      </c>
      <c r="J57">
        <v>22356</v>
      </c>
      <c r="K57" t="s">
        <v>26</v>
      </c>
      <c r="L57" t="s">
        <v>34</v>
      </c>
      <c r="M57" t="s">
        <v>27</v>
      </c>
      <c r="N57" t="s">
        <v>31</v>
      </c>
      <c r="O57">
        <v>0</v>
      </c>
      <c r="T57" s="5" t="s">
        <v>1060</v>
      </c>
      <c r="U57" s="8">
        <f>COUNTIF(O:O,1)/COUNTA(O:O)</f>
        <v>0.24627606752730885</v>
      </c>
    </row>
    <row r="58" spans="1:21">
      <c r="A58" t="s">
        <v>492</v>
      </c>
      <c r="B58">
        <v>23</v>
      </c>
      <c r="C58" t="s">
        <v>33</v>
      </c>
      <c r="D58">
        <v>281943</v>
      </c>
      <c r="E58" t="s">
        <v>17</v>
      </c>
      <c r="F58">
        <v>424</v>
      </c>
      <c r="G58">
        <v>148193</v>
      </c>
      <c r="H58">
        <v>8.1999999999999993</v>
      </c>
      <c r="I58">
        <v>36</v>
      </c>
      <c r="J58">
        <v>22660</v>
      </c>
      <c r="K58" t="s">
        <v>18</v>
      </c>
      <c r="L58" t="s">
        <v>34</v>
      </c>
      <c r="M58" t="s">
        <v>20</v>
      </c>
      <c r="N58" t="s">
        <v>31</v>
      </c>
      <c r="O58">
        <v>1</v>
      </c>
    </row>
    <row r="59" spans="1:21">
      <c r="A59" t="s">
        <v>516</v>
      </c>
      <c r="B59">
        <v>23</v>
      </c>
      <c r="C59" t="s">
        <v>33</v>
      </c>
      <c r="D59">
        <v>282123</v>
      </c>
      <c r="E59" t="s">
        <v>25</v>
      </c>
      <c r="F59">
        <v>450</v>
      </c>
      <c r="G59">
        <v>155459</v>
      </c>
      <c r="H59">
        <v>14.22</v>
      </c>
      <c r="I59">
        <v>36</v>
      </c>
      <c r="J59">
        <v>23871</v>
      </c>
      <c r="K59" t="s">
        <v>26</v>
      </c>
      <c r="L59" t="s">
        <v>19</v>
      </c>
      <c r="M59" t="s">
        <v>27</v>
      </c>
      <c r="N59" t="s">
        <v>28</v>
      </c>
      <c r="O59">
        <v>0</v>
      </c>
    </row>
    <row r="60" spans="1:21">
      <c r="A60" t="s">
        <v>557</v>
      </c>
      <c r="B60">
        <v>23</v>
      </c>
      <c r="C60" t="s">
        <v>16</v>
      </c>
      <c r="D60">
        <v>283529</v>
      </c>
      <c r="E60" t="s">
        <v>17</v>
      </c>
      <c r="F60">
        <v>577</v>
      </c>
      <c r="G60">
        <v>155811</v>
      </c>
      <c r="H60">
        <v>9.0500000000000007</v>
      </c>
      <c r="I60">
        <v>24</v>
      </c>
      <c r="J60">
        <v>24159</v>
      </c>
      <c r="K60" t="s">
        <v>26</v>
      </c>
      <c r="L60" t="s">
        <v>19</v>
      </c>
      <c r="M60" t="s">
        <v>20</v>
      </c>
      <c r="N60" t="s">
        <v>28</v>
      </c>
      <c r="O60">
        <v>1</v>
      </c>
    </row>
    <row r="61" spans="1:21">
      <c r="A61" t="s">
        <v>591</v>
      </c>
      <c r="B61">
        <v>23</v>
      </c>
      <c r="C61" t="s">
        <v>16</v>
      </c>
      <c r="D61">
        <v>285833</v>
      </c>
      <c r="E61" t="s">
        <v>17</v>
      </c>
      <c r="F61">
        <v>612</v>
      </c>
      <c r="G61">
        <v>156997</v>
      </c>
      <c r="H61">
        <v>13.06</v>
      </c>
      <c r="I61">
        <v>48</v>
      </c>
      <c r="J61">
        <v>24448</v>
      </c>
      <c r="K61" t="s">
        <v>23</v>
      </c>
      <c r="L61" t="s">
        <v>19</v>
      </c>
      <c r="M61" t="s">
        <v>27</v>
      </c>
      <c r="N61" t="s">
        <v>31</v>
      </c>
      <c r="O61">
        <v>0</v>
      </c>
    </row>
    <row r="62" spans="1:21">
      <c r="A62" t="s">
        <v>710</v>
      </c>
      <c r="B62">
        <v>23</v>
      </c>
      <c r="C62" t="s">
        <v>33</v>
      </c>
      <c r="D62">
        <v>287184</v>
      </c>
      <c r="E62" t="s">
        <v>17</v>
      </c>
      <c r="F62">
        <v>468</v>
      </c>
      <c r="G62">
        <v>157345</v>
      </c>
      <c r="H62">
        <v>10.119999999999999</v>
      </c>
      <c r="I62">
        <v>60</v>
      </c>
      <c r="J62">
        <v>24480</v>
      </c>
      <c r="K62" t="s">
        <v>30</v>
      </c>
      <c r="L62" t="s">
        <v>34</v>
      </c>
      <c r="M62" t="s">
        <v>27</v>
      </c>
      <c r="N62" t="s">
        <v>21</v>
      </c>
      <c r="O62">
        <v>0</v>
      </c>
    </row>
    <row r="63" spans="1:21">
      <c r="A63" t="s">
        <v>713</v>
      </c>
      <c r="B63">
        <v>23</v>
      </c>
      <c r="C63" t="s">
        <v>16</v>
      </c>
      <c r="D63">
        <v>288858</v>
      </c>
      <c r="E63" t="s">
        <v>25</v>
      </c>
      <c r="F63">
        <v>826</v>
      </c>
      <c r="G63">
        <v>164613</v>
      </c>
      <c r="H63">
        <v>7.84</v>
      </c>
      <c r="I63">
        <v>60</v>
      </c>
      <c r="J63">
        <v>24830</v>
      </c>
      <c r="K63" t="s">
        <v>11</v>
      </c>
      <c r="L63" t="s">
        <v>19</v>
      </c>
      <c r="M63" t="s">
        <v>20</v>
      </c>
      <c r="N63" t="s">
        <v>28</v>
      </c>
      <c r="O63">
        <v>0</v>
      </c>
    </row>
    <row r="64" spans="1:21">
      <c r="A64" t="s">
        <v>780</v>
      </c>
      <c r="B64">
        <v>23</v>
      </c>
      <c r="C64" t="s">
        <v>33</v>
      </c>
      <c r="D64">
        <v>288908</v>
      </c>
      <c r="E64" t="s">
        <v>17</v>
      </c>
      <c r="F64">
        <v>410</v>
      </c>
      <c r="G64">
        <v>166971</v>
      </c>
      <c r="H64">
        <v>12.48</v>
      </c>
      <c r="I64">
        <v>12</v>
      </c>
      <c r="J64">
        <v>25367</v>
      </c>
      <c r="K64" t="s">
        <v>26</v>
      </c>
      <c r="L64" t="s">
        <v>19</v>
      </c>
      <c r="M64" t="s">
        <v>20</v>
      </c>
      <c r="N64" t="s">
        <v>31</v>
      </c>
      <c r="O64">
        <v>1</v>
      </c>
    </row>
    <row r="65" spans="1:15">
      <c r="A65" t="s">
        <v>791</v>
      </c>
      <c r="B65">
        <v>23</v>
      </c>
      <c r="C65" t="s">
        <v>33</v>
      </c>
      <c r="D65">
        <v>288967</v>
      </c>
      <c r="E65" t="s">
        <v>25</v>
      </c>
      <c r="F65">
        <v>759</v>
      </c>
      <c r="G65">
        <v>168387</v>
      </c>
      <c r="H65">
        <v>13.14</v>
      </c>
      <c r="I65">
        <v>48</v>
      </c>
      <c r="J65">
        <v>26995</v>
      </c>
      <c r="K65" t="s">
        <v>30</v>
      </c>
      <c r="L65" t="s">
        <v>19</v>
      </c>
      <c r="M65" t="s">
        <v>27</v>
      </c>
      <c r="N65" t="s">
        <v>31</v>
      </c>
      <c r="O65">
        <v>0</v>
      </c>
    </row>
    <row r="66" spans="1:15">
      <c r="A66" t="s">
        <v>800</v>
      </c>
      <c r="B66">
        <v>23</v>
      </c>
      <c r="C66" t="s">
        <v>16</v>
      </c>
      <c r="D66">
        <v>289591</v>
      </c>
      <c r="E66" t="s">
        <v>17</v>
      </c>
      <c r="F66">
        <v>460</v>
      </c>
      <c r="G66">
        <v>170702</v>
      </c>
      <c r="H66">
        <v>9.0299999999999994</v>
      </c>
      <c r="I66">
        <v>36</v>
      </c>
      <c r="J66">
        <v>27737</v>
      </c>
      <c r="K66" t="s">
        <v>26</v>
      </c>
      <c r="L66" t="s">
        <v>34</v>
      </c>
      <c r="M66" t="s">
        <v>20</v>
      </c>
      <c r="N66" t="s">
        <v>28</v>
      </c>
      <c r="O66">
        <v>0</v>
      </c>
    </row>
    <row r="67" spans="1:15">
      <c r="A67" t="s">
        <v>839</v>
      </c>
      <c r="B67">
        <v>23</v>
      </c>
      <c r="C67" t="s">
        <v>33</v>
      </c>
      <c r="D67">
        <v>291105</v>
      </c>
      <c r="E67" t="s">
        <v>25</v>
      </c>
      <c r="F67">
        <v>671</v>
      </c>
      <c r="G67">
        <v>171230</v>
      </c>
      <c r="H67">
        <v>13.79</v>
      </c>
      <c r="I67">
        <v>24</v>
      </c>
      <c r="J67">
        <v>28196</v>
      </c>
      <c r="K67" t="s">
        <v>23</v>
      </c>
      <c r="L67" t="s">
        <v>19</v>
      </c>
      <c r="M67" t="s">
        <v>27</v>
      </c>
      <c r="N67" t="s">
        <v>21</v>
      </c>
      <c r="O67">
        <v>1</v>
      </c>
    </row>
    <row r="68" spans="1:15">
      <c r="A68" t="s">
        <v>843</v>
      </c>
      <c r="B68">
        <v>23</v>
      </c>
      <c r="C68" t="s">
        <v>33</v>
      </c>
      <c r="D68">
        <v>293910</v>
      </c>
      <c r="E68" t="s">
        <v>25</v>
      </c>
      <c r="F68">
        <v>703</v>
      </c>
      <c r="G68">
        <v>171923</v>
      </c>
      <c r="H68">
        <v>15.98</v>
      </c>
      <c r="I68">
        <v>48</v>
      </c>
      <c r="J68">
        <v>28461</v>
      </c>
      <c r="K68" t="s">
        <v>23</v>
      </c>
      <c r="L68" t="s">
        <v>19</v>
      </c>
      <c r="M68" t="s">
        <v>20</v>
      </c>
      <c r="N68" t="s">
        <v>28</v>
      </c>
      <c r="O68">
        <v>0</v>
      </c>
    </row>
    <row r="69" spans="1:15">
      <c r="A69" t="s">
        <v>857</v>
      </c>
      <c r="B69">
        <v>23</v>
      </c>
      <c r="C69" t="s">
        <v>16</v>
      </c>
      <c r="D69">
        <v>294824</v>
      </c>
      <c r="E69" t="s">
        <v>25</v>
      </c>
      <c r="F69">
        <v>746</v>
      </c>
      <c r="G69">
        <v>174162</v>
      </c>
      <c r="H69">
        <v>12.3</v>
      </c>
      <c r="I69">
        <v>24</v>
      </c>
      <c r="J69">
        <v>28601</v>
      </c>
      <c r="K69" t="s">
        <v>26</v>
      </c>
      <c r="L69" t="s">
        <v>34</v>
      </c>
      <c r="M69" t="s">
        <v>27</v>
      </c>
      <c r="N69" t="s">
        <v>28</v>
      </c>
      <c r="O69">
        <v>0</v>
      </c>
    </row>
    <row r="70" spans="1:15">
      <c r="A70" t="s">
        <v>875</v>
      </c>
      <c r="B70">
        <v>23</v>
      </c>
      <c r="C70" t="s">
        <v>33</v>
      </c>
      <c r="D70">
        <v>295783</v>
      </c>
      <c r="E70" t="s">
        <v>17</v>
      </c>
      <c r="F70">
        <v>492</v>
      </c>
      <c r="G70">
        <v>174204</v>
      </c>
      <c r="H70">
        <v>8.73</v>
      </c>
      <c r="I70">
        <v>48</v>
      </c>
      <c r="J70">
        <v>29025</v>
      </c>
      <c r="K70" t="s">
        <v>11</v>
      </c>
      <c r="L70" t="s">
        <v>34</v>
      </c>
      <c r="M70" t="s">
        <v>20</v>
      </c>
      <c r="N70" t="s">
        <v>21</v>
      </c>
      <c r="O70">
        <v>0</v>
      </c>
    </row>
    <row r="71" spans="1:15">
      <c r="A71" t="s">
        <v>935</v>
      </c>
      <c r="B71">
        <v>23</v>
      </c>
      <c r="C71" t="s">
        <v>33</v>
      </c>
      <c r="D71">
        <v>298971</v>
      </c>
      <c r="E71" t="s">
        <v>17</v>
      </c>
      <c r="F71">
        <v>381</v>
      </c>
      <c r="G71">
        <v>176936</v>
      </c>
      <c r="H71">
        <v>12.29</v>
      </c>
      <c r="I71">
        <v>60</v>
      </c>
      <c r="J71">
        <v>29328</v>
      </c>
      <c r="K71" t="s">
        <v>18</v>
      </c>
      <c r="L71" t="s">
        <v>34</v>
      </c>
      <c r="M71" t="s">
        <v>20</v>
      </c>
      <c r="N71" t="s">
        <v>28</v>
      </c>
      <c r="O71">
        <v>1</v>
      </c>
    </row>
    <row r="72" spans="1:15">
      <c r="A72" t="s">
        <v>988</v>
      </c>
      <c r="B72">
        <v>23</v>
      </c>
      <c r="C72" t="s">
        <v>16</v>
      </c>
      <c r="D72">
        <v>300306</v>
      </c>
      <c r="E72" t="s">
        <v>17</v>
      </c>
      <c r="F72">
        <v>392</v>
      </c>
      <c r="G72">
        <v>177888</v>
      </c>
      <c r="H72">
        <v>14.11</v>
      </c>
      <c r="I72">
        <v>60</v>
      </c>
      <c r="J72">
        <v>29668</v>
      </c>
      <c r="K72" t="s">
        <v>30</v>
      </c>
      <c r="L72" t="s">
        <v>34</v>
      </c>
      <c r="M72" t="s">
        <v>27</v>
      </c>
      <c r="N72" t="s">
        <v>28</v>
      </c>
      <c r="O72">
        <v>0</v>
      </c>
    </row>
    <row r="73" spans="1:15">
      <c r="A73" t="s">
        <v>990</v>
      </c>
      <c r="B73">
        <v>23</v>
      </c>
      <c r="C73" t="s">
        <v>33</v>
      </c>
      <c r="D73">
        <v>300872</v>
      </c>
      <c r="E73" t="s">
        <v>25</v>
      </c>
      <c r="F73">
        <v>674</v>
      </c>
      <c r="G73">
        <v>178836</v>
      </c>
      <c r="H73">
        <v>14.56</v>
      </c>
      <c r="I73">
        <v>60</v>
      </c>
      <c r="J73">
        <v>29807</v>
      </c>
      <c r="K73" t="s">
        <v>18</v>
      </c>
      <c r="L73" t="s">
        <v>34</v>
      </c>
      <c r="M73" t="s">
        <v>20</v>
      </c>
      <c r="N73" t="s">
        <v>28</v>
      </c>
      <c r="O73">
        <v>1</v>
      </c>
    </row>
    <row r="74" spans="1:15">
      <c r="A74" t="s">
        <v>1013</v>
      </c>
      <c r="B74">
        <v>23</v>
      </c>
      <c r="C74" t="s">
        <v>16</v>
      </c>
      <c r="D74">
        <v>300872</v>
      </c>
      <c r="E74" t="s">
        <v>17</v>
      </c>
      <c r="F74">
        <v>884</v>
      </c>
      <c r="G74">
        <v>184074</v>
      </c>
      <c r="H74">
        <v>15.04</v>
      </c>
      <c r="I74">
        <v>24</v>
      </c>
      <c r="J74">
        <v>33200</v>
      </c>
      <c r="K74" t="s">
        <v>30</v>
      </c>
      <c r="L74" t="s">
        <v>34</v>
      </c>
      <c r="M74" t="s">
        <v>20</v>
      </c>
      <c r="N74" t="s">
        <v>31</v>
      </c>
      <c r="O74">
        <v>0</v>
      </c>
    </row>
    <row r="75" spans="1:15">
      <c r="A75" t="s">
        <v>1020</v>
      </c>
      <c r="B75">
        <v>23</v>
      </c>
      <c r="C75" t="s">
        <v>33</v>
      </c>
      <c r="D75">
        <v>302325</v>
      </c>
      <c r="E75" t="s">
        <v>17</v>
      </c>
      <c r="F75">
        <v>616</v>
      </c>
      <c r="G75">
        <v>186515</v>
      </c>
      <c r="H75">
        <v>10.95</v>
      </c>
      <c r="I75">
        <v>12</v>
      </c>
      <c r="J75">
        <v>33506</v>
      </c>
      <c r="K75" t="s">
        <v>26</v>
      </c>
      <c r="L75" t="s">
        <v>34</v>
      </c>
      <c r="M75" t="s">
        <v>27</v>
      </c>
      <c r="N75" t="s">
        <v>21</v>
      </c>
      <c r="O75">
        <v>0</v>
      </c>
    </row>
    <row r="76" spans="1:15">
      <c r="A76" t="s">
        <v>22</v>
      </c>
      <c r="B76">
        <v>23</v>
      </c>
      <c r="C76" t="s">
        <v>16</v>
      </c>
      <c r="D76">
        <v>304311</v>
      </c>
      <c r="E76" t="s">
        <v>17</v>
      </c>
      <c r="F76">
        <v>540</v>
      </c>
      <c r="G76">
        <v>188226</v>
      </c>
      <c r="H76">
        <v>13.62</v>
      </c>
      <c r="I76">
        <v>24</v>
      </c>
      <c r="J76">
        <v>34657</v>
      </c>
      <c r="K76" t="s">
        <v>23</v>
      </c>
      <c r="L76" t="s">
        <v>19</v>
      </c>
      <c r="M76" t="s">
        <v>20</v>
      </c>
      <c r="N76" t="s">
        <v>21</v>
      </c>
      <c r="O76">
        <v>1</v>
      </c>
    </row>
    <row r="77" spans="1:15">
      <c r="A77" t="s">
        <v>39</v>
      </c>
      <c r="B77">
        <v>23</v>
      </c>
      <c r="C77" t="s">
        <v>16</v>
      </c>
      <c r="D77">
        <v>304388</v>
      </c>
      <c r="E77" t="s">
        <v>25</v>
      </c>
      <c r="G77">
        <v>190289</v>
      </c>
      <c r="H77">
        <v>10.4</v>
      </c>
      <c r="I77">
        <v>60</v>
      </c>
      <c r="J77">
        <v>35113</v>
      </c>
      <c r="K77" t="s">
        <v>11</v>
      </c>
      <c r="L77" t="s">
        <v>19</v>
      </c>
      <c r="M77" t="s">
        <v>20</v>
      </c>
      <c r="N77" t="s">
        <v>31</v>
      </c>
      <c r="O77">
        <v>1</v>
      </c>
    </row>
    <row r="78" spans="1:15">
      <c r="A78" t="s">
        <v>36</v>
      </c>
      <c r="B78">
        <v>24</v>
      </c>
      <c r="C78" t="s">
        <v>33</v>
      </c>
      <c r="D78">
        <v>304500</v>
      </c>
      <c r="E78" t="s">
        <v>25</v>
      </c>
      <c r="F78">
        <v>613</v>
      </c>
      <c r="G78">
        <v>190773</v>
      </c>
      <c r="H78">
        <v>12.89</v>
      </c>
      <c r="I78">
        <v>12</v>
      </c>
      <c r="J78">
        <v>35453</v>
      </c>
      <c r="K78" t="s">
        <v>18</v>
      </c>
      <c r="L78" t="s">
        <v>19</v>
      </c>
      <c r="M78" t="s">
        <v>20</v>
      </c>
      <c r="N78" t="s">
        <v>28</v>
      </c>
      <c r="O78">
        <v>0</v>
      </c>
    </row>
    <row r="79" spans="1:15">
      <c r="A79" t="s">
        <v>41</v>
      </c>
      <c r="B79">
        <v>24</v>
      </c>
      <c r="C79" t="s">
        <v>16</v>
      </c>
      <c r="D79">
        <v>304757</v>
      </c>
      <c r="E79" t="s">
        <v>25</v>
      </c>
      <c r="F79">
        <v>643</v>
      </c>
      <c r="G79">
        <v>191571</v>
      </c>
      <c r="H79">
        <v>11.93</v>
      </c>
      <c r="I79">
        <v>12</v>
      </c>
      <c r="J79">
        <v>37718</v>
      </c>
      <c r="K79" t="s">
        <v>26</v>
      </c>
      <c r="L79" t="s">
        <v>34</v>
      </c>
      <c r="M79" t="s">
        <v>27</v>
      </c>
      <c r="N79" t="s">
        <v>21</v>
      </c>
      <c r="O79">
        <v>0</v>
      </c>
    </row>
    <row r="80" spans="1:15">
      <c r="A80" t="s">
        <v>191</v>
      </c>
      <c r="B80">
        <v>24</v>
      </c>
      <c r="C80" t="s">
        <v>33</v>
      </c>
      <c r="D80">
        <v>306065</v>
      </c>
      <c r="E80" t="s">
        <v>25</v>
      </c>
      <c r="F80">
        <v>600</v>
      </c>
      <c r="G80">
        <v>199466</v>
      </c>
      <c r="H80">
        <v>7.98</v>
      </c>
      <c r="I80">
        <v>48</v>
      </c>
      <c r="J80">
        <v>37976</v>
      </c>
      <c r="K80" t="s">
        <v>26</v>
      </c>
      <c r="L80" t="s">
        <v>19</v>
      </c>
      <c r="M80" t="s">
        <v>20</v>
      </c>
      <c r="N80" t="s">
        <v>21</v>
      </c>
      <c r="O80">
        <v>0</v>
      </c>
    </row>
    <row r="81" spans="1:15">
      <c r="A81" t="s">
        <v>206</v>
      </c>
      <c r="B81">
        <v>24</v>
      </c>
      <c r="C81" t="s">
        <v>33</v>
      </c>
      <c r="D81">
        <v>308985</v>
      </c>
      <c r="E81" t="s">
        <v>17</v>
      </c>
      <c r="F81">
        <v>522</v>
      </c>
      <c r="G81">
        <v>199599</v>
      </c>
      <c r="H81">
        <v>14.7</v>
      </c>
      <c r="I81">
        <v>12</v>
      </c>
      <c r="J81">
        <v>38168</v>
      </c>
      <c r="K81" t="s">
        <v>18</v>
      </c>
      <c r="L81" t="s">
        <v>34</v>
      </c>
      <c r="M81" t="s">
        <v>27</v>
      </c>
      <c r="N81" t="s">
        <v>31</v>
      </c>
      <c r="O81">
        <v>0</v>
      </c>
    </row>
    <row r="82" spans="1:15">
      <c r="A82" t="s">
        <v>237</v>
      </c>
      <c r="B82">
        <v>24</v>
      </c>
      <c r="C82" t="s">
        <v>16</v>
      </c>
      <c r="D82">
        <v>309550</v>
      </c>
      <c r="E82" t="s">
        <v>25</v>
      </c>
      <c r="G82">
        <v>200825</v>
      </c>
      <c r="H82">
        <v>12.73</v>
      </c>
      <c r="I82">
        <v>12</v>
      </c>
      <c r="J82">
        <v>38618</v>
      </c>
      <c r="K82" t="s">
        <v>11</v>
      </c>
      <c r="L82" t="s">
        <v>34</v>
      </c>
      <c r="M82" t="s">
        <v>27</v>
      </c>
      <c r="N82" t="s">
        <v>31</v>
      </c>
      <c r="O82">
        <v>0</v>
      </c>
    </row>
    <row r="83" spans="1:15">
      <c r="A83" t="s">
        <v>241</v>
      </c>
      <c r="B83">
        <v>24</v>
      </c>
      <c r="C83" t="s">
        <v>16</v>
      </c>
      <c r="D83">
        <v>309800</v>
      </c>
      <c r="E83" t="s">
        <v>17</v>
      </c>
      <c r="F83">
        <v>683</v>
      </c>
      <c r="G83">
        <v>201828</v>
      </c>
      <c r="H83">
        <v>15.87</v>
      </c>
      <c r="I83">
        <v>36</v>
      </c>
      <c r="J83">
        <v>39727</v>
      </c>
      <c r="K83" t="s">
        <v>26</v>
      </c>
      <c r="L83" t="s">
        <v>34</v>
      </c>
      <c r="M83" t="s">
        <v>20</v>
      </c>
      <c r="N83" t="s">
        <v>21</v>
      </c>
      <c r="O83">
        <v>1</v>
      </c>
    </row>
    <row r="84" spans="1:15">
      <c r="A84" t="s">
        <v>305</v>
      </c>
      <c r="B84">
        <v>24</v>
      </c>
      <c r="C84" t="s">
        <v>16</v>
      </c>
      <c r="D84">
        <v>311487</v>
      </c>
      <c r="E84" t="s">
        <v>17</v>
      </c>
      <c r="F84">
        <v>614</v>
      </c>
      <c r="G84">
        <v>202318</v>
      </c>
      <c r="H84">
        <v>14.23</v>
      </c>
      <c r="I84">
        <v>24</v>
      </c>
      <c r="J84">
        <v>40203</v>
      </c>
      <c r="K84" t="s">
        <v>23</v>
      </c>
      <c r="L84" t="s">
        <v>19</v>
      </c>
      <c r="M84" t="s">
        <v>27</v>
      </c>
      <c r="N84" t="s">
        <v>31</v>
      </c>
      <c r="O84">
        <v>0</v>
      </c>
    </row>
    <row r="85" spans="1:15">
      <c r="A85" t="s">
        <v>395</v>
      </c>
      <c r="B85">
        <v>24</v>
      </c>
      <c r="C85" t="s">
        <v>33</v>
      </c>
      <c r="D85">
        <v>312946</v>
      </c>
      <c r="E85" t="s">
        <v>25</v>
      </c>
      <c r="F85">
        <v>812</v>
      </c>
      <c r="G85">
        <v>205316</v>
      </c>
      <c r="H85">
        <v>15.81</v>
      </c>
      <c r="I85">
        <v>36</v>
      </c>
      <c r="J85">
        <v>40669</v>
      </c>
      <c r="K85" t="s">
        <v>30</v>
      </c>
      <c r="L85" t="s">
        <v>34</v>
      </c>
      <c r="M85" t="s">
        <v>27</v>
      </c>
      <c r="N85" t="s">
        <v>31</v>
      </c>
      <c r="O85">
        <v>0</v>
      </c>
    </row>
    <row r="86" spans="1:15">
      <c r="A86" t="s">
        <v>415</v>
      </c>
      <c r="B86">
        <v>24</v>
      </c>
      <c r="C86" t="s">
        <v>33</v>
      </c>
      <c r="D86">
        <v>316428</v>
      </c>
      <c r="E86" t="s">
        <v>25</v>
      </c>
      <c r="F86">
        <v>661</v>
      </c>
      <c r="G86">
        <v>205958</v>
      </c>
      <c r="H86">
        <v>12.77</v>
      </c>
      <c r="I86">
        <v>60</v>
      </c>
      <c r="J86">
        <v>44272</v>
      </c>
      <c r="K86" t="s">
        <v>11</v>
      </c>
      <c r="L86" t="s">
        <v>19</v>
      </c>
      <c r="M86" t="s">
        <v>27</v>
      </c>
      <c r="N86" t="s">
        <v>31</v>
      </c>
      <c r="O86">
        <v>0</v>
      </c>
    </row>
    <row r="87" spans="1:15">
      <c r="A87" t="s">
        <v>436</v>
      </c>
      <c r="B87">
        <v>24</v>
      </c>
      <c r="C87" t="s">
        <v>16</v>
      </c>
      <c r="D87">
        <v>322165</v>
      </c>
      <c r="E87" t="s">
        <v>25</v>
      </c>
      <c r="F87">
        <v>764</v>
      </c>
      <c r="G87">
        <v>208304</v>
      </c>
      <c r="H87">
        <v>14.33</v>
      </c>
      <c r="I87">
        <v>12</v>
      </c>
      <c r="J87">
        <v>44852</v>
      </c>
      <c r="K87" t="s">
        <v>23</v>
      </c>
      <c r="L87" t="s">
        <v>34</v>
      </c>
      <c r="M87" t="s">
        <v>27</v>
      </c>
      <c r="N87" t="s">
        <v>21</v>
      </c>
      <c r="O87">
        <v>0</v>
      </c>
    </row>
    <row r="88" spans="1:15">
      <c r="A88" t="s">
        <v>461</v>
      </c>
      <c r="B88">
        <v>24</v>
      </c>
      <c r="C88" t="s">
        <v>16</v>
      </c>
      <c r="D88">
        <v>323031</v>
      </c>
      <c r="E88" t="s">
        <v>25</v>
      </c>
      <c r="F88">
        <v>625</v>
      </c>
      <c r="G88">
        <v>209078</v>
      </c>
      <c r="H88">
        <v>15.49</v>
      </c>
      <c r="I88">
        <v>24</v>
      </c>
      <c r="J88">
        <v>45037</v>
      </c>
      <c r="K88" t="s">
        <v>26</v>
      </c>
      <c r="L88" t="s">
        <v>19</v>
      </c>
      <c r="M88" t="s">
        <v>27</v>
      </c>
      <c r="N88" t="s">
        <v>31</v>
      </c>
      <c r="O88">
        <v>0</v>
      </c>
    </row>
    <row r="89" spans="1:15">
      <c r="A89" t="s">
        <v>500</v>
      </c>
      <c r="B89">
        <v>24</v>
      </c>
      <c r="C89" t="s">
        <v>33</v>
      </c>
      <c r="D89">
        <v>325016</v>
      </c>
      <c r="E89" t="s">
        <v>25</v>
      </c>
      <c r="F89">
        <v>443</v>
      </c>
      <c r="G89">
        <v>211254</v>
      </c>
      <c r="H89">
        <v>11.85</v>
      </c>
      <c r="I89">
        <v>36</v>
      </c>
      <c r="J89">
        <v>45221</v>
      </c>
      <c r="K89" t="s">
        <v>18</v>
      </c>
      <c r="L89" t="s">
        <v>19</v>
      </c>
      <c r="M89" t="s">
        <v>27</v>
      </c>
      <c r="N89" t="s">
        <v>21</v>
      </c>
      <c r="O89">
        <v>1</v>
      </c>
    </row>
    <row r="90" spans="1:15">
      <c r="A90" t="s">
        <v>572</v>
      </c>
      <c r="B90">
        <v>24</v>
      </c>
      <c r="C90" t="s">
        <v>33</v>
      </c>
      <c r="D90">
        <v>326069</v>
      </c>
      <c r="E90" t="s">
        <v>17</v>
      </c>
      <c r="F90">
        <v>651</v>
      </c>
      <c r="G90">
        <v>211516</v>
      </c>
      <c r="H90">
        <v>15.39</v>
      </c>
      <c r="I90">
        <v>24</v>
      </c>
      <c r="J90">
        <v>46355</v>
      </c>
      <c r="K90" t="s">
        <v>30</v>
      </c>
      <c r="L90" t="s">
        <v>34</v>
      </c>
      <c r="M90" t="s">
        <v>20</v>
      </c>
      <c r="N90" t="s">
        <v>21</v>
      </c>
      <c r="O90">
        <v>0</v>
      </c>
    </row>
    <row r="91" spans="1:15">
      <c r="A91" t="s">
        <v>632</v>
      </c>
      <c r="B91">
        <v>24</v>
      </c>
      <c r="C91" t="s">
        <v>33</v>
      </c>
      <c r="D91">
        <v>326613</v>
      </c>
      <c r="E91" t="s">
        <v>17</v>
      </c>
      <c r="F91">
        <v>741</v>
      </c>
      <c r="G91">
        <v>212506</v>
      </c>
      <c r="H91">
        <v>12.07</v>
      </c>
      <c r="I91">
        <v>24</v>
      </c>
      <c r="J91">
        <v>47212</v>
      </c>
      <c r="K91" t="s">
        <v>26</v>
      </c>
      <c r="L91" t="s">
        <v>34</v>
      </c>
      <c r="M91" t="s">
        <v>20</v>
      </c>
      <c r="N91" t="s">
        <v>31</v>
      </c>
      <c r="O91">
        <v>0</v>
      </c>
    </row>
    <row r="92" spans="1:15">
      <c r="A92" t="s">
        <v>657</v>
      </c>
      <c r="B92">
        <v>24</v>
      </c>
      <c r="C92" t="s">
        <v>16</v>
      </c>
      <c r="D92">
        <v>327974</v>
      </c>
      <c r="E92" t="s">
        <v>17</v>
      </c>
      <c r="F92">
        <v>793</v>
      </c>
      <c r="G92">
        <v>213519</v>
      </c>
      <c r="H92">
        <v>16.28</v>
      </c>
      <c r="I92">
        <v>36</v>
      </c>
      <c r="J92">
        <v>47701</v>
      </c>
      <c r="K92" t="s">
        <v>18</v>
      </c>
      <c r="L92" t="s">
        <v>34</v>
      </c>
      <c r="M92" t="s">
        <v>20</v>
      </c>
      <c r="N92" t="s">
        <v>28</v>
      </c>
      <c r="O92">
        <v>0</v>
      </c>
    </row>
    <row r="93" spans="1:15">
      <c r="A93" t="s">
        <v>702</v>
      </c>
      <c r="B93">
        <v>24</v>
      </c>
      <c r="C93" t="s">
        <v>16</v>
      </c>
      <c r="D93">
        <v>329640</v>
      </c>
      <c r="E93" t="s">
        <v>17</v>
      </c>
      <c r="G93">
        <v>217685</v>
      </c>
      <c r="H93">
        <v>8.7200000000000006</v>
      </c>
      <c r="I93">
        <v>24</v>
      </c>
      <c r="J93">
        <v>48469</v>
      </c>
      <c r="K93" t="s">
        <v>26</v>
      </c>
      <c r="L93" t="s">
        <v>34</v>
      </c>
      <c r="M93" t="s">
        <v>27</v>
      </c>
      <c r="N93" t="s">
        <v>31</v>
      </c>
      <c r="O93">
        <v>0</v>
      </c>
    </row>
    <row r="94" spans="1:15">
      <c r="A94" t="s">
        <v>753</v>
      </c>
      <c r="B94">
        <v>24</v>
      </c>
      <c r="C94" t="s">
        <v>33</v>
      </c>
      <c r="D94">
        <v>330395</v>
      </c>
      <c r="E94" t="s">
        <v>17</v>
      </c>
      <c r="F94">
        <v>307</v>
      </c>
      <c r="G94">
        <v>219006</v>
      </c>
      <c r="H94">
        <v>8.68</v>
      </c>
      <c r="I94">
        <v>48</v>
      </c>
      <c r="J94">
        <v>48634</v>
      </c>
      <c r="K94" t="s">
        <v>30</v>
      </c>
      <c r="L94" t="s">
        <v>34</v>
      </c>
      <c r="M94" t="s">
        <v>27</v>
      </c>
      <c r="N94" t="s">
        <v>28</v>
      </c>
      <c r="O94">
        <v>1</v>
      </c>
    </row>
    <row r="95" spans="1:15">
      <c r="A95" t="s">
        <v>796</v>
      </c>
      <c r="B95">
        <v>24</v>
      </c>
      <c r="C95" t="s">
        <v>33</v>
      </c>
      <c r="D95">
        <v>330631</v>
      </c>
      <c r="E95" t="s">
        <v>17</v>
      </c>
      <c r="F95">
        <v>307</v>
      </c>
      <c r="G95">
        <v>220210</v>
      </c>
      <c r="H95">
        <v>14.88</v>
      </c>
      <c r="I95">
        <v>48</v>
      </c>
      <c r="J95">
        <v>48691</v>
      </c>
      <c r="K95" t="s">
        <v>18</v>
      </c>
      <c r="L95" t="s">
        <v>19</v>
      </c>
      <c r="M95" t="s">
        <v>20</v>
      </c>
      <c r="N95" t="s">
        <v>21</v>
      </c>
      <c r="O95">
        <v>0</v>
      </c>
    </row>
    <row r="96" spans="1:15">
      <c r="A96" t="s">
        <v>828</v>
      </c>
      <c r="B96">
        <v>24</v>
      </c>
      <c r="C96" t="s">
        <v>16</v>
      </c>
      <c r="D96">
        <v>331078</v>
      </c>
      <c r="E96" t="s">
        <v>25</v>
      </c>
      <c r="F96">
        <v>806</v>
      </c>
      <c r="G96">
        <v>221037</v>
      </c>
      <c r="H96">
        <v>9.0399999999999991</v>
      </c>
      <c r="I96">
        <v>36</v>
      </c>
      <c r="J96">
        <v>49384</v>
      </c>
      <c r="K96" t="s">
        <v>26</v>
      </c>
      <c r="L96" t="s">
        <v>19</v>
      </c>
      <c r="M96" t="s">
        <v>20</v>
      </c>
      <c r="N96" t="s">
        <v>21</v>
      </c>
      <c r="O96">
        <v>0</v>
      </c>
    </row>
    <row r="97" spans="1:15">
      <c r="A97" t="s">
        <v>865</v>
      </c>
      <c r="B97">
        <v>24</v>
      </c>
      <c r="C97" t="s">
        <v>16</v>
      </c>
      <c r="D97">
        <v>332785</v>
      </c>
      <c r="E97" t="s">
        <v>17</v>
      </c>
      <c r="F97">
        <v>649</v>
      </c>
      <c r="G97">
        <v>221563</v>
      </c>
      <c r="H97">
        <v>7.64</v>
      </c>
      <c r="I97">
        <v>60</v>
      </c>
      <c r="J97">
        <v>50097</v>
      </c>
      <c r="K97" t="s">
        <v>30</v>
      </c>
      <c r="L97" t="s">
        <v>19</v>
      </c>
      <c r="M97" t="s">
        <v>27</v>
      </c>
      <c r="N97" t="s">
        <v>31</v>
      </c>
      <c r="O97">
        <v>0</v>
      </c>
    </row>
    <row r="98" spans="1:15">
      <c r="A98" t="s">
        <v>917</v>
      </c>
      <c r="B98">
        <v>24</v>
      </c>
      <c r="C98" t="s">
        <v>33</v>
      </c>
      <c r="D98">
        <v>334757</v>
      </c>
      <c r="E98" t="s">
        <v>25</v>
      </c>
      <c r="F98">
        <v>896</v>
      </c>
      <c r="G98">
        <v>221751</v>
      </c>
      <c r="H98">
        <v>14.33</v>
      </c>
      <c r="I98">
        <v>24</v>
      </c>
      <c r="J98">
        <v>52155</v>
      </c>
      <c r="K98" t="s">
        <v>11</v>
      </c>
      <c r="L98" t="s">
        <v>34</v>
      </c>
      <c r="M98" t="s">
        <v>20</v>
      </c>
      <c r="N98" t="s">
        <v>28</v>
      </c>
      <c r="O98">
        <v>0</v>
      </c>
    </row>
    <row r="99" spans="1:15">
      <c r="A99" t="s">
        <v>970</v>
      </c>
      <c r="B99">
        <v>24</v>
      </c>
      <c r="C99" t="s">
        <v>16</v>
      </c>
      <c r="D99">
        <v>336948</v>
      </c>
      <c r="E99" t="s">
        <v>25</v>
      </c>
      <c r="F99">
        <v>308</v>
      </c>
      <c r="G99">
        <v>224126</v>
      </c>
      <c r="H99">
        <v>7.94</v>
      </c>
      <c r="I99">
        <v>36</v>
      </c>
      <c r="J99">
        <v>52577</v>
      </c>
      <c r="K99" t="s">
        <v>11</v>
      </c>
      <c r="L99" t="s">
        <v>34</v>
      </c>
      <c r="M99" t="s">
        <v>27</v>
      </c>
      <c r="N99" t="s">
        <v>31</v>
      </c>
      <c r="O99">
        <v>0</v>
      </c>
    </row>
    <row r="100" spans="1:15">
      <c r="A100" t="s">
        <v>36</v>
      </c>
      <c r="B100">
        <v>24</v>
      </c>
      <c r="C100" t="s">
        <v>33</v>
      </c>
      <c r="D100">
        <v>338894</v>
      </c>
      <c r="E100" t="s">
        <v>25</v>
      </c>
      <c r="F100">
        <v>613</v>
      </c>
      <c r="G100">
        <v>225381</v>
      </c>
      <c r="H100">
        <v>12.89</v>
      </c>
      <c r="I100">
        <v>12</v>
      </c>
      <c r="J100">
        <v>52653</v>
      </c>
      <c r="K100" t="s">
        <v>18</v>
      </c>
      <c r="L100" t="s">
        <v>19</v>
      </c>
      <c r="M100" t="s">
        <v>20</v>
      </c>
      <c r="N100" t="s">
        <v>28</v>
      </c>
      <c r="O100">
        <v>0</v>
      </c>
    </row>
    <row r="101" spans="1:15">
      <c r="A101" t="s">
        <v>76</v>
      </c>
      <c r="B101">
        <v>25</v>
      </c>
      <c r="C101" t="s">
        <v>16</v>
      </c>
      <c r="D101">
        <v>343850</v>
      </c>
      <c r="E101" t="s">
        <v>25</v>
      </c>
      <c r="F101">
        <v>638</v>
      </c>
      <c r="G101">
        <v>227750</v>
      </c>
      <c r="H101">
        <v>12.69</v>
      </c>
      <c r="I101">
        <v>36</v>
      </c>
      <c r="J101">
        <v>52967</v>
      </c>
      <c r="K101" t="s">
        <v>11</v>
      </c>
      <c r="L101" t="s">
        <v>34</v>
      </c>
      <c r="M101" t="s">
        <v>20</v>
      </c>
      <c r="N101" t="s">
        <v>21</v>
      </c>
      <c r="O101">
        <v>1</v>
      </c>
    </row>
    <row r="102" spans="1:15">
      <c r="A102" t="s">
        <v>100</v>
      </c>
      <c r="B102">
        <v>25</v>
      </c>
      <c r="C102" t="s">
        <v>33</v>
      </c>
      <c r="D102">
        <v>344563</v>
      </c>
      <c r="E102" t="s">
        <v>25</v>
      </c>
      <c r="F102">
        <v>386</v>
      </c>
      <c r="G102">
        <v>228080</v>
      </c>
      <c r="H102">
        <v>15.56</v>
      </c>
      <c r="I102">
        <v>60</v>
      </c>
      <c r="J102">
        <v>54149</v>
      </c>
      <c r="K102" t="s">
        <v>30</v>
      </c>
      <c r="L102" t="s">
        <v>19</v>
      </c>
      <c r="M102" t="s">
        <v>27</v>
      </c>
      <c r="N102" t="s">
        <v>28</v>
      </c>
      <c r="O102">
        <v>1</v>
      </c>
    </row>
    <row r="103" spans="1:15">
      <c r="A103" t="s">
        <v>126</v>
      </c>
      <c r="B103">
        <v>25</v>
      </c>
      <c r="C103" t="s">
        <v>33</v>
      </c>
      <c r="D103">
        <v>345499</v>
      </c>
      <c r="E103" t="s">
        <v>25</v>
      </c>
      <c r="F103">
        <v>891</v>
      </c>
      <c r="G103">
        <v>229784</v>
      </c>
      <c r="H103">
        <v>9.27</v>
      </c>
      <c r="I103">
        <v>36</v>
      </c>
      <c r="J103">
        <v>55434</v>
      </c>
      <c r="K103" t="s">
        <v>11</v>
      </c>
      <c r="L103" t="s">
        <v>34</v>
      </c>
      <c r="M103" t="s">
        <v>27</v>
      </c>
      <c r="N103" t="s">
        <v>28</v>
      </c>
      <c r="O103">
        <v>0</v>
      </c>
    </row>
    <row r="104" spans="1:15">
      <c r="A104" t="s">
        <v>141</v>
      </c>
      <c r="B104">
        <v>25</v>
      </c>
      <c r="C104" t="s">
        <v>33</v>
      </c>
      <c r="D104">
        <v>346278</v>
      </c>
      <c r="E104" t="s">
        <v>17</v>
      </c>
      <c r="F104">
        <v>378</v>
      </c>
      <c r="G104">
        <v>236779</v>
      </c>
      <c r="H104">
        <v>14.81</v>
      </c>
      <c r="I104">
        <v>36</v>
      </c>
      <c r="J104">
        <v>56849</v>
      </c>
      <c r="K104" t="s">
        <v>23</v>
      </c>
      <c r="L104" t="s">
        <v>34</v>
      </c>
      <c r="M104" t="s">
        <v>20</v>
      </c>
      <c r="N104" t="s">
        <v>31</v>
      </c>
      <c r="O104">
        <v>1</v>
      </c>
    </row>
    <row r="105" spans="1:15">
      <c r="A105" t="s">
        <v>180</v>
      </c>
      <c r="B105">
        <v>25</v>
      </c>
      <c r="C105" t="s">
        <v>33</v>
      </c>
      <c r="D105">
        <v>352693</v>
      </c>
      <c r="E105" t="s">
        <v>17</v>
      </c>
      <c r="F105">
        <v>466</v>
      </c>
      <c r="G105">
        <v>237204</v>
      </c>
      <c r="H105">
        <v>12.75</v>
      </c>
      <c r="I105">
        <v>36</v>
      </c>
      <c r="J105">
        <v>57050</v>
      </c>
      <c r="K105" t="s">
        <v>26</v>
      </c>
      <c r="L105" t="s">
        <v>34</v>
      </c>
      <c r="M105" t="s">
        <v>27</v>
      </c>
      <c r="N105" t="s">
        <v>28</v>
      </c>
      <c r="O105">
        <v>1</v>
      </c>
    </row>
    <row r="106" spans="1:15">
      <c r="A106" t="s">
        <v>194</v>
      </c>
      <c r="B106">
        <v>25</v>
      </c>
      <c r="C106" t="s">
        <v>16</v>
      </c>
      <c r="D106">
        <v>352891</v>
      </c>
      <c r="E106" t="s">
        <v>17</v>
      </c>
      <c r="F106">
        <v>334</v>
      </c>
      <c r="G106">
        <v>237351</v>
      </c>
      <c r="H106">
        <v>14.77</v>
      </c>
      <c r="I106">
        <v>48</v>
      </c>
      <c r="J106">
        <v>57110</v>
      </c>
      <c r="K106" t="s">
        <v>23</v>
      </c>
      <c r="L106" t="s">
        <v>34</v>
      </c>
      <c r="M106" t="s">
        <v>27</v>
      </c>
      <c r="N106" t="s">
        <v>28</v>
      </c>
      <c r="O106">
        <v>0</v>
      </c>
    </row>
    <row r="107" spans="1:15">
      <c r="A107" t="s">
        <v>200</v>
      </c>
      <c r="B107">
        <v>25</v>
      </c>
      <c r="C107" t="s">
        <v>16</v>
      </c>
      <c r="D107">
        <v>353836</v>
      </c>
      <c r="E107" t="s">
        <v>25</v>
      </c>
      <c r="F107">
        <v>592</v>
      </c>
      <c r="G107">
        <v>239739</v>
      </c>
      <c r="H107">
        <v>11.69</v>
      </c>
      <c r="I107">
        <v>48</v>
      </c>
      <c r="J107">
        <v>57152</v>
      </c>
      <c r="K107" t="s">
        <v>23</v>
      </c>
      <c r="L107" t="s">
        <v>19</v>
      </c>
      <c r="M107" t="s">
        <v>27</v>
      </c>
      <c r="N107" t="s">
        <v>21</v>
      </c>
      <c r="O107">
        <v>0</v>
      </c>
    </row>
    <row r="108" spans="1:15">
      <c r="A108" t="s">
        <v>251</v>
      </c>
      <c r="B108">
        <v>25</v>
      </c>
      <c r="C108" t="s">
        <v>33</v>
      </c>
      <c r="D108">
        <v>357256</v>
      </c>
      <c r="E108" t="s">
        <v>25</v>
      </c>
      <c r="F108">
        <v>767</v>
      </c>
      <c r="G108">
        <v>240600</v>
      </c>
      <c r="H108">
        <v>7.53</v>
      </c>
      <c r="I108">
        <v>12</v>
      </c>
      <c r="J108">
        <v>57660</v>
      </c>
      <c r="K108" t="s">
        <v>26</v>
      </c>
      <c r="L108" t="s">
        <v>34</v>
      </c>
      <c r="M108" t="s">
        <v>27</v>
      </c>
      <c r="N108" t="s">
        <v>21</v>
      </c>
      <c r="O108">
        <v>0</v>
      </c>
    </row>
    <row r="109" spans="1:15">
      <c r="A109" t="s">
        <v>255</v>
      </c>
      <c r="B109">
        <v>25</v>
      </c>
      <c r="C109" t="s">
        <v>16</v>
      </c>
      <c r="D109">
        <v>359182</v>
      </c>
      <c r="E109" t="s">
        <v>25</v>
      </c>
      <c r="F109">
        <v>815</v>
      </c>
      <c r="G109">
        <v>245862</v>
      </c>
      <c r="H109">
        <v>13.45</v>
      </c>
      <c r="I109">
        <v>24</v>
      </c>
      <c r="J109">
        <v>57884</v>
      </c>
      <c r="K109" t="s">
        <v>18</v>
      </c>
      <c r="L109" t="s">
        <v>34</v>
      </c>
      <c r="M109" t="s">
        <v>20</v>
      </c>
      <c r="N109" t="s">
        <v>31</v>
      </c>
      <c r="O109">
        <v>0</v>
      </c>
    </row>
    <row r="110" spans="1:15">
      <c r="A110" t="s">
        <v>257</v>
      </c>
      <c r="B110">
        <v>25</v>
      </c>
      <c r="C110" t="s">
        <v>33</v>
      </c>
      <c r="D110">
        <v>360603</v>
      </c>
      <c r="E110" t="s">
        <v>25</v>
      </c>
      <c r="F110">
        <v>773</v>
      </c>
      <c r="G110">
        <v>246944</v>
      </c>
      <c r="H110">
        <v>15.15</v>
      </c>
      <c r="I110">
        <v>24</v>
      </c>
      <c r="J110">
        <v>58266</v>
      </c>
      <c r="K110" t="s">
        <v>30</v>
      </c>
      <c r="L110" t="s">
        <v>34</v>
      </c>
      <c r="M110" t="s">
        <v>27</v>
      </c>
      <c r="N110" t="s">
        <v>31</v>
      </c>
      <c r="O110">
        <v>0</v>
      </c>
    </row>
    <row r="111" spans="1:15">
      <c r="A111" t="s">
        <v>261</v>
      </c>
      <c r="B111">
        <v>25</v>
      </c>
      <c r="C111" t="s">
        <v>16</v>
      </c>
      <c r="D111">
        <v>362340</v>
      </c>
      <c r="E111" t="s">
        <v>17</v>
      </c>
      <c r="F111">
        <v>884</v>
      </c>
      <c r="G111">
        <v>249823</v>
      </c>
      <c r="H111">
        <v>11.08</v>
      </c>
      <c r="I111">
        <v>48</v>
      </c>
      <c r="J111">
        <v>58296</v>
      </c>
      <c r="K111" t="s">
        <v>18</v>
      </c>
      <c r="L111" t="s">
        <v>34</v>
      </c>
      <c r="M111" t="s">
        <v>27</v>
      </c>
      <c r="N111" t="s">
        <v>28</v>
      </c>
      <c r="O111">
        <v>0</v>
      </c>
    </row>
    <row r="112" spans="1:15">
      <c r="A112" t="s">
        <v>281</v>
      </c>
      <c r="B112">
        <v>25</v>
      </c>
      <c r="C112" t="s">
        <v>33</v>
      </c>
      <c r="D112">
        <v>362362</v>
      </c>
      <c r="E112" t="s">
        <v>25</v>
      </c>
      <c r="F112">
        <v>662</v>
      </c>
      <c r="G112">
        <v>251051</v>
      </c>
      <c r="H112">
        <v>12.69</v>
      </c>
      <c r="I112">
        <v>36</v>
      </c>
      <c r="J112">
        <v>59910</v>
      </c>
      <c r="K112" t="s">
        <v>23</v>
      </c>
      <c r="L112" t="s">
        <v>34</v>
      </c>
      <c r="M112" t="s">
        <v>20</v>
      </c>
      <c r="N112" t="s">
        <v>31</v>
      </c>
      <c r="O112">
        <v>0</v>
      </c>
    </row>
    <row r="113" spans="1:15">
      <c r="A113" t="s">
        <v>326</v>
      </c>
      <c r="B113">
        <v>25</v>
      </c>
      <c r="C113" t="s">
        <v>16</v>
      </c>
      <c r="D113">
        <v>364032</v>
      </c>
      <c r="E113" t="s">
        <v>25</v>
      </c>
      <c r="F113">
        <v>678</v>
      </c>
      <c r="G113">
        <v>254983</v>
      </c>
      <c r="H113">
        <v>10.1</v>
      </c>
      <c r="I113">
        <v>36</v>
      </c>
      <c r="J113">
        <v>60686</v>
      </c>
      <c r="K113" t="s">
        <v>18</v>
      </c>
      <c r="L113" t="s">
        <v>34</v>
      </c>
      <c r="M113" t="s">
        <v>27</v>
      </c>
      <c r="N113" t="s">
        <v>21</v>
      </c>
      <c r="O113">
        <v>0</v>
      </c>
    </row>
    <row r="114" spans="1:15">
      <c r="A114" t="s">
        <v>328</v>
      </c>
      <c r="B114">
        <v>25</v>
      </c>
      <c r="C114" t="s">
        <v>33</v>
      </c>
      <c r="D114">
        <v>364250</v>
      </c>
      <c r="E114" t="s">
        <v>25</v>
      </c>
      <c r="F114">
        <v>759</v>
      </c>
      <c r="G114">
        <v>258470</v>
      </c>
      <c r="H114">
        <v>16.170000000000002</v>
      </c>
      <c r="I114">
        <v>48</v>
      </c>
      <c r="J114">
        <v>60699</v>
      </c>
      <c r="K114" t="s">
        <v>11</v>
      </c>
      <c r="L114" t="s">
        <v>19</v>
      </c>
      <c r="M114" t="s">
        <v>20</v>
      </c>
      <c r="N114" t="s">
        <v>31</v>
      </c>
      <c r="O114">
        <v>0</v>
      </c>
    </row>
    <row r="115" spans="1:15">
      <c r="A115" t="s">
        <v>356</v>
      </c>
      <c r="B115">
        <v>25</v>
      </c>
      <c r="C115" t="s">
        <v>33</v>
      </c>
      <c r="D115">
        <v>366126</v>
      </c>
      <c r="E115" t="s">
        <v>25</v>
      </c>
      <c r="F115">
        <v>897</v>
      </c>
      <c r="G115">
        <v>261705</v>
      </c>
      <c r="H115">
        <v>8.57</v>
      </c>
      <c r="I115">
        <v>24</v>
      </c>
      <c r="J115">
        <v>61020</v>
      </c>
      <c r="K115" t="s">
        <v>23</v>
      </c>
      <c r="L115" t="s">
        <v>19</v>
      </c>
      <c r="M115" t="s">
        <v>20</v>
      </c>
      <c r="N115" t="s">
        <v>28</v>
      </c>
      <c r="O115">
        <v>1</v>
      </c>
    </row>
    <row r="116" spans="1:15">
      <c r="A116" t="s">
        <v>391</v>
      </c>
      <c r="B116">
        <v>25</v>
      </c>
      <c r="C116" t="s">
        <v>33</v>
      </c>
      <c r="D116">
        <v>366863</v>
      </c>
      <c r="E116" t="s">
        <v>17</v>
      </c>
      <c r="F116">
        <v>735</v>
      </c>
      <c r="G116">
        <v>266416</v>
      </c>
      <c r="H116">
        <v>14.81</v>
      </c>
      <c r="I116">
        <v>12</v>
      </c>
      <c r="J116">
        <v>61543</v>
      </c>
      <c r="K116" t="s">
        <v>26</v>
      </c>
      <c r="L116" t="s">
        <v>19</v>
      </c>
      <c r="M116" t="s">
        <v>20</v>
      </c>
      <c r="N116" t="s">
        <v>31</v>
      </c>
      <c r="O116">
        <v>0</v>
      </c>
    </row>
    <row r="117" spans="1:15">
      <c r="A117" t="s">
        <v>393</v>
      </c>
      <c r="B117">
        <v>25</v>
      </c>
      <c r="C117" t="s">
        <v>33</v>
      </c>
      <c r="D117">
        <v>367670</v>
      </c>
      <c r="E117" t="s">
        <v>25</v>
      </c>
      <c r="F117">
        <v>463</v>
      </c>
      <c r="G117">
        <v>266786</v>
      </c>
      <c r="H117">
        <v>11.17</v>
      </c>
      <c r="I117">
        <v>24</v>
      </c>
      <c r="J117">
        <v>61555</v>
      </c>
      <c r="K117" t="s">
        <v>26</v>
      </c>
      <c r="L117" t="s">
        <v>34</v>
      </c>
      <c r="M117" t="s">
        <v>20</v>
      </c>
      <c r="N117" t="s">
        <v>28</v>
      </c>
      <c r="O117">
        <v>1</v>
      </c>
    </row>
    <row r="118" spans="1:15">
      <c r="A118" t="s">
        <v>434</v>
      </c>
      <c r="B118">
        <v>25</v>
      </c>
      <c r="C118" t="s">
        <v>33</v>
      </c>
      <c r="D118">
        <v>368003</v>
      </c>
      <c r="E118" t="s">
        <v>25</v>
      </c>
      <c r="F118">
        <v>885</v>
      </c>
      <c r="G118">
        <v>267579</v>
      </c>
      <c r="H118">
        <v>16.149999999999999</v>
      </c>
      <c r="I118">
        <v>36</v>
      </c>
      <c r="J118">
        <v>61993</v>
      </c>
      <c r="K118" t="s">
        <v>18</v>
      </c>
      <c r="L118" t="s">
        <v>34</v>
      </c>
      <c r="M118" t="s">
        <v>20</v>
      </c>
      <c r="N118" t="s">
        <v>31</v>
      </c>
      <c r="O118">
        <v>0</v>
      </c>
    </row>
    <row r="119" spans="1:15">
      <c r="A119" t="s">
        <v>485</v>
      </c>
      <c r="B119">
        <v>25</v>
      </c>
      <c r="C119" t="s">
        <v>16</v>
      </c>
      <c r="D119">
        <v>368584</v>
      </c>
      <c r="E119" t="s">
        <v>25</v>
      </c>
      <c r="F119">
        <v>794</v>
      </c>
      <c r="G119">
        <v>268959</v>
      </c>
      <c r="H119">
        <v>8.57</v>
      </c>
      <c r="I119">
        <v>12</v>
      </c>
      <c r="J119">
        <v>62792</v>
      </c>
      <c r="K119" t="s">
        <v>11</v>
      </c>
      <c r="L119" t="s">
        <v>34</v>
      </c>
      <c r="M119" t="s">
        <v>27</v>
      </c>
      <c r="N119" t="s">
        <v>28</v>
      </c>
      <c r="O119">
        <v>0</v>
      </c>
    </row>
    <row r="120" spans="1:15">
      <c r="A120" t="s">
        <v>489</v>
      </c>
      <c r="B120">
        <v>25</v>
      </c>
      <c r="C120" t="s">
        <v>33</v>
      </c>
      <c r="D120">
        <v>369227</v>
      </c>
      <c r="E120" t="s">
        <v>25</v>
      </c>
      <c r="F120">
        <v>681</v>
      </c>
      <c r="G120">
        <v>269750</v>
      </c>
      <c r="H120">
        <v>8.98</v>
      </c>
      <c r="I120">
        <v>60</v>
      </c>
      <c r="J120">
        <v>63373</v>
      </c>
      <c r="K120" t="s">
        <v>23</v>
      </c>
      <c r="L120" t="s">
        <v>34</v>
      </c>
      <c r="M120" t="s">
        <v>20</v>
      </c>
      <c r="N120" t="s">
        <v>21</v>
      </c>
      <c r="O120">
        <v>1</v>
      </c>
    </row>
    <row r="121" spans="1:15">
      <c r="A121" t="s">
        <v>494</v>
      </c>
      <c r="B121">
        <v>25</v>
      </c>
      <c r="C121" t="s">
        <v>16</v>
      </c>
      <c r="D121">
        <v>373105</v>
      </c>
      <c r="E121" t="s">
        <v>17</v>
      </c>
      <c r="F121">
        <v>530</v>
      </c>
      <c r="G121">
        <v>270445</v>
      </c>
      <c r="H121">
        <v>12.78</v>
      </c>
      <c r="I121">
        <v>36</v>
      </c>
      <c r="J121">
        <v>63475</v>
      </c>
      <c r="K121" t="s">
        <v>26</v>
      </c>
      <c r="L121" t="s">
        <v>19</v>
      </c>
      <c r="M121" t="s">
        <v>27</v>
      </c>
      <c r="N121" t="s">
        <v>28</v>
      </c>
      <c r="O121">
        <v>0</v>
      </c>
    </row>
    <row r="122" spans="1:15">
      <c r="A122" t="s">
        <v>499</v>
      </c>
      <c r="B122">
        <v>25</v>
      </c>
      <c r="C122" t="s">
        <v>16</v>
      </c>
      <c r="D122">
        <v>373232</v>
      </c>
      <c r="E122" t="s">
        <v>17</v>
      </c>
      <c r="F122">
        <v>850</v>
      </c>
      <c r="G122">
        <v>273398</v>
      </c>
      <c r="H122">
        <v>10.039999999999999</v>
      </c>
      <c r="I122">
        <v>12</v>
      </c>
      <c r="J122">
        <v>65512</v>
      </c>
      <c r="K122" t="s">
        <v>30</v>
      </c>
      <c r="L122" t="s">
        <v>34</v>
      </c>
      <c r="M122" t="s">
        <v>20</v>
      </c>
      <c r="N122" t="s">
        <v>21</v>
      </c>
      <c r="O122">
        <v>0</v>
      </c>
    </row>
    <row r="123" spans="1:15">
      <c r="A123" t="s">
        <v>612</v>
      </c>
      <c r="B123">
        <v>25</v>
      </c>
      <c r="C123" t="s">
        <v>33</v>
      </c>
      <c r="D123">
        <v>374132</v>
      </c>
      <c r="E123" t="s">
        <v>17</v>
      </c>
      <c r="F123">
        <v>692</v>
      </c>
      <c r="G123">
        <v>278222</v>
      </c>
      <c r="H123">
        <v>16</v>
      </c>
      <c r="I123">
        <v>48</v>
      </c>
      <c r="J123">
        <v>66004</v>
      </c>
      <c r="K123" t="s">
        <v>23</v>
      </c>
      <c r="L123" t="s">
        <v>34</v>
      </c>
      <c r="M123" t="s">
        <v>27</v>
      </c>
      <c r="N123" t="s">
        <v>28</v>
      </c>
      <c r="O123">
        <v>0</v>
      </c>
    </row>
    <row r="124" spans="1:15">
      <c r="A124" t="s">
        <v>616</v>
      </c>
      <c r="B124">
        <v>25</v>
      </c>
      <c r="C124" t="s">
        <v>16</v>
      </c>
      <c r="D124">
        <v>375900</v>
      </c>
      <c r="E124" t="s">
        <v>17</v>
      </c>
      <c r="F124">
        <v>671</v>
      </c>
      <c r="G124">
        <v>279051</v>
      </c>
      <c r="H124">
        <v>14.83</v>
      </c>
      <c r="I124">
        <v>36</v>
      </c>
      <c r="J124">
        <v>66158</v>
      </c>
      <c r="K124" t="s">
        <v>23</v>
      </c>
      <c r="L124" t="s">
        <v>34</v>
      </c>
      <c r="M124" t="s">
        <v>27</v>
      </c>
      <c r="N124" t="s">
        <v>21</v>
      </c>
      <c r="O124">
        <v>0</v>
      </c>
    </row>
    <row r="125" spans="1:15">
      <c r="A125" t="s">
        <v>688</v>
      </c>
      <c r="B125">
        <v>25</v>
      </c>
      <c r="C125" t="s">
        <v>33</v>
      </c>
      <c r="D125">
        <v>377610</v>
      </c>
      <c r="E125" t="s">
        <v>17</v>
      </c>
      <c r="F125">
        <v>873</v>
      </c>
      <c r="G125">
        <v>279308</v>
      </c>
      <c r="H125">
        <v>13.6</v>
      </c>
      <c r="I125">
        <v>36</v>
      </c>
      <c r="J125">
        <v>66257</v>
      </c>
      <c r="K125" t="s">
        <v>26</v>
      </c>
      <c r="L125" t="s">
        <v>19</v>
      </c>
      <c r="M125" t="s">
        <v>27</v>
      </c>
      <c r="N125" t="s">
        <v>31</v>
      </c>
      <c r="O125">
        <v>0</v>
      </c>
    </row>
    <row r="126" spans="1:15">
      <c r="A126" t="s">
        <v>709</v>
      </c>
      <c r="B126">
        <v>25</v>
      </c>
      <c r="C126" t="s">
        <v>16</v>
      </c>
      <c r="D126">
        <v>385824</v>
      </c>
      <c r="E126" t="s">
        <v>25</v>
      </c>
      <c r="F126">
        <v>397</v>
      </c>
      <c r="G126">
        <v>279537</v>
      </c>
      <c r="H126">
        <v>13.59</v>
      </c>
      <c r="I126">
        <v>12</v>
      </c>
      <c r="J126">
        <v>66257</v>
      </c>
      <c r="K126" t="s">
        <v>23</v>
      </c>
      <c r="L126" t="s">
        <v>34</v>
      </c>
      <c r="M126" t="s">
        <v>27</v>
      </c>
      <c r="N126" t="s">
        <v>31</v>
      </c>
      <c r="O126">
        <v>0</v>
      </c>
    </row>
    <row r="127" spans="1:15">
      <c r="A127" t="s">
        <v>733</v>
      </c>
      <c r="B127">
        <v>25</v>
      </c>
      <c r="C127" t="s">
        <v>16</v>
      </c>
      <c r="D127">
        <v>388528</v>
      </c>
      <c r="E127" t="s">
        <v>25</v>
      </c>
      <c r="F127">
        <v>527</v>
      </c>
      <c r="G127">
        <v>280728</v>
      </c>
      <c r="H127">
        <v>10.93</v>
      </c>
      <c r="I127">
        <v>24</v>
      </c>
      <c r="J127">
        <v>66642</v>
      </c>
      <c r="K127" t="s">
        <v>26</v>
      </c>
      <c r="L127" t="s">
        <v>19</v>
      </c>
      <c r="M127" t="s">
        <v>20</v>
      </c>
      <c r="N127" t="s">
        <v>31</v>
      </c>
      <c r="O127">
        <v>1</v>
      </c>
    </row>
    <row r="128" spans="1:15">
      <c r="A128" t="s">
        <v>738</v>
      </c>
      <c r="B128">
        <v>25</v>
      </c>
      <c r="C128" t="s">
        <v>16</v>
      </c>
      <c r="D128">
        <v>388718</v>
      </c>
      <c r="E128" t="s">
        <v>25</v>
      </c>
      <c r="F128">
        <v>346</v>
      </c>
      <c r="G128">
        <v>282540</v>
      </c>
      <c r="H128">
        <v>12.05</v>
      </c>
      <c r="I128">
        <v>48</v>
      </c>
      <c r="J128">
        <v>67519</v>
      </c>
      <c r="K128" t="s">
        <v>30</v>
      </c>
      <c r="L128" t="s">
        <v>19</v>
      </c>
      <c r="M128" t="s">
        <v>27</v>
      </c>
      <c r="N128" t="s">
        <v>31</v>
      </c>
      <c r="O128">
        <v>0</v>
      </c>
    </row>
    <row r="129" spans="1:15">
      <c r="A129" t="s">
        <v>744</v>
      </c>
      <c r="B129">
        <v>25</v>
      </c>
      <c r="C129" t="s">
        <v>33</v>
      </c>
      <c r="D129">
        <v>389429</v>
      </c>
      <c r="E129" t="s">
        <v>25</v>
      </c>
      <c r="F129">
        <v>801</v>
      </c>
      <c r="G129">
        <v>285559</v>
      </c>
      <c r="H129">
        <v>14.63</v>
      </c>
      <c r="I129">
        <v>60</v>
      </c>
      <c r="J129">
        <v>67810</v>
      </c>
      <c r="K129" t="s">
        <v>18</v>
      </c>
      <c r="L129" t="s">
        <v>34</v>
      </c>
      <c r="M129" t="s">
        <v>20</v>
      </c>
      <c r="N129" t="s">
        <v>31</v>
      </c>
      <c r="O129">
        <v>0</v>
      </c>
    </row>
    <row r="130" spans="1:15">
      <c r="A130" t="s">
        <v>788</v>
      </c>
      <c r="B130">
        <v>25</v>
      </c>
      <c r="C130" t="s">
        <v>16</v>
      </c>
      <c r="D130">
        <v>394178</v>
      </c>
      <c r="E130" t="s">
        <v>17</v>
      </c>
      <c r="F130">
        <v>742</v>
      </c>
      <c r="G130">
        <v>291497</v>
      </c>
      <c r="H130">
        <v>8.42</v>
      </c>
      <c r="I130">
        <v>24</v>
      </c>
      <c r="J130">
        <v>68357</v>
      </c>
      <c r="K130" t="s">
        <v>11</v>
      </c>
      <c r="L130" t="s">
        <v>34</v>
      </c>
      <c r="M130" t="s">
        <v>27</v>
      </c>
      <c r="N130" t="s">
        <v>31</v>
      </c>
      <c r="O130">
        <v>0</v>
      </c>
    </row>
    <row r="131" spans="1:15">
      <c r="A131" t="s">
        <v>812</v>
      </c>
      <c r="B131">
        <v>25</v>
      </c>
      <c r="C131" t="s">
        <v>16</v>
      </c>
      <c r="D131">
        <v>395040</v>
      </c>
      <c r="E131" t="s">
        <v>25</v>
      </c>
      <c r="F131">
        <v>393</v>
      </c>
      <c r="G131">
        <v>292091</v>
      </c>
      <c r="H131">
        <v>7.98</v>
      </c>
      <c r="I131">
        <v>24</v>
      </c>
      <c r="J131">
        <v>68879</v>
      </c>
      <c r="K131" t="s">
        <v>18</v>
      </c>
      <c r="L131" t="s">
        <v>19</v>
      </c>
      <c r="M131" t="s">
        <v>27</v>
      </c>
      <c r="N131" t="s">
        <v>28</v>
      </c>
      <c r="O131">
        <v>0</v>
      </c>
    </row>
    <row r="132" spans="1:15">
      <c r="A132" t="s">
        <v>864</v>
      </c>
      <c r="B132">
        <v>25</v>
      </c>
      <c r="C132" t="s">
        <v>16</v>
      </c>
      <c r="D132">
        <v>395278</v>
      </c>
      <c r="E132" t="s">
        <v>25</v>
      </c>
      <c r="F132">
        <v>642</v>
      </c>
      <c r="G132">
        <v>292609</v>
      </c>
      <c r="H132">
        <v>13.97</v>
      </c>
      <c r="I132">
        <v>24</v>
      </c>
      <c r="J132">
        <v>68889</v>
      </c>
      <c r="K132" t="s">
        <v>18</v>
      </c>
      <c r="L132" t="s">
        <v>34</v>
      </c>
      <c r="M132" t="s">
        <v>27</v>
      </c>
      <c r="N132" t="s">
        <v>28</v>
      </c>
      <c r="O132">
        <v>0</v>
      </c>
    </row>
    <row r="133" spans="1:15">
      <c r="A133" t="s">
        <v>1021</v>
      </c>
      <c r="B133">
        <v>25</v>
      </c>
      <c r="C133" t="s">
        <v>16</v>
      </c>
      <c r="D133">
        <v>396007</v>
      </c>
      <c r="E133" t="s">
        <v>25</v>
      </c>
      <c r="F133">
        <v>658</v>
      </c>
      <c r="G133">
        <v>292709</v>
      </c>
      <c r="H133">
        <v>15.51</v>
      </c>
      <c r="I133">
        <v>24</v>
      </c>
      <c r="J133">
        <v>69683</v>
      </c>
      <c r="K133" t="s">
        <v>11</v>
      </c>
      <c r="L133" t="s">
        <v>34</v>
      </c>
      <c r="M133" t="s">
        <v>27</v>
      </c>
      <c r="N133" t="s">
        <v>21</v>
      </c>
      <c r="O133">
        <v>0</v>
      </c>
    </row>
    <row r="134" spans="1:15">
      <c r="A134" t="s">
        <v>46</v>
      </c>
      <c r="B134">
        <v>26</v>
      </c>
      <c r="C134" t="s">
        <v>33</v>
      </c>
      <c r="D134">
        <v>396606</v>
      </c>
      <c r="E134" t="s">
        <v>25</v>
      </c>
      <c r="F134">
        <v>735</v>
      </c>
      <c r="G134">
        <v>295106</v>
      </c>
      <c r="H134">
        <v>15.95</v>
      </c>
      <c r="I134">
        <v>48</v>
      </c>
      <c r="J134">
        <v>69713</v>
      </c>
      <c r="K134" t="s">
        <v>23</v>
      </c>
      <c r="L134" t="s">
        <v>34</v>
      </c>
      <c r="M134" t="s">
        <v>20</v>
      </c>
      <c r="N134" t="s">
        <v>21</v>
      </c>
      <c r="O134">
        <v>0</v>
      </c>
    </row>
    <row r="135" spans="1:15">
      <c r="A135" t="s">
        <v>51</v>
      </c>
      <c r="B135">
        <v>26</v>
      </c>
      <c r="C135" t="s">
        <v>33</v>
      </c>
      <c r="D135">
        <v>397068</v>
      </c>
      <c r="E135" t="s">
        <v>25</v>
      </c>
      <c r="F135">
        <v>425</v>
      </c>
      <c r="G135">
        <v>296831</v>
      </c>
      <c r="H135">
        <v>7.66</v>
      </c>
      <c r="I135">
        <v>36</v>
      </c>
      <c r="J135">
        <v>70493</v>
      </c>
      <c r="K135" t="s">
        <v>11</v>
      </c>
      <c r="L135" t="s">
        <v>34</v>
      </c>
      <c r="M135" t="s">
        <v>20</v>
      </c>
      <c r="N135" t="s">
        <v>28</v>
      </c>
      <c r="O135">
        <v>1</v>
      </c>
    </row>
    <row r="136" spans="1:15">
      <c r="A136" t="s">
        <v>55</v>
      </c>
      <c r="B136">
        <v>26</v>
      </c>
      <c r="C136" t="s">
        <v>16</v>
      </c>
      <c r="D136">
        <v>397186</v>
      </c>
      <c r="E136" t="s">
        <v>25</v>
      </c>
      <c r="F136">
        <v>503</v>
      </c>
      <c r="G136">
        <v>298343</v>
      </c>
      <c r="H136">
        <v>15.02</v>
      </c>
      <c r="I136">
        <v>24</v>
      </c>
      <c r="J136">
        <v>70836</v>
      </c>
      <c r="K136" t="s">
        <v>30</v>
      </c>
      <c r="L136" t="s">
        <v>19</v>
      </c>
      <c r="M136" t="s">
        <v>27</v>
      </c>
      <c r="N136" t="s">
        <v>31</v>
      </c>
      <c r="O136">
        <v>1</v>
      </c>
    </row>
    <row r="137" spans="1:15">
      <c r="A137" t="s">
        <v>67</v>
      </c>
      <c r="B137">
        <v>26</v>
      </c>
      <c r="C137" t="s">
        <v>16</v>
      </c>
      <c r="D137">
        <v>401295</v>
      </c>
      <c r="E137" t="s">
        <v>17</v>
      </c>
      <c r="F137">
        <v>423</v>
      </c>
      <c r="G137">
        <v>299058</v>
      </c>
      <c r="H137">
        <v>13.21</v>
      </c>
      <c r="I137">
        <v>60</v>
      </c>
      <c r="J137">
        <v>70982</v>
      </c>
      <c r="K137" t="s">
        <v>11</v>
      </c>
      <c r="L137" t="s">
        <v>34</v>
      </c>
      <c r="M137" t="s">
        <v>27</v>
      </c>
      <c r="N137" t="s">
        <v>31</v>
      </c>
      <c r="O137">
        <v>0</v>
      </c>
    </row>
    <row r="138" spans="1:15">
      <c r="A138" t="s">
        <v>97</v>
      </c>
      <c r="B138">
        <v>26</v>
      </c>
      <c r="C138" t="s">
        <v>33</v>
      </c>
      <c r="D138">
        <v>402496</v>
      </c>
      <c r="E138" t="s">
        <v>17</v>
      </c>
      <c r="F138">
        <v>708</v>
      </c>
      <c r="G138">
        <v>300536</v>
      </c>
      <c r="H138">
        <v>15.82</v>
      </c>
      <c r="I138">
        <v>36</v>
      </c>
      <c r="J138">
        <v>71134</v>
      </c>
      <c r="K138" t="s">
        <v>23</v>
      </c>
      <c r="L138" t="s">
        <v>19</v>
      </c>
      <c r="M138" t="s">
        <v>20</v>
      </c>
      <c r="N138" t="s">
        <v>21</v>
      </c>
      <c r="O138">
        <v>0</v>
      </c>
    </row>
    <row r="139" spans="1:15">
      <c r="A139" t="s">
        <v>146</v>
      </c>
      <c r="B139">
        <v>26</v>
      </c>
      <c r="C139" t="s">
        <v>33</v>
      </c>
      <c r="D139">
        <v>404813</v>
      </c>
      <c r="E139" t="s">
        <v>17</v>
      </c>
      <c r="F139">
        <v>652</v>
      </c>
      <c r="G139">
        <v>302836</v>
      </c>
      <c r="H139">
        <v>10.24</v>
      </c>
      <c r="I139">
        <v>12</v>
      </c>
      <c r="J139">
        <v>71479</v>
      </c>
      <c r="K139" t="s">
        <v>23</v>
      </c>
      <c r="L139" t="s">
        <v>34</v>
      </c>
      <c r="M139" t="s">
        <v>20</v>
      </c>
      <c r="N139" t="s">
        <v>31</v>
      </c>
      <c r="O139">
        <v>0</v>
      </c>
    </row>
    <row r="140" spans="1:15">
      <c r="A140" t="s">
        <v>152</v>
      </c>
      <c r="B140">
        <v>26</v>
      </c>
      <c r="C140" t="s">
        <v>33</v>
      </c>
      <c r="D140">
        <v>405389</v>
      </c>
      <c r="E140" t="s">
        <v>17</v>
      </c>
      <c r="F140">
        <v>397</v>
      </c>
      <c r="G140">
        <v>306610</v>
      </c>
      <c r="H140">
        <v>10.01</v>
      </c>
      <c r="I140">
        <v>36</v>
      </c>
      <c r="J140">
        <v>71535</v>
      </c>
      <c r="K140" t="s">
        <v>18</v>
      </c>
      <c r="L140" t="s">
        <v>19</v>
      </c>
      <c r="M140" t="s">
        <v>27</v>
      </c>
      <c r="N140" t="s">
        <v>28</v>
      </c>
      <c r="O140">
        <v>0</v>
      </c>
    </row>
    <row r="141" spans="1:15">
      <c r="A141" t="s">
        <v>155</v>
      </c>
      <c r="B141">
        <v>26</v>
      </c>
      <c r="C141" t="s">
        <v>33</v>
      </c>
      <c r="D141">
        <v>406299</v>
      </c>
      <c r="E141" t="s">
        <v>25</v>
      </c>
      <c r="F141">
        <v>894</v>
      </c>
      <c r="G141">
        <v>306998</v>
      </c>
      <c r="H141">
        <v>14.9</v>
      </c>
      <c r="I141">
        <v>36</v>
      </c>
      <c r="J141">
        <v>71925</v>
      </c>
      <c r="K141" t="s">
        <v>23</v>
      </c>
      <c r="L141" t="s">
        <v>19</v>
      </c>
      <c r="M141" t="s">
        <v>20</v>
      </c>
      <c r="N141" t="s">
        <v>31</v>
      </c>
      <c r="O141">
        <v>0</v>
      </c>
    </row>
    <row r="142" spans="1:15">
      <c r="A142" t="s">
        <v>184</v>
      </c>
      <c r="B142">
        <v>26</v>
      </c>
      <c r="C142" t="s">
        <v>33</v>
      </c>
      <c r="D142">
        <v>407162</v>
      </c>
      <c r="E142" t="s">
        <v>17</v>
      </c>
      <c r="F142">
        <v>384</v>
      </c>
      <c r="G142">
        <v>307246</v>
      </c>
      <c r="H142">
        <v>8.7899999999999991</v>
      </c>
      <c r="I142">
        <v>36</v>
      </c>
      <c r="J142">
        <v>72465</v>
      </c>
      <c r="K142" t="s">
        <v>18</v>
      </c>
      <c r="L142" t="s">
        <v>34</v>
      </c>
      <c r="M142" t="s">
        <v>20</v>
      </c>
      <c r="N142" t="s">
        <v>31</v>
      </c>
      <c r="O142">
        <v>0</v>
      </c>
    </row>
    <row r="143" spans="1:15">
      <c r="A143" t="s">
        <v>203</v>
      </c>
      <c r="B143">
        <v>26</v>
      </c>
      <c r="C143" t="s">
        <v>33</v>
      </c>
      <c r="D143">
        <v>409469</v>
      </c>
      <c r="E143" t="s">
        <v>17</v>
      </c>
      <c r="F143">
        <v>881</v>
      </c>
      <c r="G143">
        <v>307493</v>
      </c>
      <c r="H143">
        <v>15.4</v>
      </c>
      <c r="I143">
        <v>36</v>
      </c>
      <c r="J143">
        <v>72625</v>
      </c>
      <c r="K143" t="s">
        <v>26</v>
      </c>
      <c r="L143" t="s">
        <v>34</v>
      </c>
      <c r="M143" t="s">
        <v>20</v>
      </c>
      <c r="N143" t="s">
        <v>21</v>
      </c>
      <c r="O143">
        <v>0</v>
      </c>
    </row>
    <row r="144" spans="1:15">
      <c r="A144" t="s">
        <v>306</v>
      </c>
      <c r="B144">
        <v>26</v>
      </c>
      <c r="C144" t="s">
        <v>33</v>
      </c>
      <c r="D144">
        <v>412193</v>
      </c>
      <c r="E144" t="s">
        <v>25</v>
      </c>
      <c r="F144">
        <v>593</v>
      </c>
      <c r="G144">
        <v>313935</v>
      </c>
      <c r="H144">
        <v>15.98</v>
      </c>
      <c r="I144">
        <v>48</v>
      </c>
      <c r="J144">
        <v>72718</v>
      </c>
      <c r="K144" t="s">
        <v>18</v>
      </c>
      <c r="L144" t="s">
        <v>19</v>
      </c>
      <c r="M144" t="s">
        <v>20</v>
      </c>
      <c r="N144" t="s">
        <v>21</v>
      </c>
      <c r="O144">
        <v>0</v>
      </c>
    </row>
    <row r="145" spans="1:15">
      <c r="A145" t="s">
        <v>351</v>
      </c>
      <c r="B145">
        <v>26</v>
      </c>
      <c r="C145" t="s">
        <v>33</v>
      </c>
      <c r="D145">
        <v>412404</v>
      </c>
      <c r="E145" t="s">
        <v>25</v>
      </c>
      <c r="F145">
        <v>464</v>
      </c>
      <c r="G145">
        <v>318763</v>
      </c>
      <c r="H145">
        <v>8.9499999999999993</v>
      </c>
      <c r="I145">
        <v>12</v>
      </c>
      <c r="J145">
        <v>73317</v>
      </c>
      <c r="K145" t="s">
        <v>18</v>
      </c>
      <c r="L145" t="s">
        <v>34</v>
      </c>
      <c r="M145" t="s">
        <v>20</v>
      </c>
      <c r="N145" t="s">
        <v>28</v>
      </c>
      <c r="O145">
        <v>1</v>
      </c>
    </row>
    <row r="146" spans="1:15">
      <c r="A146" t="s">
        <v>376</v>
      </c>
      <c r="B146">
        <v>26</v>
      </c>
      <c r="C146" t="s">
        <v>16</v>
      </c>
      <c r="D146">
        <v>415410</v>
      </c>
      <c r="E146" t="s">
        <v>17</v>
      </c>
      <c r="F146">
        <v>442</v>
      </c>
      <c r="G146">
        <v>320159</v>
      </c>
      <c r="H146">
        <v>9.61</v>
      </c>
      <c r="I146">
        <v>36</v>
      </c>
      <c r="J146">
        <v>73402</v>
      </c>
      <c r="K146" t="s">
        <v>11</v>
      </c>
      <c r="L146" t="s">
        <v>19</v>
      </c>
      <c r="M146" t="s">
        <v>27</v>
      </c>
      <c r="N146" t="s">
        <v>21</v>
      </c>
      <c r="O146">
        <v>0</v>
      </c>
    </row>
    <row r="147" spans="1:15">
      <c r="A147" t="s">
        <v>406</v>
      </c>
      <c r="B147">
        <v>26</v>
      </c>
      <c r="C147" t="s">
        <v>16</v>
      </c>
      <c r="D147">
        <v>420343</v>
      </c>
      <c r="E147" t="s">
        <v>17</v>
      </c>
      <c r="F147">
        <v>840</v>
      </c>
      <c r="G147">
        <v>322974</v>
      </c>
      <c r="H147">
        <v>10.61</v>
      </c>
      <c r="I147">
        <v>60</v>
      </c>
      <c r="J147">
        <v>74075</v>
      </c>
      <c r="K147" t="s">
        <v>18</v>
      </c>
      <c r="L147" t="s">
        <v>19</v>
      </c>
      <c r="M147" t="s">
        <v>27</v>
      </c>
      <c r="N147" t="s">
        <v>31</v>
      </c>
      <c r="O147">
        <v>0</v>
      </c>
    </row>
    <row r="148" spans="1:15">
      <c r="A148" t="s">
        <v>410</v>
      </c>
      <c r="B148">
        <v>26</v>
      </c>
      <c r="C148" t="s">
        <v>16</v>
      </c>
      <c r="D148">
        <v>420874</v>
      </c>
      <c r="E148" t="s">
        <v>25</v>
      </c>
      <c r="F148">
        <v>876</v>
      </c>
      <c r="G148">
        <v>325449</v>
      </c>
      <c r="H148">
        <v>9.61</v>
      </c>
      <c r="I148">
        <v>12</v>
      </c>
      <c r="J148">
        <v>74650</v>
      </c>
      <c r="K148" t="s">
        <v>26</v>
      </c>
      <c r="L148" t="s">
        <v>19</v>
      </c>
      <c r="M148" t="s">
        <v>20</v>
      </c>
      <c r="N148" t="s">
        <v>31</v>
      </c>
      <c r="O148">
        <v>0</v>
      </c>
    </row>
    <row r="149" spans="1:15">
      <c r="A149" t="s">
        <v>506</v>
      </c>
      <c r="B149">
        <v>26</v>
      </c>
      <c r="C149" t="s">
        <v>33</v>
      </c>
      <c r="D149">
        <v>422687</v>
      </c>
      <c r="E149" t="s">
        <v>17</v>
      </c>
      <c r="F149">
        <v>540</v>
      </c>
      <c r="G149">
        <v>325646</v>
      </c>
      <c r="H149">
        <v>9.56</v>
      </c>
      <c r="I149">
        <v>12</v>
      </c>
      <c r="J149">
        <v>74916</v>
      </c>
      <c r="K149" t="s">
        <v>23</v>
      </c>
      <c r="L149" t="s">
        <v>34</v>
      </c>
      <c r="M149" t="s">
        <v>20</v>
      </c>
      <c r="N149" t="s">
        <v>28</v>
      </c>
      <c r="O149">
        <v>0</v>
      </c>
    </row>
    <row r="150" spans="1:15">
      <c r="A150" t="s">
        <v>509</v>
      </c>
      <c r="B150">
        <v>26</v>
      </c>
      <c r="C150" t="s">
        <v>33</v>
      </c>
      <c r="D150">
        <v>424250</v>
      </c>
      <c r="E150" t="s">
        <v>25</v>
      </c>
      <c r="F150">
        <v>423</v>
      </c>
      <c r="G150">
        <v>327907</v>
      </c>
      <c r="H150">
        <v>10.220000000000001</v>
      </c>
      <c r="I150">
        <v>36</v>
      </c>
      <c r="J150">
        <v>74964</v>
      </c>
      <c r="K150" t="s">
        <v>11</v>
      </c>
      <c r="L150" t="s">
        <v>34</v>
      </c>
      <c r="M150" t="s">
        <v>20</v>
      </c>
      <c r="N150" t="s">
        <v>31</v>
      </c>
      <c r="O150">
        <v>0</v>
      </c>
    </row>
    <row r="151" spans="1:15">
      <c r="A151" t="s">
        <v>521</v>
      </c>
      <c r="B151">
        <v>26</v>
      </c>
      <c r="C151" t="s">
        <v>33</v>
      </c>
      <c r="D151">
        <v>425499</v>
      </c>
      <c r="E151" t="s">
        <v>17</v>
      </c>
      <c r="F151">
        <v>885</v>
      </c>
      <c r="G151">
        <v>331897</v>
      </c>
      <c r="H151">
        <v>10.38</v>
      </c>
      <c r="I151">
        <v>24</v>
      </c>
      <c r="J151">
        <v>75492</v>
      </c>
      <c r="K151" t="s">
        <v>11</v>
      </c>
      <c r="L151" t="s">
        <v>19</v>
      </c>
      <c r="M151" t="s">
        <v>20</v>
      </c>
      <c r="N151" t="s">
        <v>21</v>
      </c>
      <c r="O151">
        <v>1</v>
      </c>
    </row>
    <row r="152" spans="1:15">
      <c r="A152" t="s">
        <v>555</v>
      </c>
      <c r="B152">
        <v>26</v>
      </c>
      <c r="C152" t="s">
        <v>16</v>
      </c>
      <c r="D152">
        <v>427256</v>
      </c>
      <c r="E152" t="s">
        <v>25</v>
      </c>
      <c r="F152">
        <v>413</v>
      </c>
      <c r="G152">
        <v>332612</v>
      </c>
      <c r="H152">
        <v>9.39</v>
      </c>
      <c r="I152">
        <v>60</v>
      </c>
      <c r="J152">
        <v>76182</v>
      </c>
      <c r="K152" t="s">
        <v>23</v>
      </c>
      <c r="L152" t="s">
        <v>19</v>
      </c>
      <c r="M152" t="s">
        <v>20</v>
      </c>
      <c r="N152" t="s">
        <v>31</v>
      </c>
      <c r="O152">
        <v>0</v>
      </c>
    </row>
    <row r="153" spans="1:15">
      <c r="A153" t="s">
        <v>585</v>
      </c>
      <c r="B153">
        <v>26</v>
      </c>
      <c r="C153" t="s">
        <v>16</v>
      </c>
      <c r="D153">
        <v>428961</v>
      </c>
      <c r="E153" t="s">
        <v>17</v>
      </c>
      <c r="F153">
        <v>789</v>
      </c>
      <c r="G153">
        <v>333232</v>
      </c>
      <c r="H153">
        <v>14.66</v>
      </c>
      <c r="I153">
        <v>12</v>
      </c>
      <c r="J153">
        <v>76911</v>
      </c>
      <c r="K153" t="s">
        <v>23</v>
      </c>
      <c r="L153" t="s">
        <v>34</v>
      </c>
      <c r="M153" t="s">
        <v>27</v>
      </c>
      <c r="N153" t="s">
        <v>31</v>
      </c>
      <c r="O153">
        <v>1</v>
      </c>
    </row>
    <row r="154" spans="1:15">
      <c r="A154" t="s">
        <v>604</v>
      </c>
      <c r="B154">
        <v>26</v>
      </c>
      <c r="C154" t="s">
        <v>33</v>
      </c>
      <c r="D154">
        <v>429662</v>
      </c>
      <c r="E154" t="s">
        <v>17</v>
      </c>
      <c r="F154">
        <v>826</v>
      </c>
      <c r="G154">
        <v>333316</v>
      </c>
      <c r="H154">
        <v>11.07</v>
      </c>
      <c r="I154">
        <v>24</v>
      </c>
      <c r="J154">
        <v>78061</v>
      </c>
      <c r="K154" t="s">
        <v>30</v>
      </c>
      <c r="L154" t="s">
        <v>34</v>
      </c>
      <c r="M154" t="s">
        <v>27</v>
      </c>
      <c r="N154" t="s">
        <v>31</v>
      </c>
      <c r="O154">
        <v>0</v>
      </c>
    </row>
    <row r="155" spans="1:15">
      <c r="A155" t="s">
        <v>644</v>
      </c>
      <c r="B155">
        <v>26</v>
      </c>
      <c r="C155" t="s">
        <v>33</v>
      </c>
      <c r="D155">
        <v>429662</v>
      </c>
      <c r="E155" t="s">
        <v>17</v>
      </c>
      <c r="F155">
        <v>814</v>
      </c>
      <c r="G155">
        <v>339501</v>
      </c>
      <c r="H155">
        <v>9.7100000000000009</v>
      </c>
      <c r="I155">
        <v>60</v>
      </c>
      <c r="J155">
        <v>78463</v>
      </c>
      <c r="K155" t="s">
        <v>18</v>
      </c>
      <c r="L155" t="s">
        <v>34</v>
      </c>
      <c r="M155" t="s">
        <v>20</v>
      </c>
      <c r="N155" t="s">
        <v>21</v>
      </c>
      <c r="O155">
        <v>0</v>
      </c>
    </row>
    <row r="156" spans="1:15">
      <c r="A156" t="s">
        <v>667</v>
      </c>
      <c r="B156">
        <v>26</v>
      </c>
      <c r="C156" t="s">
        <v>16</v>
      </c>
      <c r="D156">
        <v>429748</v>
      </c>
      <c r="E156" t="s">
        <v>17</v>
      </c>
      <c r="F156">
        <v>878</v>
      </c>
      <c r="G156">
        <v>340747</v>
      </c>
      <c r="H156">
        <v>11.97</v>
      </c>
      <c r="I156">
        <v>60</v>
      </c>
      <c r="J156">
        <v>78530</v>
      </c>
      <c r="K156" t="s">
        <v>23</v>
      </c>
      <c r="L156" t="s">
        <v>19</v>
      </c>
      <c r="M156" t="s">
        <v>20</v>
      </c>
      <c r="N156" t="s">
        <v>21</v>
      </c>
      <c r="O156">
        <v>0</v>
      </c>
    </row>
    <row r="157" spans="1:15">
      <c r="A157" t="s">
        <v>685</v>
      </c>
      <c r="B157">
        <v>26</v>
      </c>
      <c r="C157" t="s">
        <v>33</v>
      </c>
      <c r="D157">
        <v>431109</v>
      </c>
      <c r="E157" t="s">
        <v>17</v>
      </c>
      <c r="F157">
        <v>300</v>
      </c>
      <c r="G157">
        <v>345862</v>
      </c>
      <c r="H157">
        <v>7.71</v>
      </c>
      <c r="I157">
        <v>24</v>
      </c>
      <c r="J157">
        <v>78564</v>
      </c>
      <c r="K157" t="s">
        <v>23</v>
      </c>
      <c r="L157" t="s">
        <v>19</v>
      </c>
      <c r="M157" t="s">
        <v>20</v>
      </c>
      <c r="N157" t="s">
        <v>21</v>
      </c>
      <c r="O157">
        <v>1</v>
      </c>
    </row>
    <row r="158" spans="1:15">
      <c r="A158" t="s">
        <v>728</v>
      </c>
      <c r="B158">
        <v>26</v>
      </c>
      <c r="C158" t="s">
        <v>16</v>
      </c>
      <c r="D158">
        <v>431241</v>
      </c>
      <c r="E158" t="s">
        <v>25</v>
      </c>
      <c r="F158">
        <v>809</v>
      </c>
      <c r="G158">
        <v>346920</v>
      </c>
      <c r="H158">
        <v>9.8800000000000008</v>
      </c>
      <c r="I158">
        <v>12</v>
      </c>
      <c r="J158">
        <v>79137</v>
      </c>
      <c r="K158" t="s">
        <v>26</v>
      </c>
      <c r="L158" t="s">
        <v>19</v>
      </c>
      <c r="M158" t="s">
        <v>20</v>
      </c>
      <c r="N158" t="s">
        <v>28</v>
      </c>
      <c r="O158">
        <v>0</v>
      </c>
    </row>
    <row r="159" spans="1:15">
      <c r="A159" t="s">
        <v>749</v>
      </c>
      <c r="B159">
        <v>26</v>
      </c>
      <c r="C159" t="s">
        <v>33</v>
      </c>
      <c r="D159">
        <v>431288</v>
      </c>
      <c r="E159" t="s">
        <v>17</v>
      </c>
      <c r="F159">
        <v>587</v>
      </c>
      <c r="G159">
        <v>347645</v>
      </c>
      <c r="H159">
        <v>7.69</v>
      </c>
      <c r="I159">
        <v>60</v>
      </c>
      <c r="J159">
        <v>81002</v>
      </c>
      <c r="K159" t="s">
        <v>23</v>
      </c>
      <c r="L159" t="s">
        <v>34</v>
      </c>
      <c r="M159" t="s">
        <v>27</v>
      </c>
      <c r="N159" t="s">
        <v>31</v>
      </c>
      <c r="O159">
        <v>0</v>
      </c>
    </row>
    <row r="160" spans="1:15">
      <c r="A160" t="s">
        <v>751</v>
      </c>
      <c r="B160">
        <v>26</v>
      </c>
      <c r="C160" t="s">
        <v>16</v>
      </c>
      <c r="D160">
        <v>431819</v>
      </c>
      <c r="E160" t="s">
        <v>17</v>
      </c>
      <c r="F160">
        <v>398</v>
      </c>
      <c r="G160">
        <v>348234</v>
      </c>
      <c r="H160">
        <v>10.02</v>
      </c>
      <c r="I160">
        <v>60</v>
      </c>
      <c r="J160">
        <v>81240</v>
      </c>
      <c r="K160" t="s">
        <v>23</v>
      </c>
      <c r="L160" t="s">
        <v>19</v>
      </c>
      <c r="M160" t="s">
        <v>27</v>
      </c>
      <c r="N160" t="s">
        <v>28</v>
      </c>
      <c r="O160">
        <v>0</v>
      </c>
    </row>
    <row r="161" spans="1:15">
      <c r="A161" t="s">
        <v>755</v>
      </c>
      <c r="B161">
        <v>26</v>
      </c>
      <c r="C161" t="s">
        <v>16</v>
      </c>
      <c r="D161">
        <v>431931</v>
      </c>
      <c r="E161" t="s">
        <v>25</v>
      </c>
      <c r="F161">
        <v>780</v>
      </c>
      <c r="G161">
        <v>354593</v>
      </c>
      <c r="H161">
        <v>11.29</v>
      </c>
      <c r="I161">
        <v>12</v>
      </c>
      <c r="J161">
        <v>82239</v>
      </c>
      <c r="K161" t="s">
        <v>26</v>
      </c>
      <c r="L161" t="s">
        <v>34</v>
      </c>
      <c r="M161" t="s">
        <v>27</v>
      </c>
      <c r="N161" t="s">
        <v>21</v>
      </c>
      <c r="O161">
        <v>0</v>
      </c>
    </row>
    <row r="162" spans="1:15">
      <c r="A162" t="s">
        <v>888</v>
      </c>
      <c r="B162">
        <v>26</v>
      </c>
      <c r="C162" t="s">
        <v>33</v>
      </c>
      <c r="D162">
        <v>435220</v>
      </c>
      <c r="E162" t="s">
        <v>25</v>
      </c>
      <c r="F162">
        <v>521</v>
      </c>
      <c r="G162">
        <v>356150</v>
      </c>
      <c r="H162">
        <v>12.38</v>
      </c>
      <c r="I162">
        <v>12</v>
      </c>
      <c r="J162">
        <v>82503</v>
      </c>
      <c r="K162" t="s">
        <v>23</v>
      </c>
      <c r="L162" t="s">
        <v>34</v>
      </c>
      <c r="M162" t="s">
        <v>27</v>
      </c>
      <c r="N162" t="s">
        <v>31</v>
      </c>
      <c r="O162">
        <v>0</v>
      </c>
    </row>
    <row r="163" spans="1:15">
      <c r="A163" t="s">
        <v>889</v>
      </c>
      <c r="B163">
        <v>26</v>
      </c>
      <c r="C163" t="s">
        <v>16</v>
      </c>
      <c r="D163">
        <v>435370</v>
      </c>
      <c r="E163" t="s">
        <v>25</v>
      </c>
      <c r="F163">
        <v>612</v>
      </c>
      <c r="G163">
        <v>358204</v>
      </c>
      <c r="H163">
        <v>13.17</v>
      </c>
      <c r="I163">
        <v>36</v>
      </c>
      <c r="J163">
        <v>84348</v>
      </c>
      <c r="K163" t="s">
        <v>30</v>
      </c>
      <c r="L163" t="s">
        <v>19</v>
      </c>
      <c r="M163" t="s">
        <v>20</v>
      </c>
      <c r="N163" t="s">
        <v>31</v>
      </c>
      <c r="O163">
        <v>0</v>
      </c>
    </row>
    <row r="164" spans="1:15">
      <c r="A164" t="s">
        <v>961</v>
      </c>
      <c r="B164">
        <v>26</v>
      </c>
      <c r="C164" t="s">
        <v>16</v>
      </c>
      <c r="D164">
        <v>436211</v>
      </c>
      <c r="E164" t="s">
        <v>17</v>
      </c>
      <c r="F164">
        <v>606</v>
      </c>
      <c r="G164">
        <v>360193</v>
      </c>
      <c r="H164">
        <v>8.01</v>
      </c>
      <c r="I164">
        <v>12</v>
      </c>
      <c r="J164">
        <v>84646</v>
      </c>
      <c r="K164" t="s">
        <v>30</v>
      </c>
      <c r="L164" t="s">
        <v>19</v>
      </c>
      <c r="M164" t="s">
        <v>27</v>
      </c>
      <c r="N164" t="s">
        <v>21</v>
      </c>
      <c r="O164">
        <v>0</v>
      </c>
    </row>
    <row r="165" spans="1:15">
      <c r="A165" t="s">
        <v>966</v>
      </c>
      <c r="B165">
        <v>26</v>
      </c>
      <c r="C165" t="s">
        <v>33</v>
      </c>
      <c r="D165">
        <v>437281</v>
      </c>
      <c r="E165" t="s">
        <v>17</v>
      </c>
      <c r="F165">
        <v>662</v>
      </c>
      <c r="G165">
        <v>361967</v>
      </c>
      <c r="H165">
        <v>7.95</v>
      </c>
      <c r="I165">
        <v>60</v>
      </c>
      <c r="J165">
        <v>84883</v>
      </c>
      <c r="K165" t="s">
        <v>30</v>
      </c>
      <c r="L165" t="s">
        <v>19</v>
      </c>
      <c r="M165" t="s">
        <v>27</v>
      </c>
      <c r="N165" t="s">
        <v>31</v>
      </c>
      <c r="O165">
        <v>0</v>
      </c>
    </row>
    <row r="166" spans="1:15">
      <c r="A166" t="s">
        <v>987</v>
      </c>
      <c r="B166">
        <v>26</v>
      </c>
      <c r="C166" t="s">
        <v>16</v>
      </c>
      <c r="D166">
        <v>437343</v>
      </c>
      <c r="E166" t="s">
        <v>17</v>
      </c>
      <c r="F166">
        <v>618</v>
      </c>
      <c r="G166">
        <v>363631</v>
      </c>
      <c r="H166">
        <v>11.98</v>
      </c>
      <c r="I166">
        <v>24</v>
      </c>
      <c r="J166">
        <v>85077</v>
      </c>
      <c r="K166" t="s">
        <v>23</v>
      </c>
      <c r="L166" t="s">
        <v>34</v>
      </c>
      <c r="M166" t="s">
        <v>27</v>
      </c>
      <c r="N166" t="s">
        <v>21</v>
      </c>
      <c r="O166">
        <v>0</v>
      </c>
    </row>
    <row r="167" spans="1:15">
      <c r="A167" t="s">
        <v>1023</v>
      </c>
      <c r="B167">
        <v>26</v>
      </c>
      <c r="C167" t="s">
        <v>33</v>
      </c>
      <c r="D167">
        <v>438031</v>
      </c>
      <c r="E167" t="s">
        <v>17</v>
      </c>
      <c r="F167">
        <v>638</v>
      </c>
      <c r="G167">
        <v>365689</v>
      </c>
      <c r="H167">
        <v>12.95</v>
      </c>
      <c r="I167">
        <v>24</v>
      </c>
      <c r="J167">
        <v>85744</v>
      </c>
      <c r="K167" t="s">
        <v>30</v>
      </c>
      <c r="L167" t="s">
        <v>34</v>
      </c>
      <c r="M167" t="s">
        <v>27</v>
      </c>
      <c r="N167" t="s">
        <v>21</v>
      </c>
      <c r="O167">
        <v>0</v>
      </c>
    </row>
    <row r="168" spans="1:15">
      <c r="A168" t="s">
        <v>47</v>
      </c>
      <c r="B168">
        <v>27</v>
      </c>
      <c r="C168" t="s">
        <v>33</v>
      </c>
      <c r="D168">
        <v>440161</v>
      </c>
      <c r="E168" t="s">
        <v>25</v>
      </c>
      <c r="F168">
        <v>499</v>
      </c>
      <c r="G168">
        <v>367853</v>
      </c>
      <c r="H168">
        <v>15.94</v>
      </c>
      <c r="I168">
        <v>36</v>
      </c>
      <c r="J168">
        <v>86775</v>
      </c>
      <c r="K168" t="s">
        <v>18</v>
      </c>
      <c r="L168" t="s">
        <v>19</v>
      </c>
      <c r="M168" t="s">
        <v>20</v>
      </c>
      <c r="N168" t="s">
        <v>28</v>
      </c>
      <c r="O168">
        <v>0</v>
      </c>
    </row>
    <row r="169" spans="1:15">
      <c r="A169" t="s">
        <v>81</v>
      </c>
      <c r="B169">
        <v>27</v>
      </c>
      <c r="C169" t="s">
        <v>33</v>
      </c>
      <c r="D169">
        <v>441142</v>
      </c>
      <c r="E169" t="s">
        <v>17</v>
      </c>
      <c r="F169">
        <v>529</v>
      </c>
      <c r="G169">
        <v>368137</v>
      </c>
      <c r="H169">
        <v>8.58</v>
      </c>
      <c r="I169">
        <v>12</v>
      </c>
      <c r="J169">
        <v>87114</v>
      </c>
      <c r="K169" t="s">
        <v>23</v>
      </c>
      <c r="L169" t="s">
        <v>19</v>
      </c>
      <c r="M169" t="s">
        <v>27</v>
      </c>
      <c r="N169" t="s">
        <v>31</v>
      </c>
      <c r="O169">
        <v>0</v>
      </c>
    </row>
    <row r="170" spans="1:15">
      <c r="A170" t="s">
        <v>170</v>
      </c>
      <c r="B170">
        <v>27</v>
      </c>
      <c r="C170" t="s">
        <v>33</v>
      </c>
      <c r="D170">
        <v>441255</v>
      </c>
      <c r="E170" t="s">
        <v>17</v>
      </c>
      <c r="F170">
        <v>400</v>
      </c>
      <c r="G170">
        <v>369882</v>
      </c>
      <c r="H170">
        <v>10.5</v>
      </c>
      <c r="I170">
        <v>24</v>
      </c>
      <c r="J170">
        <v>88102</v>
      </c>
      <c r="K170" t="s">
        <v>23</v>
      </c>
      <c r="L170" t="s">
        <v>19</v>
      </c>
      <c r="M170" t="s">
        <v>27</v>
      </c>
      <c r="N170" t="s">
        <v>31</v>
      </c>
      <c r="O170">
        <v>0</v>
      </c>
    </row>
    <row r="171" spans="1:15">
      <c r="A171" t="s">
        <v>187</v>
      </c>
      <c r="B171">
        <v>27</v>
      </c>
      <c r="C171" t="s">
        <v>33</v>
      </c>
      <c r="D171">
        <v>441972</v>
      </c>
      <c r="E171" t="s">
        <v>25</v>
      </c>
      <c r="F171">
        <v>894</v>
      </c>
      <c r="G171">
        <v>370425</v>
      </c>
      <c r="H171">
        <v>15.14</v>
      </c>
      <c r="I171">
        <v>60</v>
      </c>
      <c r="J171">
        <v>89801</v>
      </c>
      <c r="K171" t="s">
        <v>18</v>
      </c>
      <c r="L171" t="s">
        <v>19</v>
      </c>
      <c r="M171" t="s">
        <v>27</v>
      </c>
      <c r="N171" t="s">
        <v>21</v>
      </c>
      <c r="O171">
        <v>0</v>
      </c>
    </row>
    <row r="172" spans="1:15">
      <c r="A172" t="s">
        <v>249</v>
      </c>
      <c r="B172">
        <v>27</v>
      </c>
      <c r="C172" t="s">
        <v>16</v>
      </c>
      <c r="D172">
        <v>442824</v>
      </c>
      <c r="E172" t="s">
        <v>25</v>
      </c>
      <c r="F172">
        <v>524</v>
      </c>
      <c r="G172">
        <v>370731</v>
      </c>
      <c r="H172">
        <v>16.13</v>
      </c>
      <c r="I172">
        <v>12</v>
      </c>
      <c r="J172">
        <v>89954</v>
      </c>
      <c r="K172" t="s">
        <v>18</v>
      </c>
      <c r="L172" t="s">
        <v>34</v>
      </c>
      <c r="M172" t="s">
        <v>20</v>
      </c>
      <c r="N172" t="s">
        <v>21</v>
      </c>
      <c r="O172">
        <v>0</v>
      </c>
    </row>
    <row r="173" spans="1:15">
      <c r="A173" t="s">
        <v>307</v>
      </c>
      <c r="B173">
        <v>27</v>
      </c>
      <c r="C173" t="s">
        <v>33</v>
      </c>
      <c r="D173">
        <v>443683</v>
      </c>
      <c r="E173" t="s">
        <v>17</v>
      </c>
      <c r="F173">
        <v>452</v>
      </c>
      <c r="G173">
        <v>371126</v>
      </c>
      <c r="H173">
        <v>11.9</v>
      </c>
      <c r="I173">
        <v>12</v>
      </c>
      <c r="J173">
        <v>91255</v>
      </c>
      <c r="K173" t="s">
        <v>23</v>
      </c>
      <c r="L173" t="s">
        <v>19</v>
      </c>
      <c r="M173" t="s">
        <v>27</v>
      </c>
      <c r="N173" t="s">
        <v>28</v>
      </c>
      <c r="O173">
        <v>0</v>
      </c>
    </row>
    <row r="174" spans="1:15">
      <c r="A174" t="s">
        <v>310</v>
      </c>
      <c r="B174">
        <v>27</v>
      </c>
      <c r="C174" t="s">
        <v>33</v>
      </c>
      <c r="D174">
        <v>445081</v>
      </c>
      <c r="E174" t="s">
        <v>25</v>
      </c>
      <c r="F174">
        <v>838</v>
      </c>
      <c r="G174">
        <v>371441</v>
      </c>
      <c r="H174">
        <v>11.94</v>
      </c>
      <c r="I174">
        <v>24</v>
      </c>
      <c r="J174">
        <v>91329</v>
      </c>
      <c r="K174" t="s">
        <v>30</v>
      </c>
      <c r="L174" t="s">
        <v>19</v>
      </c>
      <c r="M174" t="s">
        <v>27</v>
      </c>
      <c r="N174" t="s">
        <v>28</v>
      </c>
      <c r="O174">
        <v>1</v>
      </c>
    </row>
    <row r="175" spans="1:15">
      <c r="A175" t="s">
        <v>338</v>
      </c>
      <c r="B175">
        <v>27</v>
      </c>
      <c r="C175" t="s">
        <v>16</v>
      </c>
      <c r="D175">
        <v>446815</v>
      </c>
      <c r="E175" t="s">
        <v>25</v>
      </c>
      <c r="F175">
        <v>330</v>
      </c>
      <c r="G175">
        <v>379360</v>
      </c>
      <c r="H175">
        <v>14.76</v>
      </c>
      <c r="I175">
        <v>24</v>
      </c>
      <c r="J175">
        <v>92177</v>
      </c>
      <c r="K175" t="s">
        <v>23</v>
      </c>
      <c r="L175" t="s">
        <v>34</v>
      </c>
      <c r="M175" t="s">
        <v>27</v>
      </c>
      <c r="N175" t="s">
        <v>31</v>
      </c>
      <c r="O175">
        <v>0</v>
      </c>
    </row>
    <row r="176" spans="1:15">
      <c r="A176" t="s">
        <v>364</v>
      </c>
      <c r="B176">
        <v>27</v>
      </c>
      <c r="C176" t="s">
        <v>16</v>
      </c>
      <c r="D176">
        <v>448221</v>
      </c>
      <c r="E176" t="s">
        <v>25</v>
      </c>
      <c r="F176">
        <v>767</v>
      </c>
      <c r="G176">
        <v>385845</v>
      </c>
      <c r="H176">
        <v>15.16</v>
      </c>
      <c r="I176">
        <v>12</v>
      </c>
      <c r="J176">
        <v>92252</v>
      </c>
      <c r="K176" t="s">
        <v>26</v>
      </c>
      <c r="L176" t="s">
        <v>19</v>
      </c>
      <c r="M176" t="s">
        <v>27</v>
      </c>
      <c r="N176" t="s">
        <v>21</v>
      </c>
      <c r="O176">
        <v>0</v>
      </c>
    </row>
    <row r="177" spans="1:15">
      <c r="A177" t="s">
        <v>405</v>
      </c>
      <c r="B177">
        <v>27</v>
      </c>
      <c r="C177" t="s">
        <v>16</v>
      </c>
      <c r="D177">
        <v>448428</v>
      </c>
      <c r="E177" t="s">
        <v>25</v>
      </c>
      <c r="F177">
        <v>702</v>
      </c>
      <c r="G177">
        <v>386057</v>
      </c>
      <c r="H177">
        <v>16</v>
      </c>
      <c r="I177">
        <v>48</v>
      </c>
      <c r="J177">
        <v>92953</v>
      </c>
      <c r="K177" t="s">
        <v>26</v>
      </c>
      <c r="L177" t="s">
        <v>34</v>
      </c>
      <c r="M177" t="s">
        <v>20</v>
      </c>
      <c r="N177" t="s">
        <v>28</v>
      </c>
      <c r="O177">
        <v>0</v>
      </c>
    </row>
    <row r="178" spans="1:15">
      <c r="A178" t="s">
        <v>417</v>
      </c>
      <c r="B178">
        <v>27</v>
      </c>
      <c r="C178" t="s">
        <v>33</v>
      </c>
      <c r="D178">
        <v>450450</v>
      </c>
      <c r="E178" t="s">
        <v>25</v>
      </c>
      <c r="F178">
        <v>525</v>
      </c>
      <c r="G178">
        <v>396298</v>
      </c>
      <c r="H178">
        <v>12.01</v>
      </c>
      <c r="I178">
        <v>12</v>
      </c>
      <c r="J178">
        <v>93821</v>
      </c>
      <c r="K178" t="s">
        <v>18</v>
      </c>
      <c r="L178" t="s">
        <v>19</v>
      </c>
      <c r="M178" t="s">
        <v>20</v>
      </c>
      <c r="N178" t="s">
        <v>31</v>
      </c>
      <c r="O178">
        <v>0</v>
      </c>
    </row>
    <row r="179" spans="1:15">
      <c r="A179" t="s">
        <v>455</v>
      </c>
      <c r="B179">
        <v>27</v>
      </c>
      <c r="C179" t="s">
        <v>16</v>
      </c>
      <c r="D179">
        <v>452361</v>
      </c>
      <c r="E179" t="s">
        <v>25</v>
      </c>
      <c r="F179">
        <v>398</v>
      </c>
      <c r="G179">
        <v>398887</v>
      </c>
      <c r="H179">
        <v>12.58</v>
      </c>
      <c r="I179">
        <v>24</v>
      </c>
      <c r="J179">
        <v>94513</v>
      </c>
      <c r="K179" t="s">
        <v>26</v>
      </c>
      <c r="L179" t="s">
        <v>19</v>
      </c>
      <c r="M179" t="s">
        <v>27</v>
      </c>
      <c r="N179" t="s">
        <v>31</v>
      </c>
      <c r="O179">
        <v>0</v>
      </c>
    </row>
    <row r="180" spans="1:15">
      <c r="A180" t="s">
        <v>504</v>
      </c>
      <c r="B180">
        <v>27</v>
      </c>
      <c r="C180" t="s">
        <v>16</v>
      </c>
      <c r="D180">
        <v>453126</v>
      </c>
      <c r="E180" t="s">
        <v>17</v>
      </c>
      <c r="F180">
        <v>634</v>
      </c>
      <c r="G180">
        <v>399016</v>
      </c>
      <c r="H180">
        <v>13.58</v>
      </c>
      <c r="I180">
        <v>36</v>
      </c>
      <c r="J180">
        <v>95042</v>
      </c>
      <c r="K180" t="s">
        <v>26</v>
      </c>
      <c r="L180" t="s">
        <v>19</v>
      </c>
      <c r="M180" t="s">
        <v>27</v>
      </c>
      <c r="N180" t="s">
        <v>31</v>
      </c>
      <c r="O180">
        <v>0</v>
      </c>
    </row>
    <row r="181" spans="1:15">
      <c r="A181" t="s">
        <v>515</v>
      </c>
      <c r="B181">
        <v>27</v>
      </c>
      <c r="C181" t="s">
        <v>16</v>
      </c>
      <c r="D181">
        <v>454499</v>
      </c>
      <c r="E181" t="s">
        <v>17</v>
      </c>
      <c r="F181">
        <v>543</v>
      </c>
      <c r="G181">
        <v>399036</v>
      </c>
      <c r="H181">
        <v>8.75</v>
      </c>
      <c r="I181">
        <v>24</v>
      </c>
      <c r="J181">
        <v>95903</v>
      </c>
      <c r="K181" t="s">
        <v>26</v>
      </c>
      <c r="L181" t="s">
        <v>34</v>
      </c>
      <c r="M181" t="s">
        <v>20</v>
      </c>
      <c r="N181" t="s">
        <v>28</v>
      </c>
      <c r="O181">
        <v>0</v>
      </c>
    </row>
    <row r="182" spans="1:15">
      <c r="A182" t="s">
        <v>518</v>
      </c>
      <c r="B182">
        <v>27</v>
      </c>
      <c r="C182" t="s">
        <v>16</v>
      </c>
      <c r="D182">
        <v>457214</v>
      </c>
      <c r="E182" t="s">
        <v>17</v>
      </c>
      <c r="F182">
        <v>731</v>
      </c>
      <c r="G182">
        <v>399880</v>
      </c>
      <c r="H182">
        <v>10.83</v>
      </c>
      <c r="I182">
        <v>12</v>
      </c>
      <c r="J182">
        <v>95954</v>
      </c>
      <c r="K182" t="s">
        <v>11</v>
      </c>
      <c r="L182" t="s">
        <v>19</v>
      </c>
      <c r="M182" t="s">
        <v>20</v>
      </c>
      <c r="N182" t="s">
        <v>28</v>
      </c>
      <c r="O182">
        <v>0</v>
      </c>
    </row>
    <row r="183" spans="1:15">
      <c r="A183" t="s">
        <v>524</v>
      </c>
      <c r="B183">
        <v>27</v>
      </c>
      <c r="C183" t="s">
        <v>16</v>
      </c>
      <c r="D183">
        <v>457549</v>
      </c>
      <c r="E183" t="s">
        <v>17</v>
      </c>
      <c r="F183">
        <v>754</v>
      </c>
      <c r="G183">
        <v>401455</v>
      </c>
      <c r="H183">
        <v>15.02</v>
      </c>
      <c r="I183">
        <v>24</v>
      </c>
      <c r="J183">
        <v>95989</v>
      </c>
      <c r="K183" t="s">
        <v>30</v>
      </c>
      <c r="L183" t="s">
        <v>19</v>
      </c>
      <c r="M183" t="s">
        <v>27</v>
      </c>
      <c r="N183" t="s">
        <v>21</v>
      </c>
      <c r="O183">
        <v>0</v>
      </c>
    </row>
    <row r="184" spans="1:15">
      <c r="A184" t="s">
        <v>577</v>
      </c>
      <c r="B184">
        <v>27</v>
      </c>
      <c r="C184" t="s">
        <v>33</v>
      </c>
      <c r="D184">
        <v>457579</v>
      </c>
      <c r="E184" t="s">
        <v>17</v>
      </c>
      <c r="F184">
        <v>548</v>
      </c>
      <c r="G184">
        <v>405555</v>
      </c>
      <c r="H184">
        <v>11.16</v>
      </c>
      <c r="I184">
        <v>60</v>
      </c>
      <c r="J184">
        <v>96041</v>
      </c>
      <c r="K184" t="s">
        <v>26</v>
      </c>
      <c r="L184" t="s">
        <v>19</v>
      </c>
      <c r="M184" t="s">
        <v>20</v>
      </c>
      <c r="N184" t="s">
        <v>31</v>
      </c>
      <c r="O184">
        <v>1</v>
      </c>
    </row>
    <row r="185" spans="1:15">
      <c r="A185" t="s">
        <v>578</v>
      </c>
      <c r="B185">
        <v>27</v>
      </c>
      <c r="C185" t="s">
        <v>33</v>
      </c>
      <c r="D185">
        <v>458733</v>
      </c>
      <c r="E185" t="s">
        <v>25</v>
      </c>
      <c r="F185">
        <v>324</v>
      </c>
      <c r="G185">
        <v>407828</v>
      </c>
      <c r="H185">
        <v>9.36</v>
      </c>
      <c r="I185">
        <v>48</v>
      </c>
      <c r="J185">
        <v>96367</v>
      </c>
      <c r="K185" t="s">
        <v>18</v>
      </c>
      <c r="L185" t="s">
        <v>34</v>
      </c>
      <c r="M185" t="s">
        <v>20</v>
      </c>
      <c r="N185" t="s">
        <v>21</v>
      </c>
      <c r="O185">
        <v>1</v>
      </c>
    </row>
    <row r="186" spans="1:15">
      <c r="A186" t="s">
        <v>599</v>
      </c>
      <c r="B186">
        <v>27</v>
      </c>
      <c r="C186" t="s">
        <v>16</v>
      </c>
      <c r="D186">
        <v>460528</v>
      </c>
      <c r="E186" t="s">
        <v>17</v>
      </c>
      <c r="F186">
        <v>553</v>
      </c>
      <c r="G186">
        <v>408240</v>
      </c>
      <c r="H186">
        <v>11.24</v>
      </c>
      <c r="I186">
        <v>60</v>
      </c>
      <c r="J186">
        <v>96454</v>
      </c>
      <c r="K186" t="s">
        <v>23</v>
      </c>
      <c r="L186" t="s">
        <v>34</v>
      </c>
      <c r="M186" t="s">
        <v>27</v>
      </c>
      <c r="N186" t="s">
        <v>28</v>
      </c>
      <c r="O186">
        <v>0</v>
      </c>
    </row>
    <row r="187" spans="1:15">
      <c r="A187" t="s">
        <v>635</v>
      </c>
      <c r="B187">
        <v>27</v>
      </c>
      <c r="C187" t="s">
        <v>16</v>
      </c>
      <c r="D187">
        <v>460924</v>
      </c>
      <c r="E187" t="s">
        <v>17</v>
      </c>
      <c r="F187">
        <v>578</v>
      </c>
      <c r="G187">
        <v>413529</v>
      </c>
      <c r="H187">
        <v>9.89</v>
      </c>
      <c r="I187">
        <v>24</v>
      </c>
      <c r="J187">
        <v>98318</v>
      </c>
      <c r="K187" t="s">
        <v>26</v>
      </c>
      <c r="L187" t="s">
        <v>34</v>
      </c>
      <c r="M187" t="s">
        <v>27</v>
      </c>
      <c r="N187" t="s">
        <v>31</v>
      </c>
      <c r="O187">
        <v>0</v>
      </c>
    </row>
    <row r="188" spans="1:15">
      <c r="A188" t="s">
        <v>647</v>
      </c>
      <c r="B188">
        <v>27</v>
      </c>
      <c r="C188" t="s">
        <v>16</v>
      </c>
      <c r="D188">
        <v>464503</v>
      </c>
      <c r="E188" t="s">
        <v>25</v>
      </c>
      <c r="F188">
        <v>624</v>
      </c>
      <c r="G188">
        <v>413568</v>
      </c>
      <c r="H188">
        <v>8.0299999999999994</v>
      </c>
      <c r="I188">
        <v>24</v>
      </c>
      <c r="J188">
        <v>98431</v>
      </c>
      <c r="K188" t="s">
        <v>23</v>
      </c>
      <c r="L188" t="s">
        <v>34</v>
      </c>
      <c r="M188" t="s">
        <v>27</v>
      </c>
      <c r="N188" t="s">
        <v>31</v>
      </c>
      <c r="O188">
        <v>0</v>
      </c>
    </row>
    <row r="189" spans="1:15">
      <c r="A189" t="s">
        <v>665</v>
      </c>
      <c r="B189">
        <v>27</v>
      </c>
      <c r="C189" t="s">
        <v>33</v>
      </c>
      <c r="D189">
        <v>464574</v>
      </c>
      <c r="E189" t="s">
        <v>25</v>
      </c>
      <c r="F189">
        <v>429</v>
      </c>
      <c r="G189">
        <v>414019</v>
      </c>
      <c r="H189">
        <v>15.19</v>
      </c>
      <c r="I189">
        <v>60</v>
      </c>
      <c r="J189">
        <v>98482</v>
      </c>
      <c r="K189" t="s">
        <v>30</v>
      </c>
      <c r="L189" t="s">
        <v>34</v>
      </c>
      <c r="M189" t="s">
        <v>27</v>
      </c>
      <c r="N189" t="s">
        <v>21</v>
      </c>
      <c r="O189">
        <v>0</v>
      </c>
    </row>
    <row r="190" spans="1:15">
      <c r="A190" t="s">
        <v>691</v>
      </c>
      <c r="B190">
        <v>27</v>
      </c>
      <c r="C190" t="s">
        <v>33</v>
      </c>
      <c r="D190">
        <v>464807</v>
      </c>
      <c r="E190" t="s">
        <v>25</v>
      </c>
      <c r="G190">
        <v>414567</v>
      </c>
      <c r="H190">
        <v>8.64</v>
      </c>
      <c r="I190">
        <v>48</v>
      </c>
      <c r="J190">
        <v>98730</v>
      </c>
      <c r="K190" t="s">
        <v>11</v>
      </c>
      <c r="L190" t="s">
        <v>19</v>
      </c>
      <c r="M190" t="s">
        <v>20</v>
      </c>
      <c r="N190" t="s">
        <v>31</v>
      </c>
      <c r="O190">
        <v>0</v>
      </c>
    </row>
    <row r="191" spans="1:15">
      <c r="A191" t="s">
        <v>822</v>
      </c>
      <c r="B191">
        <v>27</v>
      </c>
      <c r="C191" t="s">
        <v>33</v>
      </c>
      <c r="D191">
        <v>466274</v>
      </c>
      <c r="E191" t="s">
        <v>17</v>
      </c>
      <c r="F191">
        <v>498</v>
      </c>
      <c r="G191">
        <v>414612</v>
      </c>
      <c r="H191">
        <v>15.81</v>
      </c>
      <c r="I191">
        <v>24</v>
      </c>
      <c r="J191">
        <v>98985</v>
      </c>
      <c r="K191" t="s">
        <v>30</v>
      </c>
      <c r="L191" t="s">
        <v>34</v>
      </c>
      <c r="M191" t="s">
        <v>20</v>
      </c>
      <c r="N191" t="s">
        <v>21</v>
      </c>
      <c r="O191">
        <v>0</v>
      </c>
    </row>
    <row r="192" spans="1:15">
      <c r="A192" t="s">
        <v>852</v>
      </c>
      <c r="B192">
        <v>27</v>
      </c>
      <c r="C192" t="s">
        <v>16</v>
      </c>
      <c r="D192">
        <v>467564</v>
      </c>
      <c r="E192" t="s">
        <v>17</v>
      </c>
      <c r="F192">
        <v>355</v>
      </c>
      <c r="G192">
        <v>416827</v>
      </c>
      <c r="H192">
        <v>8.57</v>
      </c>
      <c r="I192">
        <v>12</v>
      </c>
      <c r="J192">
        <v>99218</v>
      </c>
      <c r="K192" t="s">
        <v>11</v>
      </c>
      <c r="L192" t="s">
        <v>19</v>
      </c>
      <c r="M192" t="s">
        <v>27</v>
      </c>
      <c r="N192" t="s">
        <v>28</v>
      </c>
      <c r="O192">
        <v>1</v>
      </c>
    </row>
    <row r="193" spans="1:15">
      <c r="A193" t="s">
        <v>885</v>
      </c>
      <c r="B193">
        <v>27</v>
      </c>
      <c r="C193" t="s">
        <v>33</v>
      </c>
      <c r="D193">
        <v>467767</v>
      </c>
      <c r="E193" t="s">
        <v>25</v>
      </c>
      <c r="F193">
        <v>778</v>
      </c>
      <c r="G193">
        <v>416978</v>
      </c>
      <c r="H193">
        <v>12.1</v>
      </c>
      <c r="I193">
        <v>48</v>
      </c>
      <c r="J193">
        <v>100511</v>
      </c>
      <c r="K193" t="s">
        <v>30</v>
      </c>
      <c r="L193" t="s">
        <v>19</v>
      </c>
      <c r="M193" t="s">
        <v>27</v>
      </c>
      <c r="N193" t="s">
        <v>31</v>
      </c>
      <c r="O193">
        <v>0</v>
      </c>
    </row>
    <row r="194" spans="1:15">
      <c r="A194" t="s">
        <v>913</v>
      </c>
      <c r="B194">
        <v>27</v>
      </c>
      <c r="C194" t="s">
        <v>16</v>
      </c>
      <c r="D194">
        <v>468611</v>
      </c>
      <c r="E194" t="s">
        <v>25</v>
      </c>
      <c r="F194">
        <v>409</v>
      </c>
      <c r="G194">
        <v>417059</v>
      </c>
      <c r="H194">
        <v>12.19</v>
      </c>
      <c r="I194">
        <v>36</v>
      </c>
      <c r="J194">
        <v>100710</v>
      </c>
      <c r="K194" t="s">
        <v>11</v>
      </c>
      <c r="L194" t="s">
        <v>34</v>
      </c>
      <c r="M194" t="s">
        <v>20</v>
      </c>
      <c r="N194" t="s">
        <v>28</v>
      </c>
      <c r="O194">
        <v>1</v>
      </c>
    </row>
    <row r="195" spans="1:15">
      <c r="A195" t="s">
        <v>108</v>
      </c>
      <c r="B195">
        <v>28</v>
      </c>
      <c r="C195" t="s">
        <v>16</v>
      </c>
      <c r="D195">
        <v>470804</v>
      </c>
      <c r="E195" t="s">
        <v>25</v>
      </c>
      <c r="F195">
        <v>556</v>
      </c>
      <c r="G195">
        <v>418217</v>
      </c>
      <c r="H195">
        <v>12.16</v>
      </c>
      <c r="I195">
        <v>48</v>
      </c>
      <c r="J195">
        <v>101777</v>
      </c>
      <c r="K195" t="s">
        <v>26</v>
      </c>
      <c r="L195" t="s">
        <v>19</v>
      </c>
      <c r="M195" t="s">
        <v>27</v>
      </c>
      <c r="N195" t="s">
        <v>31</v>
      </c>
      <c r="O195">
        <v>0</v>
      </c>
    </row>
    <row r="196" spans="1:15">
      <c r="A196" t="s">
        <v>113</v>
      </c>
      <c r="B196">
        <v>28</v>
      </c>
      <c r="C196" t="s">
        <v>33</v>
      </c>
      <c r="D196">
        <v>477382</v>
      </c>
      <c r="E196" t="s">
        <v>17</v>
      </c>
      <c r="F196">
        <v>768</v>
      </c>
      <c r="G196">
        <v>419759</v>
      </c>
      <c r="H196">
        <v>9.99</v>
      </c>
      <c r="I196">
        <v>24</v>
      </c>
      <c r="J196">
        <v>102184</v>
      </c>
      <c r="K196" t="s">
        <v>18</v>
      </c>
      <c r="L196" t="s">
        <v>34</v>
      </c>
      <c r="M196" t="s">
        <v>27</v>
      </c>
      <c r="N196" t="s">
        <v>28</v>
      </c>
      <c r="O196">
        <v>0</v>
      </c>
    </row>
    <row r="197" spans="1:15">
      <c r="A197" t="s">
        <v>171</v>
      </c>
      <c r="B197">
        <v>28</v>
      </c>
      <c r="C197" t="s">
        <v>33</v>
      </c>
      <c r="D197">
        <v>479135</v>
      </c>
      <c r="E197" t="s">
        <v>25</v>
      </c>
      <c r="F197">
        <v>815</v>
      </c>
      <c r="G197">
        <v>420859</v>
      </c>
      <c r="H197">
        <v>14.77</v>
      </c>
      <c r="I197">
        <v>48</v>
      </c>
      <c r="J197">
        <v>102198</v>
      </c>
      <c r="K197" t="s">
        <v>26</v>
      </c>
      <c r="L197" t="s">
        <v>19</v>
      </c>
      <c r="M197" t="s">
        <v>20</v>
      </c>
      <c r="N197" t="s">
        <v>31</v>
      </c>
      <c r="O197">
        <v>0</v>
      </c>
    </row>
    <row r="198" spans="1:15">
      <c r="A198" t="s">
        <v>186</v>
      </c>
      <c r="B198">
        <v>28</v>
      </c>
      <c r="C198" t="s">
        <v>16</v>
      </c>
      <c r="D198">
        <v>481340</v>
      </c>
      <c r="E198" t="s">
        <v>25</v>
      </c>
      <c r="F198">
        <v>632</v>
      </c>
      <c r="G198">
        <v>423257</v>
      </c>
      <c r="H198">
        <v>7.54</v>
      </c>
      <c r="I198">
        <v>24</v>
      </c>
      <c r="J198">
        <v>102212</v>
      </c>
      <c r="K198" t="s">
        <v>18</v>
      </c>
      <c r="L198" t="s">
        <v>34</v>
      </c>
      <c r="M198" t="s">
        <v>27</v>
      </c>
      <c r="N198" t="s">
        <v>21</v>
      </c>
      <c r="O198">
        <v>0</v>
      </c>
    </row>
    <row r="199" spans="1:15">
      <c r="A199" t="s">
        <v>188</v>
      </c>
      <c r="B199">
        <v>28</v>
      </c>
      <c r="C199" t="s">
        <v>16</v>
      </c>
      <c r="D199">
        <v>484098</v>
      </c>
      <c r="E199" t="s">
        <v>25</v>
      </c>
      <c r="F199">
        <v>661</v>
      </c>
      <c r="G199">
        <v>425007</v>
      </c>
      <c r="H199">
        <v>9.8800000000000008</v>
      </c>
      <c r="I199">
        <v>36</v>
      </c>
      <c r="J199">
        <v>105237</v>
      </c>
      <c r="K199" t="s">
        <v>11</v>
      </c>
      <c r="L199" t="s">
        <v>19</v>
      </c>
      <c r="M199" t="s">
        <v>20</v>
      </c>
      <c r="N199" t="s">
        <v>28</v>
      </c>
      <c r="O199">
        <v>1</v>
      </c>
    </row>
    <row r="200" spans="1:15">
      <c r="A200" t="s">
        <v>209</v>
      </c>
      <c r="B200">
        <v>28</v>
      </c>
      <c r="C200" t="s">
        <v>33</v>
      </c>
      <c r="D200">
        <v>485070</v>
      </c>
      <c r="E200" t="s">
        <v>17</v>
      </c>
      <c r="F200">
        <v>448</v>
      </c>
      <c r="G200">
        <v>425297</v>
      </c>
      <c r="H200">
        <v>10.93</v>
      </c>
      <c r="I200">
        <v>60</v>
      </c>
      <c r="J200">
        <v>106196</v>
      </c>
      <c r="K200" t="s">
        <v>18</v>
      </c>
      <c r="L200" t="s">
        <v>34</v>
      </c>
      <c r="M200" t="s">
        <v>27</v>
      </c>
      <c r="N200" t="s">
        <v>28</v>
      </c>
      <c r="O200">
        <v>1</v>
      </c>
    </row>
    <row r="201" spans="1:15">
      <c r="A201" t="s">
        <v>214</v>
      </c>
      <c r="B201">
        <v>28</v>
      </c>
      <c r="C201" t="s">
        <v>33</v>
      </c>
      <c r="D201">
        <v>485574</v>
      </c>
      <c r="E201" t="s">
        <v>17</v>
      </c>
      <c r="F201">
        <v>438</v>
      </c>
      <c r="G201">
        <v>425528</v>
      </c>
      <c r="H201">
        <v>14.55</v>
      </c>
      <c r="I201">
        <v>60</v>
      </c>
      <c r="J201">
        <v>106547</v>
      </c>
      <c r="K201" t="s">
        <v>30</v>
      </c>
      <c r="L201" t="s">
        <v>19</v>
      </c>
      <c r="M201" t="s">
        <v>20</v>
      </c>
      <c r="N201" t="s">
        <v>28</v>
      </c>
      <c r="O201">
        <v>0</v>
      </c>
    </row>
    <row r="202" spans="1:15">
      <c r="A202" t="s">
        <v>267</v>
      </c>
      <c r="B202">
        <v>28</v>
      </c>
      <c r="C202" t="s">
        <v>16</v>
      </c>
      <c r="D202">
        <v>486582</v>
      </c>
      <c r="E202" t="s">
        <v>25</v>
      </c>
      <c r="F202">
        <v>755</v>
      </c>
      <c r="G202">
        <v>426382</v>
      </c>
      <c r="H202">
        <v>10.08</v>
      </c>
      <c r="I202">
        <v>48</v>
      </c>
      <c r="J202">
        <v>106554</v>
      </c>
      <c r="K202" t="s">
        <v>11</v>
      </c>
      <c r="L202" t="s">
        <v>19</v>
      </c>
      <c r="M202" t="s">
        <v>27</v>
      </c>
      <c r="N202" t="s">
        <v>21</v>
      </c>
      <c r="O202">
        <v>1</v>
      </c>
    </row>
    <row r="203" spans="1:15">
      <c r="A203" t="s">
        <v>273</v>
      </c>
      <c r="B203">
        <v>28</v>
      </c>
      <c r="C203" t="s">
        <v>16</v>
      </c>
      <c r="D203">
        <v>488528</v>
      </c>
      <c r="E203" t="s">
        <v>17</v>
      </c>
      <c r="F203">
        <v>749</v>
      </c>
      <c r="G203">
        <v>430940</v>
      </c>
      <c r="H203">
        <v>10.34</v>
      </c>
      <c r="I203">
        <v>12</v>
      </c>
      <c r="J203">
        <v>107033</v>
      </c>
      <c r="K203" t="s">
        <v>18</v>
      </c>
      <c r="L203" t="s">
        <v>19</v>
      </c>
      <c r="M203" t="s">
        <v>27</v>
      </c>
      <c r="N203" t="s">
        <v>21</v>
      </c>
      <c r="O203">
        <v>0</v>
      </c>
    </row>
    <row r="204" spans="1:15">
      <c r="A204" t="s">
        <v>277</v>
      </c>
      <c r="B204">
        <v>28</v>
      </c>
      <c r="C204" t="s">
        <v>33</v>
      </c>
      <c r="D204">
        <v>489242</v>
      </c>
      <c r="E204" t="s">
        <v>17</v>
      </c>
      <c r="F204">
        <v>843</v>
      </c>
      <c r="G204">
        <v>432319</v>
      </c>
      <c r="H204">
        <v>13.66</v>
      </c>
      <c r="I204">
        <v>36</v>
      </c>
      <c r="J204">
        <v>107541</v>
      </c>
      <c r="K204" t="s">
        <v>26</v>
      </c>
      <c r="L204" t="s">
        <v>34</v>
      </c>
      <c r="M204" t="s">
        <v>27</v>
      </c>
      <c r="N204" t="s">
        <v>28</v>
      </c>
      <c r="O204">
        <v>0</v>
      </c>
    </row>
    <row r="205" spans="1:15">
      <c r="A205" t="s">
        <v>416</v>
      </c>
      <c r="B205">
        <v>28</v>
      </c>
      <c r="C205" t="s">
        <v>33</v>
      </c>
      <c r="D205">
        <v>491614</v>
      </c>
      <c r="E205" t="s">
        <v>25</v>
      </c>
      <c r="F205">
        <v>409</v>
      </c>
      <c r="G205">
        <v>433954</v>
      </c>
      <c r="H205">
        <v>9.5399999999999991</v>
      </c>
      <c r="I205">
        <v>36</v>
      </c>
      <c r="J205">
        <v>108084</v>
      </c>
      <c r="K205" t="s">
        <v>18</v>
      </c>
      <c r="L205" t="s">
        <v>34</v>
      </c>
      <c r="M205" t="s">
        <v>20</v>
      </c>
      <c r="N205" t="s">
        <v>28</v>
      </c>
      <c r="O205">
        <v>0</v>
      </c>
    </row>
    <row r="206" spans="1:15">
      <c r="A206" t="s">
        <v>442</v>
      </c>
      <c r="B206">
        <v>28</v>
      </c>
      <c r="C206" t="s">
        <v>16</v>
      </c>
      <c r="D206">
        <v>495407</v>
      </c>
      <c r="E206" t="s">
        <v>25</v>
      </c>
      <c r="F206">
        <v>455</v>
      </c>
      <c r="G206">
        <v>435397</v>
      </c>
      <c r="H206">
        <v>12.75</v>
      </c>
      <c r="I206">
        <v>24</v>
      </c>
      <c r="J206">
        <v>108914</v>
      </c>
      <c r="K206" t="s">
        <v>11</v>
      </c>
      <c r="L206" t="s">
        <v>19</v>
      </c>
      <c r="M206" t="s">
        <v>20</v>
      </c>
      <c r="N206" t="s">
        <v>28</v>
      </c>
      <c r="O206">
        <v>0</v>
      </c>
    </row>
    <row r="207" spans="1:15">
      <c r="A207" t="s">
        <v>483</v>
      </c>
      <c r="B207">
        <v>28</v>
      </c>
      <c r="C207" t="s">
        <v>16</v>
      </c>
      <c r="D207">
        <v>495663</v>
      </c>
      <c r="E207" t="s">
        <v>17</v>
      </c>
      <c r="F207">
        <v>816</v>
      </c>
      <c r="G207">
        <v>439908</v>
      </c>
      <c r="H207">
        <v>7.93</v>
      </c>
      <c r="I207">
        <v>60</v>
      </c>
      <c r="J207">
        <v>109703</v>
      </c>
      <c r="K207" t="s">
        <v>11</v>
      </c>
      <c r="L207" t="s">
        <v>19</v>
      </c>
      <c r="M207" t="s">
        <v>27</v>
      </c>
      <c r="N207" t="s">
        <v>28</v>
      </c>
      <c r="O207">
        <v>0</v>
      </c>
    </row>
    <row r="208" spans="1:15">
      <c r="A208" t="s">
        <v>487</v>
      </c>
      <c r="B208">
        <v>28</v>
      </c>
      <c r="C208" t="s">
        <v>33</v>
      </c>
      <c r="D208">
        <v>499023</v>
      </c>
      <c r="E208" t="s">
        <v>17</v>
      </c>
      <c r="F208">
        <v>784</v>
      </c>
      <c r="G208">
        <v>444653</v>
      </c>
      <c r="H208">
        <v>13.43</v>
      </c>
      <c r="I208">
        <v>36</v>
      </c>
      <c r="J208">
        <v>110281</v>
      </c>
      <c r="K208" t="s">
        <v>11</v>
      </c>
      <c r="L208" t="s">
        <v>34</v>
      </c>
      <c r="M208" t="s">
        <v>20</v>
      </c>
      <c r="N208" t="s">
        <v>28</v>
      </c>
      <c r="O208">
        <v>0</v>
      </c>
    </row>
    <row r="209" spans="1:15">
      <c r="A209" t="s">
        <v>559</v>
      </c>
      <c r="B209">
        <v>28</v>
      </c>
      <c r="C209" t="s">
        <v>1026</v>
      </c>
      <c r="D209">
        <v>499150</v>
      </c>
      <c r="E209" t="s">
        <v>25</v>
      </c>
      <c r="F209">
        <v>898</v>
      </c>
      <c r="G209">
        <v>445795</v>
      </c>
      <c r="H209">
        <v>15.54</v>
      </c>
      <c r="I209">
        <v>48</v>
      </c>
      <c r="J209">
        <v>111006</v>
      </c>
      <c r="K209" t="s">
        <v>18</v>
      </c>
      <c r="L209" t="s">
        <v>34</v>
      </c>
      <c r="M209" t="s">
        <v>20</v>
      </c>
      <c r="N209" t="s">
        <v>21</v>
      </c>
      <c r="O209">
        <v>0</v>
      </c>
    </row>
    <row r="210" spans="1:15">
      <c r="A210" t="s">
        <v>617</v>
      </c>
      <c r="B210">
        <v>28</v>
      </c>
      <c r="C210" t="s">
        <v>33</v>
      </c>
      <c r="D210">
        <v>499207</v>
      </c>
      <c r="E210" t="s">
        <v>17</v>
      </c>
      <c r="F210">
        <v>774</v>
      </c>
      <c r="G210">
        <v>446113</v>
      </c>
      <c r="H210">
        <v>13.91</v>
      </c>
      <c r="I210">
        <v>12</v>
      </c>
      <c r="J210">
        <v>111098</v>
      </c>
      <c r="K210" t="s">
        <v>30</v>
      </c>
      <c r="L210" t="s">
        <v>19</v>
      </c>
      <c r="M210" t="s">
        <v>27</v>
      </c>
      <c r="N210" t="s">
        <v>21</v>
      </c>
      <c r="O210">
        <v>0</v>
      </c>
    </row>
    <row r="211" spans="1:15">
      <c r="A211" t="s">
        <v>630</v>
      </c>
      <c r="B211">
        <v>28</v>
      </c>
      <c r="C211" t="s">
        <v>1026</v>
      </c>
      <c r="D211">
        <v>500208</v>
      </c>
      <c r="E211" t="s">
        <v>25</v>
      </c>
      <c r="F211">
        <v>495</v>
      </c>
      <c r="G211">
        <v>447430</v>
      </c>
      <c r="H211">
        <v>12.12</v>
      </c>
      <c r="I211">
        <v>60</v>
      </c>
      <c r="J211">
        <v>111422</v>
      </c>
      <c r="K211" t="s">
        <v>18</v>
      </c>
      <c r="L211" t="s">
        <v>19</v>
      </c>
      <c r="M211" t="s">
        <v>27</v>
      </c>
      <c r="N211" t="s">
        <v>28</v>
      </c>
      <c r="O211">
        <v>1</v>
      </c>
    </row>
    <row r="212" spans="1:15">
      <c r="A212" t="s">
        <v>737</v>
      </c>
      <c r="B212">
        <v>28</v>
      </c>
      <c r="C212" t="s">
        <v>33</v>
      </c>
      <c r="D212">
        <v>502045</v>
      </c>
      <c r="E212" t="s">
        <v>25</v>
      </c>
      <c r="F212">
        <v>719</v>
      </c>
      <c r="G212">
        <v>447938</v>
      </c>
      <c r="H212">
        <v>15.68</v>
      </c>
      <c r="I212">
        <v>48</v>
      </c>
      <c r="J212">
        <v>111685</v>
      </c>
      <c r="K212" t="s">
        <v>23</v>
      </c>
      <c r="L212" t="s">
        <v>19</v>
      </c>
      <c r="M212" t="s">
        <v>20</v>
      </c>
      <c r="N212" t="s">
        <v>31</v>
      </c>
      <c r="O212">
        <v>0</v>
      </c>
    </row>
    <row r="213" spans="1:15">
      <c r="A213" t="s">
        <v>762</v>
      </c>
      <c r="B213">
        <v>28</v>
      </c>
      <c r="C213" t="s">
        <v>16</v>
      </c>
      <c r="D213">
        <v>502669</v>
      </c>
      <c r="E213" t="s">
        <v>25</v>
      </c>
      <c r="F213">
        <v>603</v>
      </c>
      <c r="G213">
        <v>448995</v>
      </c>
      <c r="H213">
        <v>14.87</v>
      </c>
      <c r="I213">
        <v>48</v>
      </c>
      <c r="J213">
        <v>111961</v>
      </c>
      <c r="K213" t="s">
        <v>18</v>
      </c>
      <c r="L213" t="s">
        <v>19</v>
      </c>
      <c r="M213" t="s">
        <v>20</v>
      </c>
      <c r="N213" t="s">
        <v>21</v>
      </c>
      <c r="O213">
        <v>0</v>
      </c>
    </row>
    <row r="214" spans="1:15">
      <c r="A214" t="s">
        <v>845</v>
      </c>
      <c r="B214">
        <v>28</v>
      </c>
      <c r="C214" t="s">
        <v>16</v>
      </c>
      <c r="D214">
        <v>503066</v>
      </c>
      <c r="E214" t="s">
        <v>17</v>
      </c>
      <c r="F214">
        <v>511</v>
      </c>
      <c r="G214">
        <v>449173</v>
      </c>
      <c r="H214">
        <v>15.77</v>
      </c>
      <c r="I214">
        <v>60</v>
      </c>
      <c r="J214">
        <v>112035</v>
      </c>
      <c r="K214" t="s">
        <v>26</v>
      </c>
      <c r="L214" t="s">
        <v>34</v>
      </c>
      <c r="M214" t="s">
        <v>20</v>
      </c>
      <c r="N214" t="s">
        <v>28</v>
      </c>
      <c r="O214">
        <v>1</v>
      </c>
    </row>
    <row r="215" spans="1:15">
      <c r="A215" t="s">
        <v>859</v>
      </c>
      <c r="B215">
        <v>28</v>
      </c>
      <c r="C215" t="s">
        <v>16</v>
      </c>
      <c r="D215">
        <v>503828</v>
      </c>
      <c r="E215" t="s">
        <v>17</v>
      </c>
      <c r="F215">
        <v>447</v>
      </c>
      <c r="G215">
        <v>449643</v>
      </c>
      <c r="H215">
        <v>10.09</v>
      </c>
      <c r="I215">
        <v>60</v>
      </c>
      <c r="J215">
        <v>112035</v>
      </c>
      <c r="K215" t="s">
        <v>11</v>
      </c>
      <c r="L215" t="s">
        <v>34</v>
      </c>
      <c r="M215" t="s">
        <v>20</v>
      </c>
      <c r="N215" t="s">
        <v>28</v>
      </c>
      <c r="O215">
        <v>0</v>
      </c>
    </row>
    <row r="216" spans="1:15">
      <c r="A216" t="s">
        <v>863</v>
      </c>
      <c r="B216">
        <v>28</v>
      </c>
      <c r="C216" t="s">
        <v>16</v>
      </c>
      <c r="D216">
        <v>507026</v>
      </c>
      <c r="E216" t="s">
        <v>25</v>
      </c>
      <c r="F216">
        <v>873</v>
      </c>
      <c r="G216">
        <v>451517</v>
      </c>
      <c r="H216">
        <v>14.51</v>
      </c>
      <c r="I216">
        <v>36</v>
      </c>
      <c r="J216">
        <v>112179</v>
      </c>
      <c r="K216" t="s">
        <v>30</v>
      </c>
      <c r="L216" t="s">
        <v>34</v>
      </c>
      <c r="M216" t="s">
        <v>27</v>
      </c>
      <c r="N216" t="s">
        <v>21</v>
      </c>
      <c r="O216">
        <v>0</v>
      </c>
    </row>
    <row r="217" spans="1:15">
      <c r="A217" t="s">
        <v>871</v>
      </c>
      <c r="B217">
        <v>28</v>
      </c>
      <c r="C217" t="s">
        <v>16</v>
      </c>
      <c r="D217">
        <v>507174</v>
      </c>
      <c r="E217" t="s">
        <v>17</v>
      </c>
      <c r="F217">
        <v>449</v>
      </c>
      <c r="G217">
        <v>451718</v>
      </c>
      <c r="H217">
        <v>10.119999999999999</v>
      </c>
      <c r="I217">
        <v>48</v>
      </c>
      <c r="J217">
        <v>112295</v>
      </c>
      <c r="K217" t="s">
        <v>26</v>
      </c>
      <c r="L217" t="s">
        <v>34</v>
      </c>
      <c r="M217" t="s">
        <v>20</v>
      </c>
      <c r="N217" t="s">
        <v>21</v>
      </c>
      <c r="O217">
        <v>0</v>
      </c>
    </row>
    <row r="218" spans="1:15">
      <c r="A218" t="s">
        <v>873</v>
      </c>
      <c r="B218">
        <v>28</v>
      </c>
      <c r="C218" t="s">
        <v>33</v>
      </c>
      <c r="D218">
        <v>507174</v>
      </c>
      <c r="E218" t="s">
        <v>17</v>
      </c>
      <c r="F218">
        <v>734</v>
      </c>
      <c r="G218">
        <v>451718</v>
      </c>
      <c r="H218">
        <v>15.23</v>
      </c>
      <c r="I218">
        <v>12</v>
      </c>
      <c r="J218">
        <v>112578</v>
      </c>
      <c r="K218" t="s">
        <v>30</v>
      </c>
      <c r="L218" t="s">
        <v>34</v>
      </c>
      <c r="M218" t="s">
        <v>27</v>
      </c>
      <c r="N218" t="s">
        <v>21</v>
      </c>
      <c r="O218">
        <v>0</v>
      </c>
    </row>
    <row r="219" spans="1:15">
      <c r="A219" t="s">
        <v>890</v>
      </c>
      <c r="B219">
        <v>28</v>
      </c>
      <c r="C219" t="s">
        <v>1026</v>
      </c>
      <c r="D219">
        <v>511742</v>
      </c>
      <c r="E219" t="s">
        <v>25</v>
      </c>
      <c r="F219">
        <v>775</v>
      </c>
      <c r="G219">
        <v>454816</v>
      </c>
      <c r="H219">
        <v>11.79</v>
      </c>
      <c r="I219">
        <v>60</v>
      </c>
      <c r="J219">
        <v>112901</v>
      </c>
      <c r="K219" t="s">
        <v>23</v>
      </c>
      <c r="L219" t="s">
        <v>34</v>
      </c>
      <c r="M219" t="s">
        <v>20</v>
      </c>
      <c r="N219" t="s">
        <v>28</v>
      </c>
      <c r="O219">
        <v>0</v>
      </c>
    </row>
    <row r="220" spans="1:15">
      <c r="A220" t="s">
        <v>980</v>
      </c>
      <c r="B220">
        <v>28</v>
      </c>
      <c r="C220" t="s">
        <v>16</v>
      </c>
      <c r="D220">
        <v>512252</v>
      </c>
      <c r="E220" t="s">
        <v>25</v>
      </c>
      <c r="F220">
        <v>778</v>
      </c>
      <c r="G220">
        <v>457922</v>
      </c>
      <c r="H220">
        <v>16.39</v>
      </c>
      <c r="I220">
        <v>48</v>
      </c>
      <c r="J220">
        <v>113206</v>
      </c>
      <c r="K220" t="s">
        <v>26</v>
      </c>
      <c r="L220" t="s">
        <v>34</v>
      </c>
      <c r="M220" t="s">
        <v>27</v>
      </c>
      <c r="N220" t="s">
        <v>21</v>
      </c>
      <c r="O220">
        <v>0</v>
      </c>
    </row>
    <row r="221" spans="1:15">
      <c r="A221" t="s">
        <v>70</v>
      </c>
      <c r="B221">
        <v>29</v>
      </c>
      <c r="C221" t="s">
        <v>33</v>
      </c>
      <c r="D221">
        <v>519557</v>
      </c>
      <c r="E221" t="s">
        <v>25</v>
      </c>
      <c r="F221">
        <v>534</v>
      </c>
      <c r="G221">
        <v>459221</v>
      </c>
      <c r="H221">
        <v>13.7</v>
      </c>
      <c r="I221">
        <v>36</v>
      </c>
      <c r="J221">
        <v>114273</v>
      </c>
      <c r="K221" t="s">
        <v>23</v>
      </c>
      <c r="L221" t="s">
        <v>19</v>
      </c>
      <c r="M221" t="s">
        <v>20</v>
      </c>
      <c r="N221" t="s">
        <v>31</v>
      </c>
      <c r="O221">
        <v>1</v>
      </c>
    </row>
    <row r="222" spans="1:15">
      <c r="A222" t="s">
        <v>137</v>
      </c>
      <c r="B222">
        <v>29</v>
      </c>
      <c r="C222" t="s">
        <v>16</v>
      </c>
      <c r="D222">
        <v>520191</v>
      </c>
      <c r="E222" t="s">
        <v>17</v>
      </c>
      <c r="F222">
        <v>535</v>
      </c>
      <c r="G222">
        <v>463399</v>
      </c>
      <c r="H222">
        <v>10.79</v>
      </c>
      <c r="I222">
        <v>60</v>
      </c>
      <c r="J222">
        <v>114288</v>
      </c>
      <c r="K222" t="s">
        <v>11</v>
      </c>
      <c r="L222" t="s">
        <v>19</v>
      </c>
      <c r="M222" t="s">
        <v>27</v>
      </c>
      <c r="N222" t="s">
        <v>28</v>
      </c>
      <c r="O222">
        <v>0</v>
      </c>
    </row>
    <row r="223" spans="1:15">
      <c r="A223" t="s">
        <v>190</v>
      </c>
      <c r="B223">
        <v>29</v>
      </c>
      <c r="C223" t="s">
        <v>33</v>
      </c>
      <c r="D223">
        <v>522146</v>
      </c>
      <c r="E223" t="s">
        <v>17</v>
      </c>
      <c r="F223">
        <v>677</v>
      </c>
      <c r="G223">
        <v>465054</v>
      </c>
      <c r="H223">
        <v>12.94</v>
      </c>
      <c r="I223">
        <v>24</v>
      </c>
      <c r="J223">
        <v>114490</v>
      </c>
      <c r="K223" t="s">
        <v>23</v>
      </c>
      <c r="L223" t="s">
        <v>34</v>
      </c>
      <c r="M223" t="s">
        <v>20</v>
      </c>
      <c r="N223" t="s">
        <v>21</v>
      </c>
      <c r="O223">
        <v>0</v>
      </c>
    </row>
    <row r="224" spans="1:15">
      <c r="A224" t="s">
        <v>232</v>
      </c>
      <c r="B224">
        <v>29</v>
      </c>
      <c r="C224" t="s">
        <v>33</v>
      </c>
      <c r="D224">
        <v>523972</v>
      </c>
      <c r="E224" t="s">
        <v>17</v>
      </c>
      <c r="F224">
        <v>453</v>
      </c>
      <c r="G224">
        <v>465595</v>
      </c>
      <c r="H224">
        <v>15.75</v>
      </c>
      <c r="I224">
        <v>48</v>
      </c>
      <c r="J224">
        <v>115234</v>
      </c>
      <c r="K224" t="s">
        <v>26</v>
      </c>
      <c r="L224" t="s">
        <v>34</v>
      </c>
      <c r="M224" t="s">
        <v>20</v>
      </c>
      <c r="N224" t="s">
        <v>31</v>
      </c>
      <c r="O224">
        <v>1</v>
      </c>
    </row>
    <row r="225" spans="1:15">
      <c r="A225" t="s">
        <v>278</v>
      </c>
      <c r="B225">
        <v>29</v>
      </c>
      <c r="C225" t="s">
        <v>16</v>
      </c>
      <c r="D225">
        <v>525833</v>
      </c>
      <c r="E225" t="s">
        <v>25</v>
      </c>
      <c r="F225">
        <v>599</v>
      </c>
      <c r="G225">
        <v>466222</v>
      </c>
      <c r="H225">
        <v>15.42</v>
      </c>
      <c r="I225">
        <v>36</v>
      </c>
      <c r="J225">
        <v>115378</v>
      </c>
      <c r="K225" t="s">
        <v>23</v>
      </c>
      <c r="L225" t="s">
        <v>19</v>
      </c>
      <c r="M225" t="s">
        <v>20</v>
      </c>
      <c r="N225" t="s">
        <v>31</v>
      </c>
      <c r="O225">
        <v>0</v>
      </c>
    </row>
    <row r="226" spans="1:15">
      <c r="A226" t="s">
        <v>279</v>
      </c>
      <c r="B226">
        <v>29</v>
      </c>
      <c r="C226" t="s">
        <v>16</v>
      </c>
      <c r="D226">
        <v>527412</v>
      </c>
      <c r="E226" t="s">
        <v>17</v>
      </c>
      <c r="F226">
        <v>665</v>
      </c>
      <c r="G226">
        <v>469415</v>
      </c>
      <c r="H226">
        <v>14.47</v>
      </c>
      <c r="I226">
        <v>48</v>
      </c>
      <c r="J226">
        <v>115461</v>
      </c>
      <c r="K226" t="s">
        <v>11</v>
      </c>
      <c r="L226" t="s">
        <v>34</v>
      </c>
      <c r="M226" t="s">
        <v>27</v>
      </c>
      <c r="N226" t="s">
        <v>28</v>
      </c>
      <c r="O226">
        <v>0</v>
      </c>
    </row>
    <row r="227" spans="1:15">
      <c r="A227" t="s">
        <v>292</v>
      </c>
      <c r="B227">
        <v>29</v>
      </c>
      <c r="C227" t="s">
        <v>1026</v>
      </c>
      <c r="D227">
        <v>528171</v>
      </c>
      <c r="E227" t="s">
        <v>17</v>
      </c>
      <c r="F227">
        <v>361</v>
      </c>
      <c r="G227">
        <v>469895</v>
      </c>
      <c r="H227">
        <v>9.7799999999999994</v>
      </c>
      <c r="I227">
        <v>24</v>
      </c>
      <c r="J227">
        <v>115624</v>
      </c>
      <c r="K227" t="s">
        <v>11</v>
      </c>
      <c r="L227" t="s">
        <v>19</v>
      </c>
      <c r="M227" t="s">
        <v>27</v>
      </c>
      <c r="N227" t="s">
        <v>28</v>
      </c>
      <c r="O227">
        <v>1</v>
      </c>
    </row>
    <row r="228" spans="1:15">
      <c r="A228" t="s">
        <v>295</v>
      </c>
      <c r="B228">
        <v>29</v>
      </c>
      <c r="C228" t="s">
        <v>33</v>
      </c>
      <c r="D228">
        <v>529298</v>
      </c>
      <c r="E228" t="s">
        <v>25</v>
      </c>
      <c r="F228">
        <v>538</v>
      </c>
      <c r="G228">
        <v>473693</v>
      </c>
      <c r="H228">
        <v>13.37</v>
      </c>
      <c r="I228">
        <v>24</v>
      </c>
      <c r="J228">
        <v>115697</v>
      </c>
      <c r="K228" t="s">
        <v>18</v>
      </c>
      <c r="L228" t="s">
        <v>19</v>
      </c>
      <c r="M228" t="s">
        <v>20</v>
      </c>
      <c r="N228" t="s">
        <v>21</v>
      </c>
      <c r="O228">
        <v>0</v>
      </c>
    </row>
    <row r="229" spans="1:15">
      <c r="A229" t="s">
        <v>311</v>
      </c>
      <c r="B229">
        <v>29</v>
      </c>
      <c r="C229" t="s">
        <v>33</v>
      </c>
      <c r="D229">
        <v>530962</v>
      </c>
      <c r="E229" t="s">
        <v>17</v>
      </c>
      <c r="F229">
        <v>874</v>
      </c>
      <c r="G229">
        <v>473890</v>
      </c>
      <c r="H229">
        <v>11.92</v>
      </c>
      <c r="I229">
        <v>60</v>
      </c>
      <c r="J229">
        <v>116079</v>
      </c>
      <c r="K229" t="s">
        <v>30</v>
      </c>
      <c r="L229" t="s">
        <v>34</v>
      </c>
      <c r="M229" t="s">
        <v>20</v>
      </c>
      <c r="N229" t="s">
        <v>31</v>
      </c>
      <c r="O229">
        <v>0</v>
      </c>
    </row>
    <row r="230" spans="1:15">
      <c r="A230" t="s">
        <v>335</v>
      </c>
      <c r="B230">
        <v>29</v>
      </c>
      <c r="C230" t="s">
        <v>16</v>
      </c>
      <c r="D230">
        <v>531112</v>
      </c>
      <c r="E230" t="s">
        <v>25</v>
      </c>
      <c r="F230">
        <v>592</v>
      </c>
      <c r="G230">
        <v>473978</v>
      </c>
      <c r="H230">
        <v>10.17</v>
      </c>
      <c r="I230">
        <v>12</v>
      </c>
      <c r="J230">
        <v>116654</v>
      </c>
      <c r="K230" t="s">
        <v>30</v>
      </c>
      <c r="L230" t="s">
        <v>19</v>
      </c>
      <c r="M230" t="s">
        <v>20</v>
      </c>
      <c r="N230" t="s">
        <v>21</v>
      </c>
      <c r="O230">
        <v>0</v>
      </c>
    </row>
    <row r="231" spans="1:15">
      <c r="A231" t="s">
        <v>408</v>
      </c>
      <c r="B231">
        <v>29</v>
      </c>
      <c r="C231" t="s">
        <v>33</v>
      </c>
      <c r="D231">
        <v>531929</v>
      </c>
      <c r="E231" t="s">
        <v>17</v>
      </c>
      <c r="F231">
        <v>527</v>
      </c>
      <c r="G231">
        <v>473996</v>
      </c>
      <c r="H231">
        <v>9.85</v>
      </c>
      <c r="I231">
        <v>36</v>
      </c>
      <c r="J231">
        <v>116897</v>
      </c>
      <c r="K231" t="s">
        <v>23</v>
      </c>
      <c r="L231" t="s">
        <v>34</v>
      </c>
      <c r="M231" t="s">
        <v>27</v>
      </c>
      <c r="N231" t="s">
        <v>28</v>
      </c>
      <c r="O231">
        <v>0</v>
      </c>
    </row>
    <row r="232" spans="1:15">
      <c r="A232" t="s">
        <v>458</v>
      </c>
      <c r="B232">
        <v>29</v>
      </c>
      <c r="C232" t="s">
        <v>33</v>
      </c>
      <c r="D232">
        <v>531967</v>
      </c>
      <c r="E232" t="s">
        <v>25</v>
      </c>
      <c r="F232">
        <v>650</v>
      </c>
      <c r="G232">
        <v>475530</v>
      </c>
      <c r="H232">
        <v>15.45</v>
      </c>
      <c r="I232">
        <v>36</v>
      </c>
      <c r="J232">
        <v>117094</v>
      </c>
      <c r="K232" t="s">
        <v>11</v>
      </c>
      <c r="L232" t="s">
        <v>34</v>
      </c>
      <c r="M232" t="s">
        <v>20</v>
      </c>
      <c r="N232" t="s">
        <v>28</v>
      </c>
      <c r="O232">
        <v>0</v>
      </c>
    </row>
    <row r="233" spans="1:15">
      <c r="A233" t="s">
        <v>495</v>
      </c>
      <c r="B233">
        <v>29</v>
      </c>
      <c r="C233" t="s">
        <v>16</v>
      </c>
      <c r="D233">
        <v>534153</v>
      </c>
      <c r="E233" t="s">
        <v>17</v>
      </c>
      <c r="F233">
        <v>584</v>
      </c>
      <c r="G233">
        <v>476321</v>
      </c>
      <c r="H233">
        <v>8.24</v>
      </c>
      <c r="I233">
        <v>60</v>
      </c>
      <c r="J233">
        <v>117551</v>
      </c>
      <c r="K233" t="s">
        <v>11</v>
      </c>
      <c r="L233" t="s">
        <v>19</v>
      </c>
      <c r="M233" t="s">
        <v>20</v>
      </c>
      <c r="N233" t="s">
        <v>31</v>
      </c>
      <c r="O233">
        <v>0</v>
      </c>
    </row>
    <row r="234" spans="1:15">
      <c r="A234" t="s">
        <v>614</v>
      </c>
      <c r="B234">
        <v>29</v>
      </c>
      <c r="C234" t="s">
        <v>33</v>
      </c>
      <c r="D234">
        <v>534928</v>
      </c>
      <c r="E234" t="s">
        <v>17</v>
      </c>
      <c r="F234">
        <v>385</v>
      </c>
      <c r="G234">
        <v>476650</v>
      </c>
      <c r="H234">
        <v>11.32</v>
      </c>
      <c r="I234">
        <v>12</v>
      </c>
      <c r="J234">
        <v>118090</v>
      </c>
      <c r="K234" t="s">
        <v>11</v>
      </c>
      <c r="L234" t="s">
        <v>34</v>
      </c>
      <c r="M234" t="s">
        <v>20</v>
      </c>
      <c r="N234" t="s">
        <v>21</v>
      </c>
      <c r="O234">
        <v>0</v>
      </c>
    </row>
    <row r="235" spans="1:15">
      <c r="A235" t="s">
        <v>621</v>
      </c>
      <c r="B235">
        <v>29</v>
      </c>
      <c r="C235" t="s">
        <v>16</v>
      </c>
      <c r="D235">
        <v>536280</v>
      </c>
      <c r="E235" t="s">
        <v>17</v>
      </c>
      <c r="F235">
        <v>432</v>
      </c>
      <c r="G235">
        <v>477205</v>
      </c>
      <c r="H235">
        <v>7.87</v>
      </c>
      <c r="I235">
        <v>12</v>
      </c>
      <c r="J235">
        <v>118564</v>
      </c>
      <c r="K235" t="s">
        <v>30</v>
      </c>
      <c r="L235" t="s">
        <v>19</v>
      </c>
      <c r="M235" t="s">
        <v>20</v>
      </c>
      <c r="N235" t="s">
        <v>21</v>
      </c>
      <c r="O235">
        <v>0</v>
      </c>
    </row>
    <row r="236" spans="1:15">
      <c r="A236" t="s">
        <v>666</v>
      </c>
      <c r="B236">
        <v>29</v>
      </c>
      <c r="C236" t="s">
        <v>16</v>
      </c>
      <c r="D236">
        <v>536862</v>
      </c>
      <c r="E236" t="s">
        <v>17</v>
      </c>
      <c r="F236">
        <v>511</v>
      </c>
      <c r="G236">
        <v>477455</v>
      </c>
      <c r="H236">
        <v>14.06</v>
      </c>
      <c r="I236">
        <v>60</v>
      </c>
      <c r="J236">
        <v>118600</v>
      </c>
      <c r="K236" t="s">
        <v>23</v>
      </c>
      <c r="L236" t="s">
        <v>19</v>
      </c>
      <c r="M236" t="s">
        <v>20</v>
      </c>
      <c r="N236" t="s">
        <v>21</v>
      </c>
      <c r="O236">
        <v>0</v>
      </c>
    </row>
    <row r="237" spans="1:15">
      <c r="A237" t="s">
        <v>729</v>
      </c>
      <c r="B237">
        <v>29</v>
      </c>
      <c r="C237" t="s">
        <v>33</v>
      </c>
      <c r="D237">
        <v>537649</v>
      </c>
      <c r="E237" t="s">
        <v>17</v>
      </c>
      <c r="F237">
        <v>869</v>
      </c>
      <c r="G237">
        <v>479381</v>
      </c>
      <c r="H237">
        <v>12.42</v>
      </c>
      <c r="I237">
        <v>24</v>
      </c>
      <c r="J237">
        <v>118974</v>
      </c>
      <c r="K237" t="s">
        <v>26</v>
      </c>
      <c r="L237" t="s">
        <v>34</v>
      </c>
      <c r="M237" t="s">
        <v>20</v>
      </c>
      <c r="N237" t="s">
        <v>21</v>
      </c>
      <c r="O237">
        <v>0</v>
      </c>
    </row>
    <row r="238" spans="1:15">
      <c r="A238" t="s">
        <v>730</v>
      </c>
      <c r="B238">
        <v>29</v>
      </c>
      <c r="C238" t="s">
        <v>33</v>
      </c>
      <c r="D238">
        <v>539787</v>
      </c>
      <c r="E238" t="s">
        <v>25</v>
      </c>
      <c r="F238">
        <v>529</v>
      </c>
      <c r="G238">
        <v>480729</v>
      </c>
      <c r="H238">
        <v>7.58</v>
      </c>
      <c r="I238">
        <v>60</v>
      </c>
      <c r="J238">
        <v>119382</v>
      </c>
      <c r="K238" t="s">
        <v>11</v>
      </c>
      <c r="L238" t="s">
        <v>19</v>
      </c>
      <c r="M238" t="s">
        <v>20</v>
      </c>
      <c r="N238" t="s">
        <v>28</v>
      </c>
      <c r="O238">
        <v>1</v>
      </c>
    </row>
    <row r="239" spans="1:15">
      <c r="A239" t="s">
        <v>756</v>
      </c>
      <c r="B239">
        <v>29</v>
      </c>
      <c r="C239" t="s">
        <v>33</v>
      </c>
      <c r="D239">
        <v>540884</v>
      </c>
      <c r="E239" t="s">
        <v>17</v>
      </c>
      <c r="F239">
        <v>629</v>
      </c>
      <c r="G239">
        <v>481202</v>
      </c>
      <c r="H239">
        <v>14.64</v>
      </c>
      <c r="I239">
        <v>48</v>
      </c>
      <c r="J239">
        <v>119774</v>
      </c>
      <c r="K239" t="s">
        <v>30</v>
      </c>
      <c r="L239" t="s">
        <v>34</v>
      </c>
      <c r="M239" t="s">
        <v>27</v>
      </c>
      <c r="N239" t="s">
        <v>28</v>
      </c>
      <c r="O239">
        <v>0</v>
      </c>
    </row>
    <row r="240" spans="1:15">
      <c r="A240" t="s">
        <v>787</v>
      </c>
      <c r="B240">
        <v>29</v>
      </c>
      <c r="C240" t="s">
        <v>33</v>
      </c>
      <c r="D240">
        <v>541936</v>
      </c>
      <c r="E240" t="s">
        <v>17</v>
      </c>
      <c r="F240">
        <v>826</v>
      </c>
      <c r="G240">
        <v>485051</v>
      </c>
      <c r="H240">
        <v>8.93</v>
      </c>
      <c r="I240">
        <v>48</v>
      </c>
      <c r="J240">
        <v>120410</v>
      </c>
      <c r="K240" t="s">
        <v>11</v>
      </c>
      <c r="L240" t="s">
        <v>19</v>
      </c>
      <c r="M240" t="s">
        <v>27</v>
      </c>
      <c r="N240" t="s">
        <v>28</v>
      </c>
      <c r="O240">
        <v>0</v>
      </c>
    </row>
    <row r="241" spans="1:15">
      <c r="A241" t="s">
        <v>842</v>
      </c>
      <c r="B241">
        <v>29</v>
      </c>
      <c r="C241" t="s">
        <v>33</v>
      </c>
      <c r="D241">
        <v>543163</v>
      </c>
      <c r="E241" t="s">
        <v>17</v>
      </c>
      <c r="F241">
        <v>635</v>
      </c>
      <c r="G241">
        <v>486789</v>
      </c>
      <c r="H241">
        <v>10.36</v>
      </c>
      <c r="I241">
        <v>24</v>
      </c>
      <c r="J241">
        <v>120423</v>
      </c>
      <c r="K241" t="s">
        <v>23</v>
      </c>
      <c r="L241" t="s">
        <v>19</v>
      </c>
      <c r="M241" t="s">
        <v>27</v>
      </c>
      <c r="N241" t="s">
        <v>28</v>
      </c>
      <c r="O241">
        <v>0</v>
      </c>
    </row>
    <row r="242" spans="1:15">
      <c r="A242" t="s">
        <v>910</v>
      </c>
      <c r="B242">
        <v>29</v>
      </c>
      <c r="C242" t="s">
        <v>1026</v>
      </c>
      <c r="D242">
        <v>543187</v>
      </c>
      <c r="E242" t="s">
        <v>25</v>
      </c>
      <c r="F242">
        <v>756</v>
      </c>
      <c r="G242">
        <v>490108</v>
      </c>
      <c r="H242">
        <v>8.81</v>
      </c>
      <c r="I242">
        <v>60</v>
      </c>
      <c r="J242">
        <v>120423</v>
      </c>
      <c r="K242" t="s">
        <v>18</v>
      </c>
      <c r="L242" t="s">
        <v>34</v>
      </c>
      <c r="M242" t="s">
        <v>20</v>
      </c>
      <c r="N242" t="s">
        <v>28</v>
      </c>
      <c r="O242">
        <v>1</v>
      </c>
    </row>
    <row r="243" spans="1:15">
      <c r="A243" t="s">
        <v>975</v>
      </c>
      <c r="B243">
        <v>29</v>
      </c>
      <c r="C243" t="s">
        <v>16</v>
      </c>
      <c r="D243">
        <v>545346</v>
      </c>
      <c r="E243" t="s">
        <v>25</v>
      </c>
      <c r="F243">
        <v>587</v>
      </c>
      <c r="G243">
        <v>492338</v>
      </c>
      <c r="H243">
        <v>8.6</v>
      </c>
      <c r="I243">
        <v>36</v>
      </c>
      <c r="J243">
        <v>120573</v>
      </c>
      <c r="K243" t="s">
        <v>11</v>
      </c>
      <c r="L243" t="s">
        <v>34</v>
      </c>
      <c r="M243" t="s">
        <v>20</v>
      </c>
      <c r="N243" t="s">
        <v>31</v>
      </c>
      <c r="O243">
        <v>1</v>
      </c>
    </row>
    <row r="244" spans="1:15">
      <c r="A244" t="s">
        <v>1024</v>
      </c>
      <c r="B244">
        <v>29</v>
      </c>
      <c r="C244" t="s">
        <v>16</v>
      </c>
      <c r="D244">
        <v>547538</v>
      </c>
      <c r="E244" t="s">
        <v>17</v>
      </c>
      <c r="F244">
        <v>840</v>
      </c>
      <c r="G244">
        <v>496387</v>
      </c>
      <c r="H244">
        <v>9.81</v>
      </c>
      <c r="I244">
        <v>24</v>
      </c>
      <c r="J244">
        <v>120753</v>
      </c>
      <c r="K244" t="s">
        <v>18</v>
      </c>
      <c r="L244" t="s">
        <v>19</v>
      </c>
      <c r="M244" t="s">
        <v>20</v>
      </c>
      <c r="N244" t="s">
        <v>31</v>
      </c>
      <c r="O244">
        <v>0</v>
      </c>
    </row>
    <row r="245" spans="1:15">
      <c r="A245" t="s">
        <v>96</v>
      </c>
      <c r="B245">
        <v>30</v>
      </c>
      <c r="C245" t="s">
        <v>33</v>
      </c>
      <c r="D245">
        <v>549980</v>
      </c>
      <c r="E245" t="s">
        <v>25</v>
      </c>
      <c r="F245">
        <v>349</v>
      </c>
      <c r="G245">
        <v>497614</v>
      </c>
      <c r="H245">
        <v>7.7</v>
      </c>
      <c r="I245">
        <v>12</v>
      </c>
      <c r="J245">
        <v>120753</v>
      </c>
      <c r="K245" t="s">
        <v>18</v>
      </c>
      <c r="L245" t="s">
        <v>34</v>
      </c>
      <c r="M245" t="s">
        <v>20</v>
      </c>
      <c r="N245" t="s">
        <v>31</v>
      </c>
      <c r="O245">
        <v>0</v>
      </c>
    </row>
    <row r="246" spans="1:15">
      <c r="A246" t="s">
        <v>99</v>
      </c>
      <c r="B246">
        <v>30</v>
      </c>
      <c r="C246" t="s">
        <v>33</v>
      </c>
      <c r="D246">
        <v>550013</v>
      </c>
      <c r="E246" t="s">
        <v>25</v>
      </c>
      <c r="F246">
        <v>392</v>
      </c>
      <c r="G246">
        <v>498015</v>
      </c>
      <c r="H246">
        <v>10.1</v>
      </c>
      <c r="I246">
        <v>60</v>
      </c>
      <c r="J246">
        <v>120940</v>
      </c>
      <c r="K246" t="s">
        <v>26</v>
      </c>
      <c r="L246" t="s">
        <v>19</v>
      </c>
      <c r="M246" t="s">
        <v>20</v>
      </c>
      <c r="N246" t="s">
        <v>31</v>
      </c>
      <c r="O246">
        <v>1</v>
      </c>
    </row>
    <row r="247" spans="1:15">
      <c r="A247" t="s">
        <v>101</v>
      </c>
      <c r="B247">
        <v>30</v>
      </c>
      <c r="C247" t="s">
        <v>16</v>
      </c>
      <c r="D247">
        <v>550013</v>
      </c>
      <c r="E247" t="s">
        <v>25</v>
      </c>
      <c r="F247">
        <v>544</v>
      </c>
      <c r="G247">
        <v>498409</v>
      </c>
      <c r="H247">
        <v>13.62</v>
      </c>
      <c r="I247">
        <v>60</v>
      </c>
      <c r="J247">
        <v>121645</v>
      </c>
      <c r="K247" t="s">
        <v>11</v>
      </c>
      <c r="L247" t="s">
        <v>34</v>
      </c>
      <c r="M247" t="s">
        <v>27</v>
      </c>
      <c r="N247" t="s">
        <v>31</v>
      </c>
      <c r="O247">
        <v>1</v>
      </c>
    </row>
    <row r="248" spans="1:15">
      <c r="A248" t="s">
        <v>122</v>
      </c>
      <c r="B248">
        <v>30</v>
      </c>
      <c r="C248" t="s">
        <v>16</v>
      </c>
      <c r="D248">
        <v>550082</v>
      </c>
      <c r="E248" t="s">
        <v>17</v>
      </c>
      <c r="F248">
        <v>372</v>
      </c>
      <c r="G248">
        <v>499772</v>
      </c>
      <c r="H248">
        <v>11.11</v>
      </c>
      <c r="I248">
        <v>24</v>
      </c>
      <c r="J248">
        <v>122549</v>
      </c>
      <c r="K248" t="s">
        <v>18</v>
      </c>
      <c r="L248" t="s">
        <v>19</v>
      </c>
      <c r="M248" t="s">
        <v>27</v>
      </c>
      <c r="N248" t="s">
        <v>31</v>
      </c>
      <c r="O248">
        <v>1</v>
      </c>
    </row>
    <row r="249" spans="1:15">
      <c r="A249" t="s">
        <v>151</v>
      </c>
      <c r="B249">
        <v>30</v>
      </c>
      <c r="C249" t="s">
        <v>16</v>
      </c>
      <c r="D249">
        <v>551990</v>
      </c>
      <c r="E249" t="s">
        <v>25</v>
      </c>
      <c r="F249">
        <v>643</v>
      </c>
      <c r="G249">
        <v>500292</v>
      </c>
      <c r="H249">
        <v>9.3000000000000007</v>
      </c>
      <c r="I249">
        <v>36</v>
      </c>
      <c r="J249">
        <v>122817</v>
      </c>
      <c r="K249" t="s">
        <v>23</v>
      </c>
      <c r="L249" t="s">
        <v>19</v>
      </c>
      <c r="M249" t="s">
        <v>20</v>
      </c>
      <c r="N249" t="s">
        <v>21</v>
      </c>
      <c r="O249">
        <v>0</v>
      </c>
    </row>
    <row r="250" spans="1:15">
      <c r="A250" t="s">
        <v>156</v>
      </c>
      <c r="B250">
        <v>30</v>
      </c>
      <c r="C250" t="s">
        <v>33</v>
      </c>
      <c r="D250">
        <v>552597</v>
      </c>
      <c r="E250" t="s">
        <v>25</v>
      </c>
      <c r="F250">
        <v>689</v>
      </c>
      <c r="G250">
        <v>500453</v>
      </c>
      <c r="H250">
        <v>11.54</v>
      </c>
      <c r="I250">
        <v>48</v>
      </c>
      <c r="J250">
        <v>122900</v>
      </c>
      <c r="K250" t="s">
        <v>23</v>
      </c>
      <c r="L250" t="s">
        <v>19</v>
      </c>
      <c r="M250" t="s">
        <v>27</v>
      </c>
      <c r="N250" t="s">
        <v>28</v>
      </c>
      <c r="O250">
        <v>0</v>
      </c>
    </row>
    <row r="251" spans="1:15">
      <c r="A251" t="s">
        <v>268</v>
      </c>
      <c r="B251">
        <v>30</v>
      </c>
      <c r="C251" t="s">
        <v>33</v>
      </c>
      <c r="D251">
        <v>553842</v>
      </c>
      <c r="E251" t="s">
        <v>17</v>
      </c>
      <c r="F251">
        <v>369</v>
      </c>
      <c r="G251">
        <v>504956</v>
      </c>
      <c r="H251">
        <v>14.14</v>
      </c>
      <c r="I251">
        <v>60</v>
      </c>
      <c r="J251">
        <v>123503</v>
      </c>
      <c r="K251" t="s">
        <v>11</v>
      </c>
      <c r="L251" t="s">
        <v>19</v>
      </c>
      <c r="M251" t="s">
        <v>20</v>
      </c>
      <c r="N251" t="s">
        <v>31</v>
      </c>
      <c r="O251">
        <v>0</v>
      </c>
    </row>
    <row r="252" spans="1:15">
      <c r="A252" t="s">
        <v>280</v>
      </c>
      <c r="B252">
        <v>30</v>
      </c>
      <c r="C252" t="s">
        <v>33</v>
      </c>
      <c r="D252">
        <v>553976</v>
      </c>
      <c r="E252" t="s">
        <v>25</v>
      </c>
      <c r="F252">
        <v>871</v>
      </c>
      <c r="G252">
        <v>506492</v>
      </c>
      <c r="H252">
        <v>15.81</v>
      </c>
      <c r="I252">
        <v>12</v>
      </c>
      <c r="J252">
        <v>123583</v>
      </c>
      <c r="K252" t="s">
        <v>11</v>
      </c>
      <c r="L252" t="s">
        <v>34</v>
      </c>
      <c r="M252" t="s">
        <v>27</v>
      </c>
      <c r="N252" t="s">
        <v>28</v>
      </c>
      <c r="O252">
        <v>0</v>
      </c>
    </row>
    <row r="253" spans="1:15">
      <c r="A253" t="s">
        <v>341</v>
      </c>
      <c r="B253">
        <v>30</v>
      </c>
      <c r="C253" t="s">
        <v>16</v>
      </c>
      <c r="D253">
        <v>555440</v>
      </c>
      <c r="E253" t="s">
        <v>17</v>
      </c>
      <c r="F253">
        <v>885</v>
      </c>
      <c r="G253">
        <v>506817</v>
      </c>
      <c r="H253">
        <v>7.51</v>
      </c>
      <c r="I253">
        <v>60</v>
      </c>
      <c r="J253">
        <v>123945</v>
      </c>
      <c r="K253" t="s">
        <v>18</v>
      </c>
      <c r="L253" t="s">
        <v>19</v>
      </c>
      <c r="M253" t="s">
        <v>20</v>
      </c>
      <c r="N253" t="s">
        <v>31</v>
      </c>
      <c r="O253">
        <v>0</v>
      </c>
    </row>
    <row r="254" spans="1:15">
      <c r="A254" t="s">
        <v>345</v>
      </c>
      <c r="B254">
        <v>30</v>
      </c>
      <c r="C254" t="s">
        <v>33</v>
      </c>
      <c r="D254">
        <v>557797</v>
      </c>
      <c r="E254" t="s">
        <v>25</v>
      </c>
      <c r="F254">
        <v>354</v>
      </c>
      <c r="G254">
        <v>507445</v>
      </c>
      <c r="H254">
        <v>14.87</v>
      </c>
      <c r="I254">
        <v>36</v>
      </c>
      <c r="J254">
        <v>125268</v>
      </c>
      <c r="K254" t="s">
        <v>11</v>
      </c>
      <c r="L254" t="s">
        <v>19</v>
      </c>
      <c r="M254" t="s">
        <v>27</v>
      </c>
      <c r="N254" t="s">
        <v>21</v>
      </c>
      <c r="O254">
        <v>0</v>
      </c>
    </row>
    <row r="255" spans="1:15">
      <c r="A255" t="s">
        <v>484</v>
      </c>
      <c r="B255">
        <v>30</v>
      </c>
      <c r="C255" t="s">
        <v>33</v>
      </c>
      <c r="D255">
        <v>560663</v>
      </c>
      <c r="E255" t="s">
        <v>17</v>
      </c>
      <c r="F255">
        <v>563</v>
      </c>
      <c r="G255">
        <v>511539</v>
      </c>
      <c r="H255">
        <v>15.32</v>
      </c>
      <c r="I255">
        <v>36</v>
      </c>
      <c r="J255">
        <v>125286</v>
      </c>
      <c r="K255" t="s">
        <v>23</v>
      </c>
      <c r="L255" t="s">
        <v>34</v>
      </c>
      <c r="M255" t="s">
        <v>20</v>
      </c>
      <c r="N255" t="s">
        <v>28</v>
      </c>
      <c r="O255">
        <v>1</v>
      </c>
    </row>
    <row r="256" spans="1:15">
      <c r="A256" t="s">
        <v>556</v>
      </c>
      <c r="B256">
        <v>30</v>
      </c>
      <c r="C256" t="s">
        <v>16</v>
      </c>
      <c r="D256">
        <v>563320</v>
      </c>
      <c r="E256" t="s">
        <v>25</v>
      </c>
      <c r="F256">
        <v>334</v>
      </c>
      <c r="G256">
        <v>514452</v>
      </c>
      <c r="H256">
        <v>10.6</v>
      </c>
      <c r="I256">
        <v>12</v>
      </c>
      <c r="J256">
        <v>125405</v>
      </c>
      <c r="K256" t="s">
        <v>30</v>
      </c>
      <c r="L256" t="s">
        <v>19</v>
      </c>
      <c r="M256" t="s">
        <v>27</v>
      </c>
      <c r="N256" t="s">
        <v>28</v>
      </c>
      <c r="O256">
        <v>0</v>
      </c>
    </row>
    <row r="257" spans="1:15">
      <c r="A257" t="s">
        <v>651</v>
      </c>
      <c r="B257">
        <v>30</v>
      </c>
      <c r="C257" t="s">
        <v>33</v>
      </c>
      <c r="D257">
        <v>566469</v>
      </c>
      <c r="E257" t="s">
        <v>25</v>
      </c>
      <c r="F257">
        <v>561</v>
      </c>
      <c r="G257">
        <v>515159</v>
      </c>
      <c r="H257">
        <v>7.89</v>
      </c>
      <c r="I257">
        <v>60</v>
      </c>
      <c r="J257">
        <v>126219</v>
      </c>
      <c r="K257" t="s">
        <v>30</v>
      </c>
      <c r="L257" t="s">
        <v>34</v>
      </c>
      <c r="M257" t="s">
        <v>20</v>
      </c>
      <c r="N257" t="s">
        <v>31</v>
      </c>
      <c r="O257">
        <v>1</v>
      </c>
    </row>
    <row r="258" spans="1:15">
      <c r="A258" t="s">
        <v>682</v>
      </c>
      <c r="B258">
        <v>30</v>
      </c>
      <c r="C258" t="s">
        <v>16</v>
      </c>
      <c r="D258">
        <v>566886</v>
      </c>
      <c r="E258" t="s">
        <v>17</v>
      </c>
      <c r="F258">
        <v>566</v>
      </c>
      <c r="G258">
        <v>516869</v>
      </c>
      <c r="H258">
        <v>7.69</v>
      </c>
      <c r="I258">
        <v>48</v>
      </c>
      <c r="J258">
        <v>126325</v>
      </c>
      <c r="K258" t="s">
        <v>26</v>
      </c>
      <c r="L258" t="s">
        <v>34</v>
      </c>
      <c r="M258" t="s">
        <v>27</v>
      </c>
      <c r="N258" t="s">
        <v>21</v>
      </c>
      <c r="O258">
        <v>1</v>
      </c>
    </row>
    <row r="259" spans="1:15">
      <c r="A259" t="s">
        <v>683</v>
      </c>
      <c r="B259">
        <v>30</v>
      </c>
      <c r="C259" t="s">
        <v>33</v>
      </c>
      <c r="D259">
        <v>567521</v>
      </c>
      <c r="E259" t="s">
        <v>25</v>
      </c>
      <c r="F259">
        <v>631</v>
      </c>
      <c r="G259">
        <v>518075</v>
      </c>
      <c r="H259">
        <v>8.08</v>
      </c>
      <c r="I259">
        <v>60</v>
      </c>
      <c r="J259">
        <v>126730</v>
      </c>
      <c r="K259" t="s">
        <v>11</v>
      </c>
      <c r="L259" t="s">
        <v>19</v>
      </c>
      <c r="M259" t="s">
        <v>20</v>
      </c>
      <c r="N259" t="s">
        <v>31</v>
      </c>
      <c r="O259">
        <v>0</v>
      </c>
    </row>
    <row r="260" spans="1:15">
      <c r="A260" t="s">
        <v>740</v>
      </c>
      <c r="B260">
        <v>30</v>
      </c>
      <c r="C260" t="s">
        <v>33</v>
      </c>
      <c r="D260">
        <v>567547</v>
      </c>
      <c r="E260" t="s">
        <v>25</v>
      </c>
      <c r="F260">
        <v>589</v>
      </c>
      <c r="G260">
        <v>524611</v>
      </c>
      <c r="H260">
        <v>15.14</v>
      </c>
      <c r="I260">
        <v>24</v>
      </c>
      <c r="J260">
        <v>126903</v>
      </c>
      <c r="K260" t="s">
        <v>26</v>
      </c>
      <c r="L260" t="s">
        <v>34</v>
      </c>
      <c r="M260" t="s">
        <v>27</v>
      </c>
      <c r="N260" t="s">
        <v>31</v>
      </c>
      <c r="O260">
        <v>0</v>
      </c>
    </row>
    <row r="261" spans="1:15">
      <c r="A261" t="s">
        <v>802</v>
      </c>
      <c r="B261">
        <v>30</v>
      </c>
      <c r="C261" t="s">
        <v>33</v>
      </c>
      <c r="D261">
        <v>568517</v>
      </c>
      <c r="E261" t="s">
        <v>25</v>
      </c>
      <c r="F261">
        <v>734</v>
      </c>
      <c r="G261">
        <v>525080</v>
      </c>
      <c r="H261">
        <v>13.6</v>
      </c>
      <c r="I261">
        <v>48</v>
      </c>
      <c r="J261">
        <v>127657</v>
      </c>
      <c r="K261" t="s">
        <v>18</v>
      </c>
      <c r="L261" t="s">
        <v>34</v>
      </c>
      <c r="M261" t="s">
        <v>20</v>
      </c>
      <c r="N261" t="s">
        <v>31</v>
      </c>
      <c r="O261">
        <v>0</v>
      </c>
    </row>
    <row r="262" spans="1:15">
      <c r="A262" t="s">
        <v>805</v>
      </c>
      <c r="B262">
        <v>30</v>
      </c>
      <c r="C262" t="s">
        <v>16</v>
      </c>
      <c r="D262">
        <v>571212</v>
      </c>
      <c r="E262" t="s">
        <v>25</v>
      </c>
      <c r="F262">
        <v>482</v>
      </c>
      <c r="G262">
        <v>525495</v>
      </c>
      <c r="H262">
        <v>16.079999999999998</v>
      </c>
      <c r="I262">
        <v>48</v>
      </c>
      <c r="J262">
        <v>127992</v>
      </c>
      <c r="K262" t="s">
        <v>11</v>
      </c>
      <c r="L262" t="s">
        <v>34</v>
      </c>
      <c r="M262" t="s">
        <v>20</v>
      </c>
      <c r="N262" t="s">
        <v>28</v>
      </c>
      <c r="O262">
        <v>1</v>
      </c>
    </row>
    <row r="263" spans="1:15">
      <c r="A263" t="s">
        <v>806</v>
      </c>
      <c r="B263">
        <v>30</v>
      </c>
      <c r="C263" t="s">
        <v>33</v>
      </c>
      <c r="D263">
        <v>571889</v>
      </c>
      <c r="E263" t="s">
        <v>25</v>
      </c>
      <c r="F263">
        <v>517</v>
      </c>
      <c r="G263">
        <v>527322</v>
      </c>
      <c r="H263">
        <v>12.9</v>
      </c>
      <c r="I263">
        <v>24</v>
      </c>
      <c r="J263">
        <v>132573</v>
      </c>
      <c r="K263" t="s">
        <v>11</v>
      </c>
      <c r="L263" t="s">
        <v>34</v>
      </c>
      <c r="M263" t="s">
        <v>27</v>
      </c>
      <c r="N263" t="s">
        <v>28</v>
      </c>
      <c r="O263">
        <v>1</v>
      </c>
    </row>
    <row r="264" spans="1:15">
      <c r="A264" t="s">
        <v>827</v>
      </c>
      <c r="B264">
        <v>30</v>
      </c>
      <c r="C264" t="s">
        <v>16</v>
      </c>
      <c r="D264">
        <v>572483</v>
      </c>
      <c r="E264" t="s">
        <v>17</v>
      </c>
      <c r="F264">
        <v>388</v>
      </c>
      <c r="G264">
        <v>529259</v>
      </c>
      <c r="H264">
        <v>11.97</v>
      </c>
      <c r="I264">
        <v>48</v>
      </c>
      <c r="J264">
        <v>133637</v>
      </c>
      <c r="K264" t="s">
        <v>30</v>
      </c>
      <c r="L264" t="s">
        <v>19</v>
      </c>
      <c r="M264" t="s">
        <v>27</v>
      </c>
      <c r="N264" t="s">
        <v>21</v>
      </c>
      <c r="O264">
        <v>1</v>
      </c>
    </row>
    <row r="265" spans="1:15">
      <c r="A265" t="s">
        <v>849</v>
      </c>
      <c r="B265">
        <v>30</v>
      </c>
      <c r="C265" t="s">
        <v>33</v>
      </c>
      <c r="D265">
        <v>573076</v>
      </c>
      <c r="E265" t="s">
        <v>25</v>
      </c>
      <c r="F265">
        <v>594</v>
      </c>
      <c r="G265">
        <v>533241</v>
      </c>
      <c r="H265">
        <v>16.010000000000002</v>
      </c>
      <c r="I265">
        <v>36</v>
      </c>
      <c r="J265">
        <v>134646</v>
      </c>
      <c r="K265" t="s">
        <v>18</v>
      </c>
      <c r="L265" t="s">
        <v>34</v>
      </c>
      <c r="M265" t="s">
        <v>27</v>
      </c>
      <c r="N265" t="s">
        <v>21</v>
      </c>
      <c r="O265">
        <v>0</v>
      </c>
    </row>
    <row r="266" spans="1:15">
      <c r="A266" t="s">
        <v>867</v>
      </c>
      <c r="B266">
        <v>30</v>
      </c>
      <c r="C266" t="s">
        <v>33</v>
      </c>
      <c r="D266">
        <v>574685</v>
      </c>
      <c r="E266" t="s">
        <v>17</v>
      </c>
      <c r="F266">
        <v>796</v>
      </c>
      <c r="G266">
        <v>533385</v>
      </c>
      <c r="H266">
        <v>15.51</v>
      </c>
      <c r="I266">
        <v>36</v>
      </c>
      <c r="J266">
        <v>135594</v>
      </c>
      <c r="K266" t="s">
        <v>30</v>
      </c>
      <c r="L266" t="s">
        <v>19</v>
      </c>
      <c r="M266" t="s">
        <v>20</v>
      </c>
      <c r="N266" t="s">
        <v>28</v>
      </c>
      <c r="O266">
        <v>0</v>
      </c>
    </row>
    <row r="267" spans="1:15">
      <c r="A267" t="s">
        <v>869</v>
      </c>
      <c r="B267">
        <v>30</v>
      </c>
      <c r="C267" t="s">
        <v>16</v>
      </c>
      <c r="D267">
        <v>575402</v>
      </c>
      <c r="E267" t="s">
        <v>17</v>
      </c>
      <c r="F267">
        <v>706</v>
      </c>
      <c r="G267">
        <v>535736</v>
      </c>
      <c r="H267">
        <v>15.57</v>
      </c>
      <c r="I267">
        <v>24</v>
      </c>
      <c r="J267">
        <v>135653</v>
      </c>
      <c r="K267" t="s">
        <v>26</v>
      </c>
      <c r="L267" t="s">
        <v>19</v>
      </c>
      <c r="M267" t="s">
        <v>20</v>
      </c>
      <c r="N267" t="s">
        <v>31</v>
      </c>
      <c r="O267">
        <v>0</v>
      </c>
    </row>
    <row r="268" spans="1:15">
      <c r="A268" t="s">
        <v>899</v>
      </c>
      <c r="B268">
        <v>30</v>
      </c>
      <c r="C268" t="s">
        <v>16</v>
      </c>
      <c r="D268">
        <v>576583</v>
      </c>
      <c r="E268" t="s">
        <v>17</v>
      </c>
      <c r="F268">
        <v>673</v>
      </c>
      <c r="G268">
        <v>536054</v>
      </c>
      <c r="H268">
        <v>14.08</v>
      </c>
      <c r="I268">
        <v>36</v>
      </c>
      <c r="J268">
        <v>136243</v>
      </c>
      <c r="K268" t="s">
        <v>23</v>
      </c>
      <c r="L268" t="s">
        <v>19</v>
      </c>
      <c r="M268" t="s">
        <v>27</v>
      </c>
      <c r="N268" t="s">
        <v>31</v>
      </c>
      <c r="O268">
        <v>1</v>
      </c>
    </row>
    <row r="269" spans="1:15">
      <c r="A269" t="s">
        <v>928</v>
      </c>
      <c r="B269">
        <v>30</v>
      </c>
      <c r="C269" t="s">
        <v>33</v>
      </c>
      <c r="D269">
        <v>577600</v>
      </c>
      <c r="E269" t="s">
        <v>17</v>
      </c>
      <c r="F269">
        <v>772</v>
      </c>
      <c r="G269">
        <v>537885</v>
      </c>
      <c r="H269">
        <v>8.9700000000000006</v>
      </c>
      <c r="I269">
        <v>36</v>
      </c>
      <c r="J269">
        <v>136743</v>
      </c>
      <c r="K269" t="s">
        <v>30</v>
      </c>
      <c r="L269" t="s">
        <v>34</v>
      </c>
      <c r="M269" t="s">
        <v>27</v>
      </c>
      <c r="N269" t="s">
        <v>21</v>
      </c>
      <c r="O269">
        <v>0</v>
      </c>
    </row>
    <row r="270" spans="1:15">
      <c r="A270" t="s">
        <v>951</v>
      </c>
      <c r="B270">
        <v>30</v>
      </c>
      <c r="C270" t="s">
        <v>33</v>
      </c>
      <c r="D270">
        <v>578192</v>
      </c>
      <c r="E270" t="s">
        <v>25</v>
      </c>
      <c r="F270">
        <v>558</v>
      </c>
      <c r="G270">
        <v>540976</v>
      </c>
      <c r="H270">
        <v>14.88</v>
      </c>
      <c r="I270">
        <v>12</v>
      </c>
      <c r="J270">
        <v>138518</v>
      </c>
      <c r="K270" t="s">
        <v>23</v>
      </c>
      <c r="L270" t="s">
        <v>34</v>
      </c>
      <c r="M270" t="s">
        <v>20</v>
      </c>
      <c r="N270" t="s">
        <v>21</v>
      </c>
      <c r="O270">
        <v>1</v>
      </c>
    </row>
    <row r="271" spans="1:15">
      <c r="A271" t="s">
        <v>994</v>
      </c>
      <c r="B271">
        <v>30</v>
      </c>
      <c r="C271" t="s">
        <v>16</v>
      </c>
      <c r="D271">
        <v>581362</v>
      </c>
      <c r="E271" t="s">
        <v>25</v>
      </c>
      <c r="F271">
        <v>576</v>
      </c>
      <c r="G271">
        <v>542298</v>
      </c>
      <c r="H271">
        <v>11.81</v>
      </c>
      <c r="I271">
        <v>24</v>
      </c>
      <c r="J271">
        <v>140046</v>
      </c>
      <c r="K271" t="s">
        <v>30</v>
      </c>
      <c r="L271" t="s">
        <v>19</v>
      </c>
      <c r="M271" t="s">
        <v>27</v>
      </c>
      <c r="N271" t="s">
        <v>31</v>
      </c>
      <c r="O271">
        <v>0</v>
      </c>
    </row>
    <row r="272" spans="1:15">
      <c r="A272" t="s">
        <v>1018</v>
      </c>
      <c r="B272">
        <v>30</v>
      </c>
      <c r="C272" t="s">
        <v>16</v>
      </c>
      <c r="D272">
        <v>581846</v>
      </c>
      <c r="E272" t="s">
        <v>25</v>
      </c>
      <c r="F272">
        <v>808</v>
      </c>
      <c r="G272">
        <v>542623</v>
      </c>
      <c r="H272">
        <v>15.69</v>
      </c>
      <c r="I272">
        <v>36</v>
      </c>
      <c r="J272">
        <v>141378</v>
      </c>
      <c r="K272" t="s">
        <v>11</v>
      </c>
      <c r="L272" t="s">
        <v>34</v>
      </c>
      <c r="M272" t="s">
        <v>20</v>
      </c>
      <c r="N272" t="s">
        <v>31</v>
      </c>
      <c r="O272">
        <v>0</v>
      </c>
    </row>
    <row r="273" spans="1:15">
      <c r="A273" t="s">
        <v>64</v>
      </c>
      <c r="B273">
        <v>31</v>
      </c>
      <c r="C273" t="s">
        <v>1026</v>
      </c>
      <c r="D273">
        <v>581848</v>
      </c>
      <c r="E273" t="s">
        <v>17</v>
      </c>
      <c r="F273">
        <v>808</v>
      </c>
      <c r="G273">
        <v>543032</v>
      </c>
      <c r="H273">
        <v>14.38</v>
      </c>
      <c r="I273">
        <v>48</v>
      </c>
      <c r="J273">
        <v>141974</v>
      </c>
      <c r="K273" t="s">
        <v>11</v>
      </c>
      <c r="L273" t="s">
        <v>19</v>
      </c>
      <c r="M273" t="s">
        <v>20</v>
      </c>
      <c r="N273" t="s">
        <v>21</v>
      </c>
      <c r="O273">
        <v>0</v>
      </c>
    </row>
    <row r="274" spans="1:15">
      <c r="A274" t="s">
        <v>179</v>
      </c>
      <c r="B274">
        <v>31</v>
      </c>
      <c r="C274" t="s">
        <v>33</v>
      </c>
      <c r="D274">
        <v>584844</v>
      </c>
      <c r="E274" t="s">
        <v>17</v>
      </c>
      <c r="F274">
        <v>681</v>
      </c>
      <c r="G274">
        <v>544016</v>
      </c>
      <c r="H274">
        <v>8.82</v>
      </c>
      <c r="I274">
        <v>60</v>
      </c>
      <c r="J274">
        <v>142818</v>
      </c>
      <c r="K274" t="s">
        <v>23</v>
      </c>
      <c r="L274" t="s">
        <v>34</v>
      </c>
      <c r="M274" t="s">
        <v>20</v>
      </c>
      <c r="N274" t="s">
        <v>31</v>
      </c>
      <c r="O274">
        <v>0</v>
      </c>
    </row>
    <row r="275" spans="1:15">
      <c r="A275" t="s">
        <v>207</v>
      </c>
      <c r="B275">
        <v>31</v>
      </c>
      <c r="C275" t="s">
        <v>16</v>
      </c>
      <c r="D275">
        <v>590253</v>
      </c>
      <c r="E275" t="s">
        <v>17</v>
      </c>
      <c r="F275">
        <v>638</v>
      </c>
      <c r="G275">
        <v>547571</v>
      </c>
      <c r="H275">
        <v>8.5299999999999994</v>
      </c>
      <c r="I275">
        <v>24</v>
      </c>
      <c r="J275">
        <v>142865</v>
      </c>
      <c r="K275" t="s">
        <v>18</v>
      </c>
      <c r="L275" t="s">
        <v>19</v>
      </c>
      <c r="M275" t="s">
        <v>27</v>
      </c>
      <c r="N275" t="s">
        <v>31</v>
      </c>
      <c r="O275">
        <v>0</v>
      </c>
    </row>
    <row r="276" spans="1:15">
      <c r="A276" t="s">
        <v>210</v>
      </c>
      <c r="B276">
        <v>31</v>
      </c>
      <c r="C276" t="s">
        <v>16</v>
      </c>
      <c r="D276">
        <v>590905</v>
      </c>
      <c r="E276" t="s">
        <v>17</v>
      </c>
      <c r="F276">
        <v>599</v>
      </c>
      <c r="G276">
        <v>548081</v>
      </c>
      <c r="H276">
        <v>12.06</v>
      </c>
      <c r="I276">
        <v>48</v>
      </c>
      <c r="J276">
        <v>142878</v>
      </c>
      <c r="K276" t="s">
        <v>11</v>
      </c>
      <c r="L276" t="s">
        <v>19</v>
      </c>
      <c r="M276" t="s">
        <v>27</v>
      </c>
      <c r="N276" t="s">
        <v>21</v>
      </c>
      <c r="O276">
        <v>1</v>
      </c>
    </row>
    <row r="277" spans="1:15">
      <c r="A277" t="s">
        <v>229</v>
      </c>
      <c r="B277">
        <v>31</v>
      </c>
      <c r="C277" t="s">
        <v>16</v>
      </c>
      <c r="D277">
        <v>594335</v>
      </c>
      <c r="E277" t="s">
        <v>25</v>
      </c>
      <c r="F277">
        <v>530</v>
      </c>
      <c r="G277">
        <v>548528</v>
      </c>
      <c r="H277">
        <v>14.88</v>
      </c>
      <c r="I277">
        <v>24</v>
      </c>
      <c r="J277">
        <v>142937</v>
      </c>
      <c r="K277" t="s">
        <v>11</v>
      </c>
      <c r="L277" t="s">
        <v>19</v>
      </c>
      <c r="M277" t="s">
        <v>20</v>
      </c>
      <c r="N277" t="s">
        <v>21</v>
      </c>
      <c r="O277">
        <v>1</v>
      </c>
    </row>
    <row r="278" spans="1:15">
      <c r="A278" t="s">
        <v>246</v>
      </c>
      <c r="B278">
        <v>31</v>
      </c>
      <c r="C278" t="s">
        <v>16</v>
      </c>
      <c r="D278">
        <v>598338</v>
      </c>
      <c r="E278" t="s">
        <v>17</v>
      </c>
      <c r="F278">
        <v>875</v>
      </c>
      <c r="G278">
        <v>549179</v>
      </c>
      <c r="H278">
        <v>10.57</v>
      </c>
      <c r="I278">
        <v>24</v>
      </c>
      <c r="J278">
        <v>143151</v>
      </c>
      <c r="K278" t="s">
        <v>23</v>
      </c>
      <c r="L278" t="s">
        <v>34</v>
      </c>
      <c r="M278" t="s">
        <v>20</v>
      </c>
      <c r="N278" t="s">
        <v>21</v>
      </c>
      <c r="O278">
        <v>0</v>
      </c>
    </row>
    <row r="279" spans="1:15">
      <c r="A279" t="s">
        <v>253</v>
      </c>
      <c r="B279">
        <v>31</v>
      </c>
      <c r="C279" t="s">
        <v>33</v>
      </c>
      <c r="D279">
        <v>599763</v>
      </c>
      <c r="E279" t="s">
        <v>17</v>
      </c>
      <c r="F279">
        <v>679</v>
      </c>
      <c r="G279">
        <v>553378</v>
      </c>
      <c r="H279">
        <v>10.37</v>
      </c>
      <c r="I279">
        <v>48</v>
      </c>
      <c r="J279">
        <v>143632</v>
      </c>
      <c r="K279" t="s">
        <v>11</v>
      </c>
      <c r="L279" t="s">
        <v>34</v>
      </c>
      <c r="M279" t="s">
        <v>27</v>
      </c>
      <c r="N279" t="s">
        <v>31</v>
      </c>
      <c r="O279">
        <v>0</v>
      </c>
    </row>
    <row r="280" spans="1:15">
      <c r="A280" t="s">
        <v>332</v>
      </c>
      <c r="B280">
        <v>31</v>
      </c>
      <c r="C280" t="s">
        <v>16</v>
      </c>
      <c r="D280">
        <v>600225</v>
      </c>
      <c r="E280" t="s">
        <v>17</v>
      </c>
      <c r="F280">
        <v>377</v>
      </c>
      <c r="G280">
        <v>554532</v>
      </c>
      <c r="H280">
        <v>11.03</v>
      </c>
      <c r="I280">
        <v>24</v>
      </c>
      <c r="J280">
        <v>143704</v>
      </c>
      <c r="K280" t="s">
        <v>23</v>
      </c>
      <c r="L280" t="s">
        <v>19</v>
      </c>
      <c r="M280" t="s">
        <v>20</v>
      </c>
      <c r="N280" t="s">
        <v>21</v>
      </c>
      <c r="O280">
        <v>1</v>
      </c>
    </row>
    <row r="281" spans="1:15">
      <c r="A281" t="s">
        <v>342</v>
      </c>
      <c r="B281">
        <v>31</v>
      </c>
      <c r="C281" t="s">
        <v>16</v>
      </c>
      <c r="D281">
        <v>600505</v>
      </c>
      <c r="E281" t="s">
        <v>17</v>
      </c>
      <c r="F281">
        <v>736</v>
      </c>
      <c r="G281">
        <v>555615</v>
      </c>
      <c r="H281">
        <v>9.09</v>
      </c>
      <c r="I281">
        <v>60</v>
      </c>
      <c r="J281">
        <v>144109</v>
      </c>
      <c r="K281" t="s">
        <v>11</v>
      </c>
      <c r="L281" t="s">
        <v>34</v>
      </c>
      <c r="M281" t="s">
        <v>27</v>
      </c>
      <c r="N281" t="s">
        <v>21</v>
      </c>
      <c r="O281">
        <v>0</v>
      </c>
    </row>
    <row r="282" spans="1:15">
      <c r="A282" t="s">
        <v>361</v>
      </c>
      <c r="B282">
        <v>31</v>
      </c>
      <c r="C282" t="s">
        <v>33</v>
      </c>
      <c r="D282">
        <v>601082</v>
      </c>
      <c r="E282" t="s">
        <v>17</v>
      </c>
      <c r="F282">
        <v>666</v>
      </c>
      <c r="G282">
        <v>559935</v>
      </c>
      <c r="H282">
        <v>11.05</v>
      </c>
      <c r="I282">
        <v>36</v>
      </c>
      <c r="J282">
        <v>144666</v>
      </c>
      <c r="K282" t="s">
        <v>26</v>
      </c>
      <c r="L282" t="s">
        <v>19</v>
      </c>
      <c r="M282" t="s">
        <v>27</v>
      </c>
      <c r="N282" t="s">
        <v>21</v>
      </c>
      <c r="O282">
        <v>0</v>
      </c>
    </row>
    <row r="283" spans="1:15">
      <c r="A283" t="s">
        <v>407</v>
      </c>
      <c r="B283">
        <v>31</v>
      </c>
      <c r="C283" t="s">
        <v>33</v>
      </c>
      <c r="D283">
        <v>601306</v>
      </c>
      <c r="E283" t="s">
        <v>25</v>
      </c>
      <c r="F283">
        <v>339</v>
      </c>
      <c r="G283">
        <v>560719</v>
      </c>
      <c r="H283">
        <v>13.15</v>
      </c>
      <c r="I283">
        <v>36</v>
      </c>
      <c r="J283">
        <v>145404</v>
      </c>
      <c r="K283" t="s">
        <v>11</v>
      </c>
      <c r="L283" t="s">
        <v>34</v>
      </c>
      <c r="M283" t="s">
        <v>20</v>
      </c>
      <c r="N283" t="s">
        <v>31</v>
      </c>
      <c r="O283">
        <v>0</v>
      </c>
    </row>
    <row r="284" spans="1:15">
      <c r="A284" t="s">
        <v>420</v>
      </c>
      <c r="B284">
        <v>31</v>
      </c>
      <c r="C284" t="s">
        <v>16</v>
      </c>
      <c r="D284">
        <v>602075</v>
      </c>
      <c r="E284" t="s">
        <v>25</v>
      </c>
      <c r="F284">
        <v>818</v>
      </c>
      <c r="G284">
        <v>561408</v>
      </c>
      <c r="H284">
        <v>12.07</v>
      </c>
      <c r="I284">
        <v>48</v>
      </c>
      <c r="J284">
        <v>145703</v>
      </c>
      <c r="K284" t="s">
        <v>18</v>
      </c>
      <c r="L284" t="s">
        <v>19</v>
      </c>
      <c r="M284" t="s">
        <v>27</v>
      </c>
      <c r="N284" t="s">
        <v>28</v>
      </c>
      <c r="O284">
        <v>0</v>
      </c>
    </row>
    <row r="285" spans="1:15">
      <c r="A285" t="s">
        <v>425</v>
      </c>
      <c r="B285">
        <v>31</v>
      </c>
      <c r="C285" t="s">
        <v>16</v>
      </c>
      <c r="D285">
        <v>602969</v>
      </c>
      <c r="E285" t="s">
        <v>17</v>
      </c>
      <c r="F285">
        <v>340</v>
      </c>
      <c r="G285">
        <v>561613</v>
      </c>
      <c r="H285">
        <v>8.2200000000000006</v>
      </c>
      <c r="I285">
        <v>12</v>
      </c>
      <c r="J285">
        <v>146033</v>
      </c>
      <c r="K285" t="s">
        <v>26</v>
      </c>
      <c r="L285" t="s">
        <v>19</v>
      </c>
      <c r="M285" t="s">
        <v>20</v>
      </c>
      <c r="N285" t="s">
        <v>21</v>
      </c>
      <c r="O285">
        <v>0</v>
      </c>
    </row>
    <row r="286" spans="1:15">
      <c r="A286" t="s">
        <v>531</v>
      </c>
      <c r="B286">
        <v>31</v>
      </c>
      <c r="C286" t="s">
        <v>33</v>
      </c>
      <c r="D286">
        <v>603023</v>
      </c>
      <c r="E286" t="s">
        <v>17</v>
      </c>
      <c r="F286">
        <v>761</v>
      </c>
      <c r="G286">
        <v>562809</v>
      </c>
      <c r="H286">
        <v>10.84</v>
      </c>
      <c r="I286">
        <v>60</v>
      </c>
      <c r="J286">
        <v>146640</v>
      </c>
      <c r="K286" t="s">
        <v>26</v>
      </c>
      <c r="L286" t="s">
        <v>19</v>
      </c>
      <c r="M286" t="s">
        <v>20</v>
      </c>
      <c r="N286" t="s">
        <v>31</v>
      </c>
      <c r="O286">
        <v>0</v>
      </c>
    </row>
    <row r="287" spans="1:15">
      <c r="A287" t="s">
        <v>583</v>
      </c>
      <c r="B287">
        <v>31</v>
      </c>
      <c r="C287" t="s">
        <v>16</v>
      </c>
      <c r="D287">
        <v>605135</v>
      </c>
      <c r="E287" t="s">
        <v>17</v>
      </c>
      <c r="F287">
        <v>647</v>
      </c>
      <c r="G287">
        <v>563256</v>
      </c>
      <c r="H287">
        <v>8.67</v>
      </c>
      <c r="I287">
        <v>48</v>
      </c>
      <c r="J287">
        <v>146702</v>
      </c>
      <c r="K287" t="s">
        <v>30</v>
      </c>
      <c r="L287" t="s">
        <v>34</v>
      </c>
      <c r="M287" t="s">
        <v>27</v>
      </c>
      <c r="N287" t="s">
        <v>31</v>
      </c>
      <c r="O287">
        <v>0</v>
      </c>
    </row>
    <row r="288" spans="1:15">
      <c r="A288" t="s">
        <v>615</v>
      </c>
      <c r="B288">
        <v>31</v>
      </c>
      <c r="C288" t="s">
        <v>1026</v>
      </c>
      <c r="D288">
        <v>609039</v>
      </c>
      <c r="E288" t="s">
        <v>17</v>
      </c>
      <c r="F288">
        <v>604</v>
      </c>
      <c r="G288">
        <v>564333</v>
      </c>
      <c r="H288">
        <v>12.9</v>
      </c>
      <c r="I288">
        <v>48</v>
      </c>
      <c r="J288">
        <v>146954</v>
      </c>
      <c r="K288" t="s">
        <v>18</v>
      </c>
      <c r="L288" t="s">
        <v>34</v>
      </c>
      <c r="M288" t="s">
        <v>20</v>
      </c>
      <c r="N288" t="s">
        <v>28</v>
      </c>
      <c r="O288">
        <v>0</v>
      </c>
    </row>
    <row r="289" spans="1:15">
      <c r="A289" t="s">
        <v>619</v>
      </c>
      <c r="B289">
        <v>31</v>
      </c>
      <c r="C289" t="s">
        <v>16</v>
      </c>
      <c r="D289">
        <v>609075</v>
      </c>
      <c r="E289" t="s">
        <v>25</v>
      </c>
      <c r="F289">
        <v>460</v>
      </c>
      <c r="G289">
        <v>569557</v>
      </c>
      <c r="H289">
        <v>12.24</v>
      </c>
      <c r="I289">
        <v>36</v>
      </c>
      <c r="J289">
        <v>148004</v>
      </c>
      <c r="K289" t="s">
        <v>18</v>
      </c>
      <c r="L289" t="s">
        <v>34</v>
      </c>
      <c r="M289" t="s">
        <v>27</v>
      </c>
      <c r="N289" t="s">
        <v>21</v>
      </c>
      <c r="O289">
        <v>1</v>
      </c>
    </row>
    <row r="290" spans="1:15">
      <c r="A290" t="s">
        <v>636</v>
      </c>
      <c r="B290">
        <v>31</v>
      </c>
      <c r="C290" t="s">
        <v>16</v>
      </c>
      <c r="D290">
        <v>610683</v>
      </c>
      <c r="E290" t="s">
        <v>25</v>
      </c>
      <c r="F290">
        <v>700</v>
      </c>
      <c r="G290">
        <v>569810</v>
      </c>
      <c r="H290">
        <v>8.91</v>
      </c>
      <c r="I290">
        <v>60</v>
      </c>
      <c r="J290">
        <v>148547</v>
      </c>
      <c r="K290" t="s">
        <v>26</v>
      </c>
      <c r="L290" t="s">
        <v>34</v>
      </c>
      <c r="M290" t="s">
        <v>20</v>
      </c>
      <c r="N290" t="s">
        <v>28</v>
      </c>
      <c r="O290">
        <v>0</v>
      </c>
    </row>
    <row r="291" spans="1:15">
      <c r="A291" t="s">
        <v>642</v>
      </c>
      <c r="B291">
        <v>31</v>
      </c>
      <c r="C291" t="s">
        <v>33</v>
      </c>
      <c r="D291">
        <v>612176</v>
      </c>
      <c r="E291" t="s">
        <v>25</v>
      </c>
      <c r="F291">
        <v>565</v>
      </c>
      <c r="G291">
        <v>570574</v>
      </c>
      <c r="H291">
        <v>10.25</v>
      </c>
      <c r="I291">
        <v>24</v>
      </c>
      <c r="J291">
        <v>148761</v>
      </c>
      <c r="K291" t="s">
        <v>23</v>
      </c>
      <c r="L291" t="s">
        <v>34</v>
      </c>
      <c r="M291" t="s">
        <v>27</v>
      </c>
      <c r="N291" t="s">
        <v>28</v>
      </c>
      <c r="O291">
        <v>0</v>
      </c>
    </row>
    <row r="292" spans="1:15">
      <c r="A292" t="s">
        <v>664</v>
      </c>
      <c r="B292">
        <v>31</v>
      </c>
      <c r="C292" t="s">
        <v>16</v>
      </c>
      <c r="D292">
        <v>615565</v>
      </c>
      <c r="E292" t="s">
        <v>25</v>
      </c>
      <c r="F292">
        <v>860</v>
      </c>
      <c r="G292">
        <v>571048</v>
      </c>
      <c r="H292">
        <v>12.17</v>
      </c>
      <c r="I292">
        <v>12</v>
      </c>
      <c r="J292">
        <v>148880</v>
      </c>
      <c r="K292" t="s">
        <v>11</v>
      </c>
      <c r="L292" t="s">
        <v>19</v>
      </c>
      <c r="M292" t="s">
        <v>27</v>
      </c>
      <c r="N292" t="s">
        <v>28</v>
      </c>
      <c r="O292">
        <v>0</v>
      </c>
    </row>
    <row r="293" spans="1:15">
      <c r="A293" t="s">
        <v>670</v>
      </c>
      <c r="B293">
        <v>31</v>
      </c>
      <c r="C293" t="s">
        <v>33</v>
      </c>
      <c r="D293">
        <v>616040</v>
      </c>
      <c r="E293" t="s">
        <v>25</v>
      </c>
      <c r="F293">
        <v>633</v>
      </c>
      <c r="G293">
        <v>571516</v>
      </c>
      <c r="H293">
        <v>13.66</v>
      </c>
      <c r="I293">
        <v>60</v>
      </c>
      <c r="J293">
        <v>149293</v>
      </c>
      <c r="K293" t="s">
        <v>23</v>
      </c>
      <c r="L293" t="s">
        <v>19</v>
      </c>
      <c r="M293" t="s">
        <v>27</v>
      </c>
      <c r="N293" t="s">
        <v>31</v>
      </c>
      <c r="O293">
        <v>0</v>
      </c>
    </row>
    <row r="294" spans="1:15">
      <c r="A294" t="s">
        <v>819</v>
      </c>
      <c r="B294">
        <v>31</v>
      </c>
      <c r="C294" t="s">
        <v>16</v>
      </c>
      <c r="D294">
        <v>618400</v>
      </c>
      <c r="E294" t="s">
        <v>17</v>
      </c>
      <c r="G294">
        <v>572642</v>
      </c>
      <c r="H294">
        <v>15.79</v>
      </c>
      <c r="I294">
        <v>36</v>
      </c>
      <c r="J294">
        <v>149720</v>
      </c>
      <c r="K294" t="s">
        <v>23</v>
      </c>
      <c r="L294" t="s">
        <v>19</v>
      </c>
      <c r="M294" t="s">
        <v>20</v>
      </c>
      <c r="N294" t="s">
        <v>31</v>
      </c>
      <c r="O294">
        <v>1</v>
      </c>
    </row>
    <row r="295" spans="1:15">
      <c r="A295" t="s">
        <v>999</v>
      </c>
      <c r="B295">
        <v>31</v>
      </c>
      <c r="C295" t="s">
        <v>33</v>
      </c>
      <c r="D295">
        <v>618744</v>
      </c>
      <c r="E295" t="s">
        <v>17</v>
      </c>
      <c r="F295">
        <v>648</v>
      </c>
      <c r="G295">
        <v>576294</v>
      </c>
      <c r="H295">
        <v>13.61</v>
      </c>
      <c r="I295">
        <v>36</v>
      </c>
      <c r="J295">
        <v>149837</v>
      </c>
      <c r="K295" t="s">
        <v>11</v>
      </c>
      <c r="L295" t="s">
        <v>19</v>
      </c>
      <c r="M295" t="s">
        <v>20</v>
      </c>
      <c r="N295" t="s">
        <v>31</v>
      </c>
      <c r="O295">
        <v>0</v>
      </c>
    </row>
    <row r="296" spans="1:15">
      <c r="A296" t="s">
        <v>1006</v>
      </c>
      <c r="B296">
        <v>31</v>
      </c>
      <c r="C296" t="s">
        <v>33</v>
      </c>
      <c r="D296">
        <v>618935</v>
      </c>
      <c r="E296" t="s">
        <v>25</v>
      </c>
      <c r="F296">
        <v>634</v>
      </c>
      <c r="G296">
        <v>578151</v>
      </c>
      <c r="H296">
        <v>11.76</v>
      </c>
      <c r="I296">
        <v>12</v>
      </c>
      <c r="J296">
        <v>151248</v>
      </c>
      <c r="K296" t="s">
        <v>23</v>
      </c>
      <c r="L296" t="s">
        <v>19</v>
      </c>
      <c r="M296" t="s">
        <v>27</v>
      </c>
      <c r="N296" t="s">
        <v>31</v>
      </c>
      <c r="O296">
        <v>0</v>
      </c>
    </row>
    <row r="297" spans="1:15">
      <c r="A297" t="s">
        <v>72</v>
      </c>
      <c r="B297">
        <v>32</v>
      </c>
      <c r="C297" t="s">
        <v>16</v>
      </c>
      <c r="D297">
        <v>620505</v>
      </c>
      <c r="E297" t="s">
        <v>17</v>
      </c>
      <c r="F297">
        <v>607</v>
      </c>
      <c r="G297">
        <v>578825</v>
      </c>
      <c r="H297">
        <v>8.27</v>
      </c>
      <c r="I297">
        <v>12</v>
      </c>
      <c r="J297">
        <v>152144</v>
      </c>
      <c r="K297" t="s">
        <v>23</v>
      </c>
      <c r="L297" t="s">
        <v>34</v>
      </c>
      <c r="M297" t="s">
        <v>20</v>
      </c>
      <c r="N297" t="s">
        <v>21</v>
      </c>
      <c r="O297">
        <v>0</v>
      </c>
    </row>
    <row r="298" spans="1:15">
      <c r="A298" t="s">
        <v>165</v>
      </c>
      <c r="B298">
        <v>32</v>
      </c>
      <c r="C298" t="s">
        <v>16</v>
      </c>
      <c r="D298">
        <v>624177</v>
      </c>
      <c r="E298" t="s">
        <v>25</v>
      </c>
      <c r="F298">
        <v>308</v>
      </c>
      <c r="G298">
        <v>582652</v>
      </c>
      <c r="H298">
        <v>10.33</v>
      </c>
      <c r="I298">
        <v>24</v>
      </c>
      <c r="J298">
        <v>152798</v>
      </c>
      <c r="K298" t="s">
        <v>18</v>
      </c>
      <c r="L298" t="s">
        <v>19</v>
      </c>
      <c r="M298" t="s">
        <v>20</v>
      </c>
      <c r="N298" t="s">
        <v>28</v>
      </c>
      <c r="O298">
        <v>0</v>
      </c>
    </row>
    <row r="299" spans="1:15">
      <c r="A299" t="s">
        <v>174</v>
      </c>
      <c r="B299">
        <v>32</v>
      </c>
      <c r="C299" t="s">
        <v>33</v>
      </c>
      <c r="D299">
        <v>625961</v>
      </c>
      <c r="E299" t="s">
        <v>25</v>
      </c>
      <c r="F299">
        <v>545</v>
      </c>
      <c r="G299">
        <v>585415</v>
      </c>
      <c r="H299">
        <v>16.11</v>
      </c>
      <c r="I299">
        <v>36</v>
      </c>
      <c r="J299">
        <v>152979</v>
      </c>
      <c r="K299" t="s">
        <v>23</v>
      </c>
      <c r="L299" t="s">
        <v>34</v>
      </c>
      <c r="M299" t="s">
        <v>20</v>
      </c>
      <c r="N299" t="s">
        <v>31</v>
      </c>
      <c r="O299">
        <v>0</v>
      </c>
    </row>
    <row r="300" spans="1:15">
      <c r="A300" t="s">
        <v>217</v>
      </c>
      <c r="B300">
        <v>32</v>
      </c>
      <c r="C300" t="s">
        <v>16</v>
      </c>
      <c r="D300">
        <v>627871</v>
      </c>
      <c r="E300" t="s">
        <v>17</v>
      </c>
      <c r="F300">
        <v>878</v>
      </c>
      <c r="G300">
        <v>588223</v>
      </c>
      <c r="H300">
        <v>16.47</v>
      </c>
      <c r="I300">
        <v>24</v>
      </c>
      <c r="J300">
        <v>153151</v>
      </c>
      <c r="K300" t="s">
        <v>11</v>
      </c>
      <c r="L300" t="s">
        <v>19</v>
      </c>
      <c r="M300" t="s">
        <v>27</v>
      </c>
      <c r="N300" t="s">
        <v>31</v>
      </c>
      <c r="O300">
        <v>0</v>
      </c>
    </row>
    <row r="301" spans="1:15">
      <c r="A301" t="s">
        <v>309</v>
      </c>
      <c r="B301">
        <v>32</v>
      </c>
      <c r="C301" t="s">
        <v>33</v>
      </c>
      <c r="D301">
        <v>628348</v>
      </c>
      <c r="E301" t="s">
        <v>17</v>
      </c>
      <c r="F301">
        <v>875</v>
      </c>
      <c r="G301">
        <v>589169</v>
      </c>
      <c r="H301">
        <v>13.32</v>
      </c>
      <c r="I301">
        <v>60</v>
      </c>
      <c r="J301">
        <v>153422</v>
      </c>
      <c r="K301" t="s">
        <v>18</v>
      </c>
      <c r="L301" t="s">
        <v>19</v>
      </c>
      <c r="M301" t="s">
        <v>20</v>
      </c>
      <c r="N301" t="s">
        <v>21</v>
      </c>
      <c r="O301">
        <v>0</v>
      </c>
    </row>
    <row r="302" spans="1:15">
      <c r="A302" t="s">
        <v>324</v>
      </c>
      <c r="B302">
        <v>32</v>
      </c>
      <c r="C302" t="s">
        <v>16</v>
      </c>
      <c r="D302">
        <v>629643</v>
      </c>
      <c r="E302" t="s">
        <v>17</v>
      </c>
      <c r="F302">
        <v>337</v>
      </c>
      <c r="G302">
        <v>597208</v>
      </c>
      <c r="H302">
        <v>13.7</v>
      </c>
      <c r="I302">
        <v>48</v>
      </c>
      <c r="J302">
        <v>154173</v>
      </c>
      <c r="K302" t="s">
        <v>30</v>
      </c>
      <c r="L302" t="s">
        <v>34</v>
      </c>
      <c r="M302" t="s">
        <v>20</v>
      </c>
      <c r="N302" t="s">
        <v>28</v>
      </c>
      <c r="O302">
        <v>0</v>
      </c>
    </row>
    <row r="303" spans="1:15">
      <c r="A303" t="s">
        <v>369</v>
      </c>
      <c r="B303">
        <v>32</v>
      </c>
      <c r="C303" t="s">
        <v>1026</v>
      </c>
      <c r="D303">
        <v>630971</v>
      </c>
      <c r="E303" t="s">
        <v>25</v>
      </c>
      <c r="F303">
        <v>476</v>
      </c>
      <c r="G303">
        <v>599709</v>
      </c>
      <c r="H303">
        <v>10.19</v>
      </c>
      <c r="I303">
        <v>36</v>
      </c>
      <c r="J303">
        <v>154598</v>
      </c>
      <c r="K303" t="s">
        <v>23</v>
      </c>
      <c r="L303" t="s">
        <v>34</v>
      </c>
      <c r="M303" t="s">
        <v>20</v>
      </c>
      <c r="N303" t="s">
        <v>28</v>
      </c>
      <c r="O303">
        <v>1</v>
      </c>
    </row>
    <row r="304" spans="1:15">
      <c r="A304" t="s">
        <v>373</v>
      </c>
      <c r="B304">
        <v>32</v>
      </c>
      <c r="C304" t="s">
        <v>16</v>
      </c>
      <c r="D304">
        <v>631491</v>
      </c>
      <c r="E304" t="s">
        <v>25</v>
      </c>
      <c r="F304">
        <v>616</v>
      </c>
      <c r="G304">
        <v>600673</v>
      </c>
      <c r="H304">
        <v>13.7</v>
      </c>
      <c r="I304">
        <v>12</v>
      </c>
      <c r="J304">
        <v>155823</v>
      </c>
      <c r="K304" t="s">
        <v>26</v>
      </c>
      <c r="L304" t="s">
        <v>34</v>
      </c>
      <c r="M304" t="s">
        <v>20</v>
      </c>
      <c r="N304" t="s">
        <v>28</v>
      </c>
      <c r="O304">
        <v>0</v>
      </c>
    </row>
    <row r="305" spans="1:15">
      <c r="A305" t="s">
        <v>374</v>
      </c>
      <c r="B305">
        <v>32</v>
      </c>
      <c r="C305" t="s">
        <v>33</v>
      </c>
      <c r="D305">
        <v>632233</v>
      </c>
      <c r="E305" t="s">
        <v>25</v>
      </c>
      <c r="F305">
        <v>729</v>
      </c>
      <c r="G305">
        <v>603033</v>
      </c>
      <c r="H305">
        <v>13.5</v>
      </c>
      <c r="I305">
        <v>60</v>
      </c>
      <c r="J305">
        <v>155931</v>
      </c>
      <c r="K305" t="s">
        <v>30</v>
      </c>
      <c r="L305" t="s">
        <v>19</v>
      </c>
      <c r="M305" t="s">
        <v>20</v>
      </c>
      <c r="N305" t="s">
        <v>31</v>
      </c>
      <c r="O305">
        <v>0</v>
      </c>
    </row>
    <row r="306" spans="1:15">
      <c r="A306" t="s">
        <v>390</v>
      </c>
      <c r="B306">
        <v>32</v>
      </c>
      <c r="C306" t="s">
        <v>16</v>
      </c>
      <c r="D306">
        <v>633306</v>
      </c>
      <c r="E306" t="s">
        <v>17</v>
      </c>
      <c r="F306">
        <v>477</v>
      </c>
      <c r="G306">
        <v>603167</v>
      </c>
      <c r="H306">
        <v>13.66</v>
      </c>
      <c r="I306">
        <v>48</v>
      </c>
      <c r="J306">
        <v>157416</v>
      </c>
      <c r="K306" t="s">
        <v>23</v>
      </c>
      <c r="L306" t="s">
        <v>34</v>
      </c>
      <c r="M306" t="s">
        <v>20</v>
      </c>
      <c r="N306" t="s">
        <v>28</v>
      </c>
      <c r="O306">
        <v>1</v>
      </c>
    </row>
    <row r="307" spans="1:15">
      <c r="A307" t="s">
        <v>399</v>
      </c>
      <c r="B307">
        <v>32</v>
      </c>
      <c r="C307" t="s">
        <v>33</v>
      </c>
      <c r="D307">
        <v>634138</v>
      </c>
      <c r="E307" t="s">
        <v>25</v>
      </c>
      <c r="F307">
        <v>699</v>
      </c>
      <c r="G307">
        <v>603257</v>
      </c>
      <c r="H307">
        <v>10.130000000000001</v>
      </c>
      <c r="I307">
        <v>12</v>
      </c>
      <c r="J307">
        <v>158029</v>
      </c>
      <c r="K307" t="s">
        <v>26</v>
      </c>
      <c r="L307" t="s">
        <v>34</v>
      </c>
      <c r="M307" t="s">
        <v>27</v>
      </c>
      <c r="N307" t="s">
        <v>28</v>
      </c>
      <c r="O307">
        <v>1</v>
      </c>
    </row>
    <row r="308" spans="1:15">
      <c r="A308" t="s">
        <v>428</v>
      </c>
      <c r="B308">
        <v>32</v>
      </c>
      <c r="C308" t="s">
        <v>33</v>
      </c>
      <c r="D308">
        <v>641632</v>
      </c>
      <c r="E308" t="s">
        <v>17</v>
      </c>
      <c r="F308">
        <v>524</v>
      </c>
      <c r="G308">
        <v>607762</v>
      </c>
      <c r="H308">
        <v>11.9</v>
      </c>
      <c r="I308">
        <v>12</v>
      </c>
      <c r="J308">
        <v>159216</v>
      </c>
      <c r="K308" t="s">
        <v>11</v>
      </c>
      <c r="L308" t="s">
        <v>34</v>
      </c>
      <c r="M308" t="s">
        <v>20</v>
      </c>
      <c r="N308" t="s">
        <v>31</v>
      </c>
      <c r="O308">
        <v>1</v>
      </c>
    </row>
    <row r="309" spans="1:15">
      <c r="A309" t="s">
        <v>439</v>
      </c>
      <c r="B309">
        <v>32</v>
      </c>
      <c r="C309" t="s">
        <v>33</v>
      </c>
      <c r="D309">
        <v>643123</v>
      </c>
      <c r="E309" t="s">
        <v>25</v>
      </c>
      <c r="F309">
        <v>613</v>
      </c>
      <c r="G309">
        <v>609107</v>
      </c>
      <c r="H309">
        <v>10.08</v>
      </c>
      <c r="I309">
        <v>36</v>
      </c>
      <c r="J309">
        <v>159262</v>
      </c>
      <c r="K309" t="s">
        <v>18</v>
      </c>
      <c r="L309" t="s">
        <v>19</v>
      </c>
      <c r="M309" t="s">
        <v>20</v>
      </c>
      <c r="N309" t="s">
        <v>21</v>
      </c>
      <c r="O309">
        <v>0</v>
      </c>
    </row>
    <row r="310" spans="1:15">
      <c r="A310" t="s">
        <v>542</v>
      </c>
      <c r="B310">
        <v>32</v>
      </c>
      <c r="C310" t="s">
        <v>33</v>
      </c>
      <c r="D310">
        <v>643997</v>
      </c>
      <c r="E310" t="s">
        <v>25</v>
      </c>
      <c r="F310">
        <v>473</v>
      </c>
      <c r="G310">
        <v>611716</v>
      </c>
      <c r="H310">
        <v>11.06</v>
      </c>
      <c r="I310">
        <v>60</v>
      </c>
      <c r="J310">
        <v>160578</v>
      </c>
      <c r="K310" t="s">
        <v>18</v>
      </c>
      <c r="L310" t="s">
        <v>19</v>
      </c>
      <c r="M310" t="s">
        <v>20</v>
      </c>
      <c r="N310" t="s">
        <v>28</v>
      </c>
      <c r="O310">
        <v>1</v>
      </c>
    </row>
    <row r="311" spans="1:15">
      <c r="A311" t="s">
        <v>606</v>
      </c>
      <c r="B311">
        <v>32</v>
      </c>
      <c r="C311" t="s">
        <v>33</v>
      </c>
      <c r="D311">
        <v>648188</v>
      </c>
      <c r="E311" t="s">
        <v>17</v>
      </c>
      <c r="F311">
        <v>521</v>
      </c>
      <c r="G311">
        <v>614859</v>
      </c>
      <c r="H311">
        <v>15.94</v>
      </c>
      <c r="I311">
        <v>12</v>
      </c>
      <c r="J311">
        <v>160678</v>
      </c>
      <c r="K311" t="s">
        <v>11</v>
      </c>
      <c r="L311" t="s">
        <v>19</v>
      </c>
      <c r="M311" t="s">
        <v>27</v>
      </c>
      <c r="N311" t="s">
        <v>21</v>
      </c>
      <c r="O311">
        <v>1</v>
      </c>
    </row>
    <row r="312" spans="1:15">
      <c r="A312" t="s">
        <v>700</v>
      </c>
      <c r="B312">
        <v>32</v>
      </c>
      <c r="C312" t="s">
        <v>33</v>
      </c>
      <c r="D312">
        <v>648247</v>
      </c>
      <c r="E312" t="s">
        <v>17</v>
      </c>
      <c r="F312">
        <v>456</v>
      </c>
      <c r="G312">
        <v>615212</v>
      </c>
      <c r="H312">
        <v>10.57</v>
      </c>
      <c r="I312">
        <v>36</v>
      </c>
      <c r="J312">
        <v>160770</v>
      </c>
      <c r="K312" t="s">
        <v>18</v>
      </c>
      <c r="L312" t="s">
        <v>19</v>
      </c>
      <c r="M312" t="s">
        <v>20</v>
      </c>
      <c r="N312" t="s">
        <v>28</v>
      </c>
      <c r="O312">
        <v>0</v>
      </c>
    </row>
    <row r="313" spans="1:15">
      <c r="A313" t="s">
        <v>711</v>
      </c>
      <c r="B313">
        <v>32</v>
      </c>
      <c r="C313" t="s">
        <v>16</v>
      </c>
      <c r="D313">
        <v>649440</v>
      </c>
      <c r="E313" t="s">
        <v>17</v>
      </c>
      <c r="G313">
        <v>618816</v>
      </c>
      <c r="H313">
        <v>14.1</v>
      </c>
      <c r="I313">
        <v>60</v>
      </c>
      <c r="J313">
        <v>160954</v>
      </c>
      <c r="K313" t="s">
        <v>11</v>
      </c>
      <c r="L313" t="s">
        <v>34</v>
      </c>
      <c r="M313" t="s">
        <v>27</v>
      </c>
      <c r="N313" t="s">
        <v>21</v>
      </c>
      <c r="O313">
        <v>0</v>
      </c>
    </row>
    <row r="314" spans="1:15">
      <c r="A314" t="s">
        <v>722</v>
      </c>
      <c r="B314">
        <v>32</v>
      </c>
      <c r="C314" t="s">
        <v>33</v>
      </c>
      <c r="D314">
        <v>649610</v>
      </c>
      <c r="E314" t="s">
        <v>25</v>
      </c>
      <c r="F314">
        <v>551</v>
      </c>
      <c r="G314">
        <v>619567</v>
      </c>
      <c r="H314">
        <v>7.64</v>
      </c>
      <c r="I314">
        <v>12</v>
      </c>
      <c r="J314">
        <v>162843</v>
      </c>
      <c r="K314" t="s">
        <v>23</v>
      </c>
      <c r="L314" t="s">
        <v>34</v>
      </c>
      <c r="M314" t="s">
        <v>20</v>
      </c>
      <c r="N314" t="s">
        <v>21</v>
      </c>
      <c r="O314">
        <v>0</v>
      </c>
    </row>
    <row r="315" spans="1:15">
      <c r="A315" t="s">
        <v>742</v>
      </c>
      <c r="B315">
        <v>32</v>
      </c>
      <c r="C315" t="s">
        <v>16</v>
      </c>
      <c r="D315">
        <v>651076</v>
      </c>
      <c r="E315" t="s">
        <v>17</v>
      </c>
      <c r="F315">
        <v>343</v>
      </c>
      <c r="G315">
        <v>620901</v>
      </c>
      <c r="H315">
        <v>14.98</v>
      </c>
      <c r="I315">
        <v>12</v>
      </c>
      <c r="J315">
        <v>163234</v>
      </c>
      <c r="K315" t="s">
        <v>26</v>
      </c>
      <c r="L315" t="s">
        <v>34</v>
      </c>
      <c r="M315" t="s">
        <v>27</v>
      </c>
      <c r="N315" t="s">
        <v>28</v>
      </c>
      <c r="O315">
        <v>0</v>
      </c>
    </row>
    <row r="316" spans="1:15">
      <c r="A316" t="s">
        <v>760</v>
      </c>
      <c r="B316">
        <v>32</v>
      </c>
      <c r="C316" t="s">
        <v>33</v>
      </c>
      <c r="D316">
        <v>651715</v>
      </c>
      <c r="E316" t="s">
        <v>17</v>
      </c>
      <c r="F316">
        <v>673</v>
      </c>
      <c r="G316">
        <v>621468</v>
      </c>
      <c r="H316">
        <v>16.05</v>
      </c>
      <c r="I316">
        <v>60</v>
      </c>
      <c r="J316">
        <v>163822</v>
      </c>
      <c r="K316" t="s">
        <v>11</v>
      </c>
      <c r="L316" t="s">
        <v>34</v>
      </c>
      <c r="M316" t="s">
        <v>27</v>
      </c>
      <c r="N316" t="s">
        <v>21</v>
      </c>
      <c r="O316">
        <v>1</v>
      </c>
    </row>
    <row r="317" spans="1:15">
      <c r="A317" t="s">
        <v>764</v>
      </c>
      <c r="B317">
        <v>32</v>
      </c>
      <c r="C317" t="s">
        <v>33</v>
      </c>
      <c r="D317">
        <v>653461</v>
      </c>
      <c r="E317" t="s">
        <v>25</v>
      </c>
      <c r="F317">
        <v>492</v>
      </c>
      <c r="G317">
        <v>623106</v>
      </c>
      <c r="H317">
        <v>12.91</v>
      </c>
      <c r="I317">
        <v>60</v>
      </c>
      <c r="J317">
        <v>164548</v>
      </c>
      <c r="K317" t="s">
        <v>18</v>
      </c>
      <c r="L317" t="s">
        <v>34</v>
      </c>
      <c r="M317" t="s">
        <v>27</v>
      </c>
      <c r="N317" t="s">
        <v>28</v>
      </c>
      <c r="O317">
        <v>0</v>
      </c>
    </row>
    <row r="318" spans="1:15">
      <c r="A318" t="s">
        <v>765</v>
      </c>
      <c r="B318">
        <v>32</v>
      </c>
      <c r="C318" t="s">
        <v>16</v>
      </c>
      <c r="D318">
        <v>653954</v>
      </c>
      <c r="E318" t="s">
        <v>17</v>
      </c>
      <c r="F318">
        <v>456</v>
      </c>
      <c r="G318">
        <v>624955</v>
      </c>
      <c r="H318">
        <v>15.71</v>
      </c>
      <c r="I318">
        <v>12</v>
      </c>
      <c r="J318">
        <v>164754</v>
      </c>
      <c r="K318" t="s">
        <v>11</v>
      </c>
      <c r="L318" t="s">
        <v>34</v>
      </c>
      <c r="M318" t="s">
        <v>27</v>
      </c>
      <c r="N318" t="s">
        <v>28</v>
      </c>
      <c r="O318">
        <v>0</v>
      </c>
    </row>
    <row r="319" spans="1:15">
      <c r="A319" t="s">
        <v>771</v>
      </c>
      <c r="B319">
        <v>32</v>
      </c>
      <c r="C319" t="s">
        <v>33</v>
      </c>
      <c r="D319">
        <v>654664</v>
      </c>
      <c r="E319" t="s">
        <v>17</v>
      </c>
      <c r="F319">
        <v>304</v>
      </c>
      <c r="G319">
        <v>630358</v>
      </c>
      <c r="H319">
        <v>12.52</v>
      </c>
      <c r="I319">
        <v>60</v>
      </c>
      <c r="J319">
        <v>165326</v>
      </c>
      <c r="K319" t="s">
        <v>18</v>
      </c>
      <c r="L319" t="s">
        <v>34</v>
      </c>
      <c r="M319" t="s">
        <v>27</v>
      </c>
      <c r="N319" t="s">
        <v>31</v>
      </c>
      <c r="O319">
        <v>1</v>
      </c>
    </row>
    <row r="320" spans="1:15">
      <c r="A320" t="s">
        <v>785</v>
      </c>
      <c r="B320">
        <v>32</v>
      </c>
      <c r="C320" t="s">
        <v>16</v>
      </c>
      <c r="D320">
        <v>654664</v>
      </c>
      <c r="E320" t="s">
        <v>25</v>
      </c>
      <c r="F320">
        <v>457</v>
      </c>
      <c r="G320">
        <v>630358</v>
      </c>
      <c r="H320">
        <v>16.329999999999998</v>
      </c>
      <c r="I320">
        <v>36</v>
      </c>
      <c r="J320">
        <v>165495</v>
      </c>
      <c r="K320" t="s">
        <v>26</v>
      </c>
      <c r="L320" t="s">
        <v>34</v>
      </c>
      <c r="M320" t="s">
        <v>20</v>
      </c>
      <c r="N320" t="s">
        <v>31</v>
      </c>
      <c r="O320">
        <v>0</v>
      </c>
    </row>
    <row r="321" spans="1:15">
      <c r="A321" t="s">
        <v>846</v>
      </c>
      <c r="B321">
        <v>32</v>
      </c>
      <c r="C321" t="s">
        <v>33</v>
      </c>
      <c r="D321">
        <v>655981</v>
      </c>
      <c r="E321" t="s">
        <v>25</v>
      </c>
      <c r="F321">
        <v>410</v>
      </c>
      <c r="G321">
        <v>632527</v>
      </c>
      <c r="H321">
        <v>14.12</v>
      </c>
      <c r="I321">
        <v>24</v>
      </c>
      <c r="J321">
        <v>165565</v>
      </c>
      <c r="K321" t="s">
        <v>30</v>
      </c>
      <c r="L321" t="s">
        <v>19</v>
      </c>
      <c r="M321" t="s">
        <v>20</v>
      </c>
      <c r="N321" t="s">
        <v>21</v>
      </c>
      <c r="O321">
        <v>1</v>
      </c>
    </row>
    <row r="322" spans="1:15">
      <c r="A322" t="s">
        <v>886</v>
      </c>
      <c r="B322">
        <v>32</v>
      </c>
      <c r="C322" t="s">
        <v>16</v>
      </c>
      <c r="D322">
        <v>657362</v>
      </c>
      <c r="E322" t="s">
        <v>25</v>
      </c>
      <c r="F322">
        <v>504</v>
      </c>
      <c r="G322">
        <v>632793</v>
      </c>
      <c r="H322">
        <v>11.8</v>
      </c>
      <c r="I322">
        <v>36</v>
      </c>
      <c r="J322">
        <v>165592</v>
      </c>
      <c r="K322" t="s">
        <v>18</v>
      </c>
      <c r="L322" t="s">
        <v>19</v>
      </c>
      <c r="M322" t="s">
        <v>20</v>
      </c>
      <c r="N322" t="s">
        <v>21</v>
      </c>
      <c r="O322">
        <v>1</v>
      </c>
    </row>
    <row r="323" spans="1:15">
      <c r="A323" t="s">
        <v>86</v>
      </c>
      <c r="B323">
        <v>33</v>
      </c>
      <c r="C323" t="s">
        <v>16</v>
      </c>
      <c r="D323">
        <v>657508</v>
      </c>
      <c r="E323" t="s">
        <v>25</v>
      </c>
      <c r="F323">
        <v>613</v>
      </c>
      <c r="G323">
        <v>634499</v>
      </c>
      <c r="H323">
        <v>13.12</v>
      </c>
      <c r="I323">
        <v>60</v>
      </c>
      <c r="J323">
        <v>165659</v>
      </c>
      <c r="K323" t="s">
        <v>30</v>
      </c>
      <c r="L323" t="s">
        <v>34</v>
      </c>
      <c r="M323" t="s">
        <v>27</v>
      </c>
      <c r="N323" t="s">
        <v>28</v>
      </c>
      <c r="O323">
        <v>0</v>
      </c>
    </row>
    <row r="324" spans="1:15">
      <c r="A324" t="s">
        <v>98</v>
      </c>
      <c r="B324">
        <v>33</v>
      </c>
      <c r="C324" t="s">
        <v>33</v>
      </c>
      <c r="D324">
        <v>658087</v>
      </c>
      <c r="E324" t="s">
        <v>25</v>
      </c>
      <c r="F324">
        <v>610</v>
      </c>
      <c r="G324">
        <v>635328</v>
      </c>
      <c r="H324">
        <v>12.46</v>
      </c>
      <c r="I324">
        <v>12</v>
      </c>
      <c r="J324">
        <v>166126</v>
      </c>
      <c r="K324" t="s">
        <v>11</v>
      </c>
      <c r="L324" t="s">
        <v>34</v>
      </c>
      <c r="M324" t="s">
        <v>20</v>
      </c>
      <c r="N324" t="s">
        <v>28</v>
      </c>
      <c r="O324">
        <v>0</v>
      </c>
    </row>
    <row r="325" spans="1:15">
      <c r="A325" t="s">
        <v>112</v>
      </c>
      <c r="B325">
        <v>33</v>
      </c>
      <c r="C325" t="s">
        <v>33</v>
      </c>
      <c r="D325">
        <v>661133</v>
      </c>
      <c r="E325" t="s">
        <v>25</v>
      </c>
      <c r="F325">
        <v>395</v>
      </c>
      <c r="G325">
        <v>635411</v>
      </c>
      <c r="H325">
        <v>14.11</v>
      </c>
      <c r="I325">
        <v>48</v>
      </c>
      <c r="J325">
        <v>166667</v>
      </c>
      <c r="K325" t="s">
        <v>18</v>
      </c>
      <c r="L325" t="s">
        <v>19</v>
      </c>
      <c r="M325" t="s">
        <v>27</v>
      </c>
      <c r="N325" t="s">
        <v>28</v>
      </c>
      <c r="O325">
        <v>0</v>
      </c>
    </row>
    <row r="326" spans="1:15">
      <c r="A326" t="s">
        <v>148</v>
      </c>
      <c r="B326">
        <v>33</v>
      </c>
      <c r="C326" t="s">
        <v>16</v>
      </c>
      <c r="D326">
        <v>662877</v>
      </c>
      <c r="E326" t="s">
        <v>17</v>
      </c>
      <c r="F326">
        <v>897</v>
      </c>
      <c r="G326">
        <v>635458</v>
      </c>
      <c r="H326">
        <v>13.18</v>
      </c>
      <c r="I326">
        <v>12</v>
      </c>
      <c r="J326">
        <v>167026</v>
      </c>
      <c r="K326" t="s">
        <v>26</v>
      </c>
      <c r="L326" t="s">
        <v>19</v>
      </c>
      <c r="M326" t="s">
        <v>20</v>
      </c>
      <c r="N326" t="s">
        <v>31</v>
      </c>
      <c r="O326">
        <v>1</v>
      </c>
    </row>
    <row r="327" spans="1:15">
      <c r="A327" t="s">
        <v>366</v>
      </c>
      <c r="B327">
        <v>33</v>
      </c>
      <c r="C327" t="s">
        <v>33</v>
      </c>
      <c r="D327">
        <v>664113</v>
      </c>
      <c r="E327" t="s">
        <v>17</v>
      </c>
      <c r="F327">
        <v>305</v>
      </c>
      <c r="G327">
        <v>637431</v>
      </c>
      <c r="H327">
        <v>16.329999999999998</v>
      </c>
      <c r="I327">
        <v>48</v>
      </c>
      <c r="J327">
        <v>168111</v>
      </c>
      <c r="K327" t="s">
        <v>30</v>
      </c>
      <c r="L327" t="s">
        <v>34</v>
      </c>
      <c r="M327" t="s">
        <v>20</v>
      </c>
      <c r="N327" t="s">
        <v>31</v>
      </c>
      <c r="O327">
        <v>0</v>
      </c>
    </row>
    <row r="328" spans="1:15">
      <c r="A328" t="s">
        <v>454</v>
      </c>
      <c r="B328">
        <v>33</v>
      </c>
      <c r="C328" t="s">
        <v>33</v>
      </c>
      <c r="D328">
        <v>665434</v>
      </c>
      <c r="E328" t="s">
        <v>25</v>
      </c>
      <c r="F328">
        <v>538</v>
      </c>
      <c r="G328">
        <v>637743</v>
      </c>
      <c r="H328">
        <v>14.74</v>
      </c>
      <c r="I328">
        <v>48</v>
      </c>
      <c r="J328">
        <v>169212</v>
      </c>
      <c r="K328" t="s">
        <v>23</v>
      </c>
      <c r="L328" t="s">
        <v>34</v>
      </c>
      <c r="M328" t="s">
        <v>27</v>
      </c>
      <c r="N328" t="s">
        <v>21</v>
      </c>
      <c r="O328">
        <v>0</v>
      </c>
    </row>
    <row r="329" spans="1:15">
      <c r="A329" t="s">
        <v>480</v>
      </c>
      <c r="B329">
        <v>33</v>
      </c>
      <c r="C329" t="s">
        <v>16</v>
      </c>
      <c r="D329">
        <v>665627</v>
      </c>
      <c r="E329" t="s">
        <v>17</v>
      </c>
      <c r="F329">
        <v>301</v>
      </c>
      <c r="G329">
        <v>637975</v>
      </c>
      <c r="H329">
        <v>12.04</v>
      </c>
      <c r="I329">
        <v>36</v>
      </c>
      <c r="J329">
        <v>169497</v>
      </c>
      <c r="K329" t="s">
        <v>18</v>
      </c>
      <c r="L329" t="s">
        <v>19</v>
      </c>
      <c r="M329" t="s">
        <v>20</v>
      </c>
      <c r="N329" t="s">
        <v>28</v>
      </c>
      <c r="O329">
        <v>0</v>
      </c>
    </row>
    <row r="330" spans="1:15">
      <c r="A330" t="s">
        <v>678</v>
      </c>
      <c r="B330">
        <v>33</v>
      </c>
      <c r="C330" t="s">
        <v>33</v>
      </c>
      <c r="D330">
        <v>666440</v>
      </c>
      <c r="E330" t="s">
        <v>25</v>
      </c>
      <c r="G330">
        <v>641846</v>
      </c>
      <c r="H330">
        <v>11.96</v>
      </c>
      <c r="I330">
        <v>36</v>
      </c>
      <c r="J330">
        <v>169694</v>
      </c>
      <c r="K330" t="s">
        <v>11</v>
      </c>
      <c r="L330" t="s">
        <v>19</v>
      </c>
      <c r="M330" t="s">
        <v>20</v>
      </c>
      <c r="N330" t="s">
        <v>28</v>
      </c>
      <c r="O330">
        <v>1</v>
      </c>
    </row>
    <row r="331" spans="1:15">
      <c r="A331" t="s">
        <v>704</v>
      </c>
      <c r="B331">
        <v>33</v>
      </c>
      <c r="C331" t="s">
        <v>33</v>
      </c>
      <c r="D331">
        <v>666542</v>
      </c>
      <c r="E331" t="s">
        <v>25</v>
      </c>
      <c r="F331">
        <v>336</v>
      </c>
      <c r="G331">
        <v>641846</v>
      </c>
      <c r="H331">
        <v>15.23</v>
      </c>
      <c r="I331">
        <v>12</v>
      </c>
      <c r="J331">
        <v>170185</v>
      </c>
      <c r="K331" t="s">
        <v>30</v>
      </c>
      <c r="L331" t="s">
        <v>34</v>
      </c>
      <c r="M331" t="s">
        <v>27</v>
      </c>
      <c r="N331" t="s">
        <v>31</v>
      </c>
      <c r="O331">
        <v>0</v>
      </c>
    </row>
    <row r="332" spans="1:15">
      <c r="A332" t="s">
        <v>750</v>
      </c>
      <c r="B332">
        <v>33</v>
      </c>
      <c r="C332" t="s">
        <v>33</v>
      </c>
      <c r="D332">
        <v>667856</v>
      </c>
      <c r="E332" t="s">
        <v>25</v>
      </c>
      <c r="F332">
        <v>557</v>
      </c>
      <c r="G332">
        <v>650395</v>
      </c>
      <c r="H332">
        <v>13.11</v>
      </c>
      <c r="I332">
        <v>24</v>
      </c>
      <c r="J332">
        <v>171359</v>
      </c>
      <c r="K332" t="s">
        <v>11</v>
      </c>
      <c r="L332" t="s">
        <v>34</v>
      </c>
      <c r="M332" t="s">
        <v>27</v>
      </c>
      <c r="N332" t="s">
        <v>31</v>
      </c>
      <c r="O332">
        <v>1</v>
      </c>
    </row>
    <row r="333" spans="1:15">
      <c r="A333" t="s">
        <v>752</v>
      </c>
      <c r="B333">
        <v>33</v>
      </c>
      <c r="C333" t="s">
        <v>16</v>
      </c>
      <c r="D333">
        <v>672581</v>
      </c>
      <c r="E333" t="s">
        <v>17</v>
      </c>
      <c r="F333">
        <v>677</v>
      </c>
      <c r="G333">
        <v>651615</v>
      </c>
      <c r="H333">
        <v>9.67</v>
      </c>
      <c r="I333">
        <v>60</v>
      </c>
      <c r="J333">
        <v>172147</v>
      </c>
      <c r="K333" t="s">
        <v>23</v>
      </c>
      <c r="L333" t="s">
        <v>34</v>
      </c>
      <c r="M333" t="s">
        <v>27</v>
      </c>
      <c r="N333" t="s">
        <v>28</v>
      </c>
      <c r="O333">
        <v>0</v>
      </c>
    </row>
    <row r="334" spans="1:15">
      <c r="A334" t="s">
        <v>761</v>
      </c>
      <c r="B334">
        <v>33</v>
      </c>
      <c r="C334" t="s">
        <v>16</v>
      </c>
      <c r="D334">
        <v>675910</v>
      </c>
      <c r="E334" t="s">
        <v>25</v>
      </c>
      <c r="F334">
        <v>523</v>
      </c>
      <c r="G334">
        <v>652078</v>
      </c>
      <c r="H334">
        <v>11.61</v>
      </c>
      <c r="I334">
        <v>60</v>
      </c>
      <c r="J334">
        <v>172726</v>
      </c>
      <c r="K334" t="s">
        <v>18</v>
      </c>
      <c r="L334" t="s">
        <v>19</v>
      </c>
      <c r="M334" t="s">
        <v>27</v>
      </c>
      <c r="N334" t="s">
        <v>21</v>
      </c>
      <c r="O334">
        <v>1</v>
      </c>
    </row>
    <row r="335" spans="1:15">
      <c r="A335" t="s">
        <v>823</v>
      </c>
      <c r="B335">
        <v>33</v>
      </c>
      <c r="C335" t="s">
        <v>33</v>
      </c>
      <c r="D335">
        <v>676190</v>
      </c>
      <c r="E335" t="s">
        <v>17</v>
      </c>
      <c r="F335">
        <v>869</v>
      </c>
      <c r="G335">
        <v>652263</v>
      </c>
      <c r="H335">
        <v>8.6199999999999992</v>
      </c>
      <c r="I335">
        <v>48</v>
      </c>
      <c r="J335">
        <v>172951</v>
      </c>
      <c r="K335" t="s">
        <v>26</v>
      </c>
      <c r="L335" t="s">
        <v>19</v>
      </c>
      <c r="M335" t="s">
        <v>27</v>
      </c>
      <c r="N335" t="s">
        <v>21</v>
      </c>
      <c r="O335">
        <v>1</v>
      </c>
    </row>
    <row r="336" spans="1:15">
      <c r="A336" t="s">
        <v>837</v>
      </c>
      <c r="B336">
        <v>33</v>
      </c>
      <c r="C336" t="s">
        <v>16</v>
      </c>
      <c r="D336">
        <v>678889</v>
      </c>
      <c r="E336" t="s">
        <v>25</v>
      </c>
      <c r="F336">
        <v>334</v>
      </c>
      <c r="G336">
        <v>654075</v>
      </c>
      <c r="H336">
        <v>9.67</v>
      </c>
      <c r="I336">
        <v>60</v>
      </c>
      <c r="J336">
        <v>173016</v>
      </c>
      <c r="K336" t="s">
        <v>18</v>
      </c>
      <c r="L336" t="s">
        <v>19</v>
      </c>
      <c r="M336" t="s">
        <v>27</v>
      </c>
      <c r="N336" t="s">
        <v>21</v>
      </c>
      <c r="O336">
        <v>0</v>
      </c>
    </row>
    <row r="337" spans="1:15">
      <c r="A337" t="s">
        <v>851</v>
      </c>
      <c r="B337">
        <v>33</v>
      </c>
      <c r="C337" t="s">
        <v>33</v>
      </c>
      <c r="D337">
        <v>679247</v>
      </c>
      <c r="E337" t="s">
        <v>17</v>
      </c>
      <c r="F337">
        <v>765</v>
      </c>
      <c r="G337">
        <v>654325</v>
      </c>
      <c r="H337">
        <v>16.46</v>
      </c>
      <c r="I337">
        <v>60</v>
      </c>
      <c r="J337">
        <v>174237</v>
      </c>
      <c r="K337" t="s">
        <v>26</v>
      </c>
      <c r="L337" t="s">
        <v>34</v>
      </c>
      <c r="M337" t="s">
        <v>27</v>
      </c>
      <c r="N337" t="s">
        <v>31</v>
      </c>
      <c r="O337">
        <v>0</v>
      </c>
    </row>
    <row r="338" spans="1:15">
      <c r="A338" t="s">
        <v>896</v>
      </c>
      <c r="B338">
        <v>33</v>
      </c>
      <c r="C338" t="s">
        <v>16</v>
      </c>
      <c r="D338">
        <v>679281</v>
      </c>
      <c r="E338" t="s">
        <v>25</v>
      </c>
      <c r="F338">
        <v>616</v>
      </c>
      <c r="G338">
        <v>657913</v>
      </c>
      <c r="H338">
        <v>9.4700000000000006</v>
      </c>
      <c r="I338">
        <v>36</v>
      </c>
      <c r="J338">
        <v>174283</v>
      </c>
      <c r="K338" t="s">
        <v>26</v>
      </c>
      <c r="L338" t="s">
        <v>19</v>
      </c>
      <c r="M338" t="s">
        <v>20</v>
      </c>
      <c r="N338" t="s">
        <v>21</v>
      </c>
      <c r="O338">
        <v>0</v>
      </c>
    </row>
    <row r="339" spans="1:15">
      <c r="A339" t="s">
        <v>1019</v>
      </c>
      <c r="B339">
        <v>33</v>
      </c>
      <c r="C339" t="s">
        <v>16</v>
      </c>
      <c r="D339">
        <v>679784</v>
      </c>
      <c r="E339" t="s">
        <v>25</v>
      </c>
      <c r="F339">
        <v>749</v>
      </c>
      <c r="G339">
        <v>659984</v>
      </c>
      <c r="H339">
        <v>13.81</v>
      </c>
      <c r="I339">
        <v>60</v>
      </c>
      <c r="J339">
        <v>174614</v>
      </c>
      <c r="K339" t="s">
        <v>26</v>
      </c>
      <c r="L339" t="s">
        <v>19</v>
      </c>
      <c r="M339" t="s">
        <v>27</v>
      </c>
      <c r="N339" t="s">
        <v>21</v>
      </c>
      <c r="O339">
        <v>0</v>
      </c>
    </row>
    <row r="340" spans="1:15">
      <c r="A340" t="s">
        <v>24</v>
      </c>
      <c r="B340">
        <v>34</v>
      </c>
      <c r="C340" t="s">
        <v>16</v>
      </c>
      <c r="D340">
        <v>682120</v>
      </c>
      <c r="E340" t="s">
        <v>25</v>
      </c>
      <c r="F340">
        <v>747</v>
      </c>
      <c r="G340">
        <v>662648</v>
      </c>
      <c r="H340">
        <v>11.93</v>
      </c>
      <c r="I340">
        <v>36</v>
      </c>
      <c r="J340">
        <v>174889</v>
      </c>
      <c r="K340" t="s">
        <v>26</v>
      </c>
      <c r="L340" t="s">
        <v>19</v>
      </c>
      <c r="M340" t="s">
        <v>27</v>
      </c>
      <c r="N340" t="s">
        <v>28</v>
      </c>
      <c r="O340">
        <v>0</v>
      </c>
    </row>
    <row r="341" spans="1:15">
      <c r="A341" t="s">
        <v>65</v>
      </c>
      <c r="B341">
        <v>34</v>
      </c>
      <c r="C341" t="s">
        <v>16</v>
      </c>
      <c r="D341">
        <v>682366</v>
      </c>
      <c r="E341" t="s">
        <v>17</v>
      </c>
      <c r="F341">
        <v>537</v>
      </c>
      <c r="G341">
        <v>667543</v>
      </c>
      <c r="H341">
        <v>8.73</v>
      </c>
      <c r="I341">
        <v>24</v>
      </c>
      <c r="J341">
        <v>174972</v>
      </c>
      <c r="K341" t="s">
        <v>30</v>
      </c>
      <c r="L341" t="s">
        <v>19</v>
      </c>
      <c r="M341" t="s">
        <v>27</v>
      </c>
      <c r="N341" t="s">
        <v>31</v>
      </c>
      <c r="O341">
        <v>1</v>
      </c>
    </row>
    <row r="342" spans="1:15">
      <c r="A342" t="s">
        <v>74</v>
      </c>
      <c r="B342">
        <v>34</v>
      </c>
      <c r="C342" t="s">
        <v>16</v>
      </c>
      <c r="D342">
        <v>682821</v>
      </c>
      <c r="E342" t="s">
        <v>25</v>
      </c>
      <c r="F342">
        <v>787</v>
      </c>
      <c r="G342">
        <v>668325</v>
      </c>
      <c r="H342">
        <v>14.21</v>
      </c>
      <c r="I342">
        <v>48</v>
      </c>
      <c r="J342">
        <v>175438</v>
      </c>
      <c r="K342" t="s">
        <v>11</v>
      </c>
      <c r="L342" t="s">
        <v>19</v>
      </c>
      <c r="M342" t="s">
        <v>27</v>
      </c>
      <c r="N342" t="s">
        <v>31</v>
      </c>
      <c r="O342">
        <v>0</v>
      </c>
    </row>
    <row r="343" spans="1:15">
      <c r="A343" t="s">
        <v>89</v>
      </c>
      <c r="B343">
        <v>34</v>
      </c>
      <c r="C343" t="s">
        <v>33</v>
      </c>
      <c r="D343">
        <v>683100</v>
      </c>
      <c r="E343" t="s">
        <v>17</v>
      </c>
      <c r="F343">
        <v>449</v>
      </c>
      <c r="G343">
        <v>668568</v>
      </c>
      <c r="H343">
        <v>15.58</v>
      </c>
      <c r="I343">
        <v>36</v>
      </c>
      <c r="J343">
        <v>177089</v>
      </c>
      <c r="K343" t="s">
        <v>26</v>
      </c>
      <c r="L343" t="s">
        <v>34</v>
      </c>
      <c r="M343" t="s">
        <v>27</v>
      </c>
      <c r="N343" t="s">
        <v>31</v>
      </c>
      <c r="O343">
        <v>1</v>
      </c>
    </row>
    <row r="344" spans="1:15">
      <c r="A344" t="s">
        <v>118</v>
      </c>
      <c r="B344">
        <v>34</v>
      </c>
      <c r="C344" t="s">
        <v>16</v>
      </c>
      <c r="D344">
        <v>683972</v>
      </c>
      <c r="E344" t="s">
        <v>25</v>
      </c>
      <c r="F344">
        <v>800</v>
      </c>
      <c r="G344">
        <v>668608</v>
      </c>
      <c r="H344">
        <v>16.05</v>
      </c>
      <c r="I344">
        <v>12</v>
      </c>
      <c r="J344">
        <v>180412</v>
      </c>
      <c r="K344" t="s">
        <v>26</v>
      </c>
      <c r="L344" t="s">
        <v>19</v>
      </c>
      <c r="M344" t="s">
        <v>27</v>
      </c>
      <c r="N344" t="s">
        <v>21</v>
      </c>
      <c r="O344">
        <v>0</v>
      </c>
    </row>
    <row r="345" spans="1:15">
      <c r="A345" t="s">
        <v>153</v>
      </c>
      <c r="B345">
        <v>34</v>
      </c>
      <c r="C345" t="s">
        <v>33</v>
      </c>
      <c r="D345">
        <v>685550</v>
      </c>
      <c r="E345" t="s">
        <v>17</v>
      </c>
      <c r="F345">
        <v>370</v>
      </c>
      <c r="G345">
        <v>678123</v>
      </c>
      <c r="H345">
        <v>11.49</v>
      </c>
      <c r="I345">
        <v>12</v>
      </c>
      <c r="J345">
        <v>180656</v>
      </c>
      <c r="K345" t="s">
        <v>23</v>
      </c>
      <c r="L345" t="s">
        <v>34</v>
      </c>
      <c r="M345" t="s">
        <v>27</v>
      </c>
      <c r="N345" t="s">
        <v>21</v>
      </c>
      <c r="O345">
        <v>0</v>
      </c>
    </row>
    <row r="346" spans="1:15">
      <c r="A346" t="s">
        <v>154</v>
      </c>
      <c r="B346">
        <v>34</v>
      </c>
      <c r="C346" t="s">
        <v>33</v>
      </c>
      <c r="D346">
        <v>687317</v>
      </c>
      <c r="E346" t="s">
        <v>17</v>
      </c>
      <c r="F346">
        <v>657</v>
      </c>
      <c r="G346">
        <v>678205</v>
      </c>
      <c r="H346">
        <v>13.9</v>
      </c>
      <c r="I346">
        <v>48</v>
      </c>
      <c r="J346">
        <v>181899</v>
      </c>
      <c r="K346" t="s">
        <v>18</v>
      </c>
      <c r="L346" t="s">
        <v>34</v>
      </c>
      <c r="M346" t="s">
        <v>27</v>
      </c>
      <c r="N346" t="s">
        <v>28</v>
      </c>
      <c r="O346">
        <v>0</v>
      </c>
    </row>
    <row r="347" spans="1:15">
      <c r="A347" t="s">
        <v>242</v>
      </c>
      <c r="B347">
        <v>34</v>
      </c>
      <c r="C347" t="s">
        <v>16</v>
      </c>
      <c r="D347">
        <v>688489</v>
      </c>
      <c r="E347" t="s">
        <v>25</v>
      </c>
      <c r="F347">
        <v>900</v>
      </c>
      <c r="G347">
        <v>680164</v>
      </c>
      <c r="H347">
        <v>8.25</v>
      </c>
      <c r="I347">
        <v>60</v>
      </c>
      <c r="J347">
        <v>182046</v>
      </c>
      <c r="K347" t="s">
        <v>11</v>
      </c>
      <c r="L347" t="s">
        <v>19</v>
      </c>
      <c r="M347" t="s">
        <v>27</v>
      </c>
      <c r="N347" t="s">
        <v>31</v>
      </c>
      <c r="O347">
        <v>0</v>
      </c>
    </row>
    <row r="348" spans="1:15">
      <c r="A348" t="s">
        <v>330</v>
      </c>
      <c r="B348">
        <v>34</v>
      </c>
      <c r="C348" t="s">
        <v>16</v>
      </c>
      <c r="D348">
        <v>689018</v>
      </c>
      <c r="E348" t="s">
        <v>17</v>
      </c>
      <c r="F348">
        <v>412</v>
      </c>
      <c r="G348">
        <v>682001</v>
      </c>
      <c r="H348">
        <v>12.31</v>
      </c>
      <c r="I348">
        <v>60</v>
      </c>
      <c r="J348">
        <v>182311</v>
      </c>
      <c r="K348" t="s">
        <v>11</v>
      </c>
      <c r="L348" t="s">
        <v>19</v>
      </c>
      <c r="M348" t="s">
        <v>20</v>
      </c>
      <c r="N348" t="s">
        <v>28</v>
      </c>
      <c r="O348">
        <v>1</v>
      </c>
    </row>
    <row r="349" spans="1:15">
      <c r="A349" t="s">
        <v>382</v>
      </c>
      <c r="B349">
        <v>34</v>
      </c>
      <c r="C349" t="s">
        <v>16</v>
      </c>
      <c r="D349">
        <v>691335</v>
      </c>
      <c r="E349" t="s">
        <v>25</v>
      </c>
      <c r="F349">
        <v>761</v>
      </c>
      <c r="G349">
        <v>682873</v>
      </c>
      <c r="H349">
        <v>15.86</v>
      </c>
      <c r="I349">
        <v>36</v>
      </c>
      <c r="J349">
        <v>182425</v>
      </c>
      <c r="K349" t="s">
        <v>18</v>
      </c>
      <c r="L349" t="s">
        <v>19</v>
      </c>
      <c r="M349" t="s">
        <v>20</v>
      </c>
      <c r="N349" t="s">
        <v>31</v>
      </c>
      <c r="O349">
        <v>0</v>
      </c>
    </row>
    <row r="350" spans="1:15">
      <c r="A350" t="s">
        <v>418</v>
      </c>
      <c r="B350">
        <v>34</v>
      </c>
      <c r="C350" t="s">
        <v>33</v>
      </c>
      <c r="D350">
        <v>693811</v>
      </c>
      <c r="E350" t="s">
        <v>17</v>
      </c>
      <c r="F350">
        <v>899</v>
      </c>
      <c r="G350">
        <v>682873</v>
      </c>
      <c r="H350">
        <v>16.079999999999998</v>
      </c>
      <c r="I350">
        <v>24</v>
      </c>
      <c r="J350">
        <v>182886</v>
      </c>
      <c r="K350" t="s">
        <v>30</v>
      </c>
      <c r="L350" t="s">
        <v>34</v>
      </c>
      <c r="M350" t="s">
        <v>20</v>
      </c>
      <c r="N350" t="s">
        <v>21</v>
      </c>
      <c r="O350">
        <v>1</v>
      </c>
    </row>
    <row r="351" spans="1:15">
      <c r="A351" t="s">
        <v>453</v>
      </c>
      <c r="B351">
        <v>34</v>
      </c>
      <c r="C351" t="s">
        <v>33</v>
      </c>
      <c r="D351">
        <v>695690</v>
      </c>
      <c r="E351" t="s">
        <v>17</v>
      </c>
      <c r="F351">
        <v>336</v>
      </c>
      <c r="G351">
        <v>683277</v>
      </c>
      <c r="H351">
        <v>9.48</v>
      </c>
      <c r="I351">
        <v>12</v>
      </c>
      <c r="J351">
        <v>184319</v>
      </c>
      <c r="K351" t="s">
        <v>18</v>
      </c>
      <c r="L351" t="s">
        <v>34</v>
      </c>
      <c r="M351" t="s">
        <v>27</v>
      </c>
      <c r="N351" t="s">
        <v>28</v>
      </c>
      <c r="O351">
        <v>0</v>
      </c>
    </row>
    <row r="352" spans="1:15">
      <c r="A352" t="s">
        <v>468</v>
      </c>
      <c r="B352">
        <v>34</v>
      </c>
      <c r="C352" t="s">
        <v>16</v>
      </c>
      <c r="D352">
        <v>696394</v>
      </c>
      <c r="E352" t="s">
        <v>25</v>
      </c>
      <c r="F352">
        <v>417</v>
      </c>
      <c r="G352">
        <v>685056</v>
      </c>
      <c r="H352">
        <v>10.78</v>
      </c>
      <c r="I352">
        <v>24</v>
      </c>
      <c r="J352">
        <v>184357</v>
      </c>
      <c r="K352" t="s">
        <v>11</v>
      </c>
      <c r="L352" t="s">
        <v>34</v>
      </c>
      <c r="M352" t="s">
        <v>27</v>
      </c>
      <c r="N352" t="s">
        <v>31</v>
      </c>
      <c r="O352">
        <v>1</v>
      </c>
    </row>
    <row r="353" spans="1:15">
      <c r="A353" t="s">
        <v>511</v>
      </c>
      <c r="B353">
        <v>34</v>
      </c>
      <c r="C353" t="s">
        <v>33</v>
      </c>
      <c r="D353">
        <v>696829</v>
      </c>
      <c r="E353" t="s">
        <v>25</v>
      </c>
      <c r="F353">
        <v>682</v>
      </c>
      <c r="G353">
        <v>687003</v>
      </c>
      <c r="H353">
        <v>13.94</v>
      </c>
      <c r="I353">
        <v>48</v>
      </c>
      <c r="J353">
        <v>184645</v>
      </c>
      <c r="K353" t="s">
        <v>11</v>
      </c>
      <c r="L353" t="s">
        <v>19</v>
      </c>
      <c r="M353" t="s">
        <v>20</v>
      </c>
      <c r="N353" t="s">
        <v>28</v>
      </c>
      <c r="O353">
        <v>1</v>
      </c>
    </row>
    <row r="354" spans="1:15">
      <c r="A354" t="s">
        <v>535</v>
      </c>
      <c r="B354">
        <v>34</v>
      </c>
      <c r="C354" t="s">
        <v>33</v>
      </c>
      <c r="D354">
        <v>698303</v>
      </c>
      <c r="E354" t="s">
        <v>17</v>
      </c>
      <c r="F354">
        <v>439</v>
      </c>
      <c r="G354">
        <v>687328</v>
      </c>
      <c r="H354">
        <v>14.83</v>
      </c>
      <c r="I354">
        <v>60</v>
      </c>
      <c r="J354">
        <v>186393</v>
      </c>
      <c r="K354" t="s">
        <v>26</v>
      </c>
      <c r="L354" t="s">
        <v>34</v>
      </c>
      <c r="M354" t="s">
        <v>27</v>
      </c>
      <c r="N354" t="s">
        <v>28</v>
      </c>
      <c r="O354">
        <v>0</v>
      </c>
    </row>
    <row r="355" spans="1:15">
      <c r="A355" t="s">
        <v>537</v>
      </c>
      <c r="B355">
        <v>34</v>
      </c>
      <c r="C355" t="s">
        <v>16</v>
      </c>
      <c r="D355">
        <v>702054</v>
      </c>
      <c r="E355" t="s">
        <v>25</v>
      </c>
      <c r="F355">
        <v>881</v>
      </c>
      <c r="G355">
        <v>690833</v>
      </c>
      <c r="H355">
        <v>14.18</v>
      </c>
      <c r="I355">
        <v>12</v>
      </c>
      <c r="J355">
        <v>187274</v>
      </c>
      <c r="K355" t="s">
        <v>18</v>
      </c>
      <c r="L355" t="s">
        <v>19</v>
      </c>
      <c r="M355" t="s">
        <v>20</v>
      </c>
      <c r="N355" t="s">
        <v>31</v>
      </c>
      <c r="O355">
        <v>0</v>
      </c>
    </row>
    <row r="356" spans="1:15">
      <c r="A356" t="s">
        <v>567</v>
      </c>
      <c r="B356">
        <v>34</v>
      </c>
      <c r="C356" t="s">
        <v>16</v>
      </c>
      <c r="D356">
        <v>702932</v>
      </c>
      <c r="E356" t="s">
        <v>17</v>
      </c>
      <c r="F356">
        <v>419</v>
      </c>
      <c r="G356">
        <v>690845</v>
      </c>
      <c r="H356">
        <v>15.06</v>
      </c>
      <c r="I356">
        <v>60</v>
      </c>
      <c r="J356">
        <v>187345</v>
      </c>
      <c r="K356" t="s">
        <v>11</v>
      </c>
      <c r="L356" t="s">
        <v>34</v>
      </c>
      <c r="M356" t="s">
        <v>20</v>
      </c>
      <c r="N356" t="s">
        <v>21</v>
      </c>
      <c r="O356">
        <v>1</v>
      </c>
    </row>
    <row r="357" spans="1:15">
      <c r="A357" t="s">
        <v>698</v>
      </c>
      <c r="B357">
        <v>34</v>
      </c>
      <c r="C357" t="s">
        <v>33</v>
      </c>
      <c r="D357">
        <v>703595</v>
      </c>
      <c r="E357" t="s">
        <v>17</v>
      </c>
      <c r="F357">
        <v>896</v>
      </c>
      <c r="G357">
        <v>692499</v>
      </c>
      <c r="H357">
        <v>12.39</v>
      </c>
      <c r="I357">
        <v>60</v>
      </c>
      <c r="J357">
        <v>187584</v>
      </c>
      <c r="K357" t="s">
        <v>18</v>
      </c>
      <c r="L357" t="s">
        <v>34</v>
      </c>
      <c r="M357" t="s">
        <v>20</v>
      </c>
      <c r="N357" t="s">
        <v>31</v>
      </c>
      <c r="O357">
        <v>0</v>
      </c>
    </row>
    <row r="358" spans="1:15">
      <c r="A358" t="s">
        <v>723</v>
      </c>
      <c r="B358">
        <v>34</v>
      </c>
      <c r="C358" t="s">
        <v>16</v>
      </c>
      <c r="D358">
        <v>705938</v>
      </c>
      <c r="E358" t="s">
        <v>25</v>
      </c>
      <c r="F358">
        <v>469</v>
      </c>
      <c r="G358">
        <v>695498</v>
      </c>
      <c r="H358">
        <v>8.65</v>
      </c>
      <c r="I358">
        <v>48</v>
      </c>
      <c r="J358">
        <v>188734</v>
      </c>
      <c r="K358" t="s">
        <v>23</v>
      </c>
      <c r="L358" t="s">
        <v>19</v>
      </c>
      <c r="M358" t="s">
        <v>27</v>
      </c>
      <c r="N358" t="s">
        <v>28</v>
      </c>
      <c r="O358">
        <v>0</v>
      </c>
    </row>
    <row r="359" spans="1:15">
      <c r="A359" t="s">
        <v>736</v>
      </c>
      <c r="B359">
        <v>34</v>
      </c>
      <c r="C359" t="s">
        <v>33</v>
      </c>
      <c r="D359">
        <v>705982</v>
      </c>
      <c r="E359" t="s">
        <v>25</v>
      </c>
      <c r="F359">
        <v>800</v>
      </c>
      <c r="G359">
        <v>697107</v>
      </c>
      <c r="H359">
        <v>8.5500000000000007</v>
      </c>
      <c r="I359">
        <v>48</v>
      </c>
      <c r="J359">
        <v>189543</v>
      </c>
      <c r="K359" t="s">
        <v>26</v>
      </c>
      <c r="L359" t="s">
        <v>34</v>
      </c>
      <c r="M359" t="s">
        <v>27</v>
      </c>
      <c r="N359" t="s">
        <v>28</v>
      </c>
      <c r="O359">
        <v>0</v>
      </c>
    </row>
    <row r="360" spans="1:15">
      <c r="A360" t="s">
        <v>748</v>
      </c>
      <c r="B360">
        <v>34</v>
      </c>
      <c r="C360" t="s">
        <v>33</v>
      </c>
      <c r="D360">
        <v>705982</v>
      </c>
      <c r="E360" t="s">
        <v>25</v>
      </c>
      <c r="F360">
        <v>335</v>
      </c>
      <c r="G360">
        <v>699956</v>
      </c>
      <c r="H360">
        <v>16.25</v>
      </c>
      <c r="I360">
        <v>48</v>
      </c>
      <c r="J360">
        <v>190269</v>
      </c>
      <c r="K360" t="s">
        <v>26</v>
      </c>
      <c r="L360" t="s">
        <v>19</v>
      </c>
      <c r="M360" t="s">
        <v>20</v>
      </c>
      <c r="N360" t="s">
        <v>21</v>
      </c>
      <c r="O360">
        <v>1</v>
      </c>
    </row>
    <row r="361" spans="1:15">
      <c r="A361" t="s">
        <v>776</v>
      </c>
      <c r="B361">
        <v>34</v>
      </c>
      <c r="C361" t="s">
        <v>33</v>
      </c>
      <c r="D361">
        <v>707044</v>
      </c>
      <c r="E361" t="s">
        <v>17</v>
      </c>
      <c r="F361">
        <v>673</v>
      </c>
      <c r="G361">
        <v>700969</v>
      </c>
      <c r="H361">
        <v>13.73</v>
      </c>
      <c r="I361">
        <v>60</v>
      </c>
      <c r="J361">
        <v>190574</v>
      </c>
      <c r="K361" t="s">
        <v>18</v>
      </c>
      <c r="L361" t="s">
        <v>34</v>
      </c>
      <c r="M361" t="s">
        <v>20</v>
      </c>
      <c r="N361" t="s">
        <v>31</v>
      </c>
      <c r="O361">
        <v>1</v>
      </c>
    </row>
    <row r="362" spans="1:15">
      <c r="A362" t="s">
        <v>799</v>
      </c>
      <c r="B362">
        <v>34</v>
      </c>
      <c r="C362" t="s">
        <v>33</v>
      </c>
      <c r="D362">
        <v>709833</v>
      </c>
      <c r="E362" t="s">
        <v>17</v>
      </c>
      <c r="F362">
        <v>540</v>
      </c>
      <c r="G362">
        <v>703013</v>
      </c>
      <c r="H362">
        <v>9.56</v>
      </c>
      <c r="I362">
        <v>48</v>
      </c>
      <c r="J362">
        <v>191685</v>
      </c>
      <c r="K362" t="s">
        <v>26</v>
      </c>
      <c r="L362" t="s">
        <v>34</v>
      </c>
      <c r="M362" t="s">
        <v>27</v>
      </c>
      <c r="N362" t="s">
        <v>31</v>
      </c>
      <c r="O362">
        <v>1</v>
      </c>
    </row>
    <row r="363" spans="1:15">
      <c r="A363" t="s">
        <v>858</v>
      </c>
      <c r="B363">
        <v>34</v>
      </c>
      <c r="C363" t="s">
        <v>33</v>
      </c>
      <c r="D363">
        <v>710366</v>
      </c>
      <c r="E363" t="s">
        <v>25</v>
      </c>
      <c r="F363">
        <v>809</v>
      </c>
      <c r="G363">
        <v>703613</v>
      </c>
      <c r="H363">
        <v>12.13</v>
      </c>
      <c r="I363">
        <v>24</v>
      </c>
      <c r="J363">
        <v>191885</v>
      </c>
      <c r="K363" t="s">
        <v>30</v>
      </c>
      <c r="L363" t="s">
        <v>34</v>
      </c>
      <c r="M363" t="s">
        <v>20</v>
      </c>
      <c r="N363" t="s">
        <v>21</v>
      </c>
      <c r="O363">
        <v>0</v>
      </c>
    </row>
    <row r="364" spans="1:15">
      <c r="A364" t="s">
        <v>891</v>
      </c>
      <c r="B364">
        <v>34</v>
      </c>
      <c r="C364" t="s">
        <v>16</v>
      </c>
      <c r="D364">
        <v>710893</v>
      </c>
      <c r="E364" t="s">
        <v>25</v>
      </c>
      <c r="F364">
        <v>356</v>
      </c>
      <c r="G364">
        <v>704449</v>
      </c>
      <c r="H364">
        <v>8.75</v>
      </c>
      <c r="I364">
        <v>12</v>
      </c>
      <c r="J364">
        <v>192114</v>
      </c>
      <c r="K364" t="s">
        <v>11</v>
      </c>
      <c r="L364" t="s">
        <v>19</v>
      </c>
      <c r="M364" t="s">
        <v>20</v>
      </c>
      <c r="N364" t="s">
        <v>21</v>
      </c>
      <c r="O364">
        <v>1</v>
      </c>
    </row>
    <row r="365" spans="1:15">
      <c r="A365" t="s">
        <v>932</v>
      </c>
      <c r="B365">
        <v>34</v>
      </c>
      <c r="C365" t="s">
        <v>16</v>
      </c>
      <c r="D365">
        <v>713329</v>
      </c>
      <c r="E365" t="s">
        <v>25</v>
      </c>
      <c r="F365">
        <v>847</v>
      </c>
      <c r="G365">
        <v>705170</v>
      </c>
      <c r="H365">
        <v>14.58</v>
      </c>
      <c r="I365">
        <v>24</v>
      </c>
      <c r="J365">
        <v>194729</v>
      </c>
      <c r="K365" t="s">
        <v>23</v>
      </c>
      <c r="L365" t="s">
        <v>34</v>
      </c>
      <c r="M365" t="s">
        <v>27</v>
      </c>
      <c r="N365" t="s">
        <v>31</v>
      </c>
      <c r="O365">
        <v>1</v>
      </c>
    </row>
    <row r="366" spans="1:15">
      <c r="A366" t="s">
        <v>952</v>
      </c>
      <c r="B366">
        <v>34</v>
      </c>
      <c r="C366" t="s">
        <v>33</v>
      </c>
      <c r="D366">
        <v>713329</v>
      </c>
      <c r="E366" t="s">
        <v>25</v>
      </c>
      <c r="F366">
        <v>322</v>
      </c>
      <c r="G366">
        <v>705944</v>
      </c>
      <c r="H366">
        <v>12.69</v>
      </c>
      <c r="I366">
        <v>36</v>
      </c>
      <c r="J366">
        <v>195303</v>
      </c>
      <c r="K366" t="s">
        <v>11</v>
      </c>
      <c r="L366" t="s">
        <v>34</v>
      </c>
      <c r="M366" t="s">
        <v>27</v>
      </c>
      <c r="N366" t="s">
        <v>28</v>
      </c>
      <c r="O366">
        <v>0</v>
      </c>
    </row>
    <row r="367" spans="1:15">
      <c r="A367" t="s">
        <v>1001</v>
      </c>
      <c r="B367">
        <v>34</v>
      </c>
      <c r="C367" t="s">
        <v>16</v>
      </c>
      <c r="D367">
        <v>713784</v>
      </c>
      <c r="E367" t="s">
        <v>17</v>
      </c>
      <c r="F367">
        <v>398</v>
      </c>
      <c r="G367">
        <v>705944</v>
      </c>
      <c r="H367">
        <v>10.039999999999999</v>
      </c>
      <c r="I367">
        <v>60</v>
      </c>
      <c r="J367">
        <v>195504</v>
      </c>
      <c r="K367" t="s">
        <v>11</v>
      </c>
      <c r="L367" t="s">
        <v>34</v>
      </c>
      <c r="M367" t="s">
        <v>20</v>
      </c>
      <c r="N367" t="s">
        <v>28</v>
      </c>
      <c r="O367">
        <v>0</v>
      </c>
    </row>
    <row r="368" spans="1:15">
      <c r="A368" t="s">
        <v>1005</v>
      </c>
      <c r="B368">
        <v>34</v>
      </c>
      <c r="C368" t="s">
        <v>16</v>
      </c>
      <c r="D368">
        <v>715165</v>
      </c>
      <c r="E368" t="s">
        <v>17</v>
      </c>
      <c r="F368">
        <v>308</v>
      </c>
      <c r="G368">
        <v>706403</v>
      </c>
      <c r="H368">
        <v>13.19</v>
      </c>
      <c r="I368">
        <v>36</v>
      </c>
      <c r="J368">
        <v>196384</v>
      </c>
      <c r="K368" t="s">
        <v>23</v>
      </c>
      <c r="L368" t="s">
        <v>34</v>
      </c>
      <c r="M368" t="s">
        <v>20</v>
      </c>
      <c r="N368" t="s">
        <v>28</v>
      </c>
      <c r="O368">
        <v>0</v>
      </c>
    </row>
    <row r="369" spans="1:15">
      <c r="A369" t="s">
        <v>24</v>
      </c>
      <c r="B369">
        <v>34</v>
      </c>
      <c r="C369" t="s">
        <v>16</v>
      </c>
      <c r="D369">
        <v>715731</v>
      </c>
      <c r="E369" t="s">
        <v>25</v>
      </c>
      <c r="F369">
        <v>747</v>
      </c>
      <c r="G369">
        <v>707666</v>
      </c>
      <c r="H369">
        <v>11.93</v>
      </c>
      <c r="I369">
        <v>36</v>
      </c>
      <c r="J369">
        <v>196557</v>
      </c>
      <c r="K369" t="s">
        <v>26</v>
      </c>
      <c r="L369" t="s">
        <v>19</v>
      </c>
      <c r="M369" t="s">
        <v>27</v>
      </c>
      <c r="N369" t="s">
        <v>28</v>
      </c>
      <c r="O369">
        <v>0</v>
      </c>
    </row>
    <row r="370" spans="1:15">
      <c r="A370" t="s">
        <v>58</v>
      </c>
      <c r="B370">
        <v>35</v>
      </c>
      <c r="C370" t="s">
        <v>16</v>
      </c>
      <c r="D370">
        <v>718582</v>
      </c>
      <c r="E370" t="s">
        <v>25</v>
      </c>
      <c r="F370">
        <v>313</v>
      </c>
      <c r="G370">
        <v>709540</v>
      </c>
      <c r="H370">
        <v>9.85</v>
      </c>
      <c r="I370">
        <v>12</v>
      </c>
      <c r="J370">
        <v>197482</v>
      </c>
      <c r="K370" t="s">
        <v>11</v>
      </c>
      <c r="L370" t="s">
        <v>34</v>
      </c>
      <c r="M370" t="s">
        <v>20</v>
      </c>
      <c r="N370" t="s">
        <v>31</v>
      </c>
      <c r="O370">
        <v>0</v>
      </c>
    </row>
    <row r="371" spans="1:15">
      <c r="A371" t="s">
        <v>102</v>
      </c>
      <c r="B371">
        <v>35</v>
      </c>
      <c r="C371" t="s">
        <v>16</v>
      </c>
      <c r="D371">
        <v>718909</v>
      </c>
      <c r="E371" t="s">
        <v>25</v>
      </c>
      <c r="F371">
        <v>670</v>
      </c>
      <c r="G371">
        <v>711493</v>
      </c>
      <c r="H371">
        <v>12.78</v>
      </c>
      <c r="I371">
        <v>24</v>
      </c>
      <c r="J371">
        <v>197548</v>
      </c>
      <c r="K371" t="s">
        <v>11</v>
      </c>
      <c r="L371" t="s">
        <v>34</v>
      </c>
      <c r="M371" t="s">
        <v>27</v>
      </c>
      <c r="N371" t="s">
        <v>21</v>
      </c>
      <c r="O371">
        <v>0</v>
      </c>
    </row>
    <row r="372" spans="1:15">
      <c r="A372" t="s">
        <v>124</v>
      </c>
      <c r="B372">
        <v>35</v>
      </c>
      <c r="C372" t="s">
        <v>16</v>
      </c>
      <c r="D372">
        <v>720996</v>
      </c>
      <c r="E372" t="s">
        <v>25</v>
      </c>
      <c r="F372">
        <v>875</v>
      </c>
      <c r="G372">
        <v>714815</v>
      </c>
      <c r="H372">
        <v>9.23</v>
      </c>
      <c r="I372">
        <v>48</v>
      </c>
      <c r="J372">
        <v>198054</v>
      </c>
      <c r="K372" t="s">
        <v>26</v>
      </c>
      <c r="L372" t="s">
        <v>19</v>
      </c>
      <c r="M372" t="s">
        <v>20</v>
      </c>
      <c r="N372" t="s">
        <v>21</v>
      </c>
      <c r="O372">
        <v>0</v>
      </c>
    </row>
    <row r="373" spans="1:15">
      <c r="A373" t="s">
        <v>131</v>
      </c>
      <c r="B373">
        <v>35</v>
      </c>
      <c r="C373" t="s">
        <v>33</v>
      </c>
      <c r="D373">
        <v>724768</v>
      </c>
      <c r="E373" t="s">
        <v>17</v>
      </c>
      <c r="F373">
        <v>471</v>
      </c>
      <c r="G373">
        <v>718390</v>
      </c>
      <c r="H373">
        <v>7.76</v>
      </c>
      <c r="I373">
        <v>48</v>
      </c>
      <c r="J373">
        <v>198063</v>
      </c>
      <c r="K373" t="s">
        <v>11</v>
      </c>
      <c r="L373" t="s">
        <v>34</v>
      </c>
      <c r="M373" t="s">
        <v>20</v>
      </c>
      <c r="N373" t="s">
        <v>31</v>
      </c>
      <c r="O373">
        <v>0</v>
      </c>
    </row>
    <row r="374" spans="1:15">
      <c r="A374" t="s">
        <v>227</v>
      </c>
      <c r="B374">
        <v>35</v>
      </c>
      <c r="C374" t="s">
        <v>33</v>
      </c>
      <c r="D374">
        <v>725598</v>
      </c>
      <c r="E374" t="s">
        <v>25</v>
      </c>
      <c r="F374">
        <v>407</v>
      </c>
      <c r="G374">
        <v>721399</v>
      </c>
      <c r="H374">
        <v>15</v>
      </c>
      <c r="I374">
        <v>48</v>
      </c>
      <c r="J374">
        <v>199462</v>
      </c>
      <c r="K374" t="s">
        <v>18</v>
      </c>
      <c r="L374" t="s">
        <v>34</v>
      </c>
      <c r="M374" t="s">
        <v>27</v>
      </c>
      <c r="N374" t="s">
        <v>31</v>
      </c>
      <c r="O374">
        <v>0</v>
      </c>
    </row>
    <row r="375" spans="1:15">
      <c r="A375" t="s">
        <v>245</v>
      </c>
      <c r="B375">
        <v>35</v>
      </c>
      <c r="C375" t="s">
        <v>33</v>
      </c>
      <c r="D375">
        <v>727975</v>
      </c>
      <c r="E375" t="s">
        <v>17</v>
      </c>
      <c r="F375">
        <v>756</v>
      </c>
      <c r="G375">
        <v>722740</v>
      </c>
      <c r="H375">
        <v>15.14</v>
      </c>
      <c r="I375">
        <v>24</v>
      </c>
      <c r="J375">
        <v>199984</v>
      </c>
      <c r="K375" t="s">
        <v>18</v>
      </c>
      <c r="L375" t="s">
        <v>19</v>
      </c>
      <c r="M375" t="s">
        <v>27</v>
      </c>
      <c r="N375" t="s">
        <v>28</v>
      </c>
      <c r="O375">
        <v>0</v>
      </c>
    </row>
    <row r="376" spans="1:15">
      <c r="A376" t="s">
        <v>297</v>
      </c>
      <c r="B376">
        <v>35</v>
      </c>
      <c r="C376" t="s">
        <v>16</v>
      </c>
      <c r="D376">
        <v>729297</v>
      </c>
      <c r="E376" t="s">
        <v>25</v>
      </c>
      <c r="G376">
        <v>723115</v>
      </c>
      <c r="H376">
        <v>10.1</v>
      </c>
      <c r="I376">
        <v>36</v>
      </c>
      <c r="J376">
        <v>200348</v>
      </c>
      <c r="K376" t="s">
        <v>23</v>
      </c>
      <c r="L376" t="s">
        <v>34</v>
      </c>
      <c r="M376" t="s">
        <v>20</v>
      </c>
      <c r="N376" t="s">
        <v>21</v>
      </c>
      <c r="O376">
        <v>0</v>
      </c>
    </row>
    <row r="377" spans="1:15">
      <c r="A377" t="s">
        <v>334</v>
      </c>
      <c r="B377">
        <v>35</v>
      </c>
      <c r="C377" t="s">
        <v>33</v>
      </c>
      <c r="D377">
        <v>730608</v>
      </c>
      <c r="E377" t="s">
        <v>25</v>
      </c>
      <c r="F377">
        <v>346</v>
      </c>
      <c r="G377">
        <v>723160</v>
      </c>
      <c r="H377">
        <v>13.84</v>
      </c>
      <c r="I377">
        <v>60</v>
      </c>
      <c r="J377">
        <v>201805</v>
      </c>
      <c r="K377" t="s">
        <v>30</v>
      </c>
      <c r="L377" t="s">
        <v>34</v>
      </c>
      <c r="M377" t="s">
        <v>20</v>
      </c>
      <c r="N377" t="s">
        <v>28</v>
      </c>
      <c r="O377">
        <v>0</v>
      </c>
    </row>
    <row r="378" spans="1:15">
      <c r="A378" t="s">
        <v>421</v>
      </c>
      <c r="B378">
        <v>35</v>
      </c>
      <c r="C378" t="s">
        <v>33</v>
      </c>
      <c r="D378">
        <v>730709</v>
      </c>
      <c r="E378" t="s">
        <v>25</v>
      </c>
      <c r="F378">
        <v>328</v>
      </c>
      <c r="G378">
        <v>724447</v>
      </c>
      <c r="H378">
        <v>11.31</v>
      </c>
      <c r="I378">
        <v>36</v>
      </c>
      <c r="J378">
        <v>202070</v>
      </c>
      <c r="K378" t="s">
        <v>26</v>
      </c>
      <c r="L378" t="s">
        <v>19</v>
      </c>
      <c r="M378" t="s">
        <v>27</v>
      </c>
      <c r="N378" t="s">
        <v>31</v>
      </c>
      <c r="O378">
        <v>0</v>
      </c>
    </row>
    <row r="379" spans="1:15">
      <c r="A379" t="s">
        <v>433</v>
      </c>
      <c r="B379">
        <v>35</v>
      </c>
      <c r="C379" t="s">
        <v>33</v>
      </c>
      <c r="D379">
        <v>731343</v>
      </c>
      <c r="E379" t="s">
        <v>25</v>
      </c>
      <c r="F379">
        <v>374</v>
      </c>
      <c r="G379">
        <v>728341</v>
      </c>
      <c r="H379">
        <v>14.79</v>
      </c>
      <c r="I379">
        <v>36</v>
      </c>
      <c r="J379">
        <v>202762</v>
      </c>
      <c r="K379" t="s">
        <v>18</v>
      </c>
      <c r="L379" t="s">
        <v>19</v>
      </c>
      <c r="M379" t="s">
        <v>20</v>
      </c>
      <c r="N379" t="s">
        <v>28</v>
      </c>
      <c r="O379">
        <v>0</v>
      </c>
    </row>
    <row r="380" spans="1:15">
      <c r="A380" t="s">
        <v>486</v>
      </c>
      <c r="B380">
        <v>35</v>
      </c>
      <c r="C380" t="s">
        <v>33</v>
      </c>
      <c r="D380">
        <v>732512</v>
      </c>
      <c r="E380" t="s">
        <v>25</v>
      </c>
      <c r="F380">
        <v>478</v>
      </c>
      <c r="G380">
        <v>729569</v>
      </c>
      <c r="H380">
        <v>7.77</v>
      </c>
      <c r="I380">
        <v>48</v>
      </c>
      <c r="J380">
        <v>202930</v>
      </c>
      <c r="K380" t="s">
        <v>23</v>
      </c>
      <c r="L380" t="s">
        <v>19</v>
      </c>
      <c r="M380" t="s">
        <v>20</v>
      </c>
      <c r="N380" t="s">
        <v>21</v>
      </c>
      <c r="O380">
        <v>1</v>
      </c>
    </row>
    <row r="381" spans="1:15">
      <c r="A381" t="s">
        <v>508</v>
      </c>
      <c r="B381">
        <v>35</v>
      </c>
      <c r="C381" t="s">
        <v>16</v>
      </c>
      <c r="D381">
        <v>734797</v>
      </c>
      <c r="E381" t="s">
        <v>25</v>
      </c>
      <c r="F381">
        <v>894</v>
      </c>
      <c r="G381">
        <v>730052</v>
      </c>
      <c r="H381">
        <v>13.4</v>
      </c>
      <c r="I381">
        <v>12</v>
      </c>
      <c r="J381">
        <v>205203</v>
      </c>
      <c r="K381" t="s">
        <v>30</v>
      </c>
      <c r="L381" t="s">
        <v>19</v>
      </c>
      <c r="M381" t="s">
        <v>27</v>
      </c>
      <c r="N381" t="s">
        <v>21</v>
      </c>
      <c r="O381">
        <v>0</v>
      </c>
    </row>
    <row r="382" spans="1:15">
      <c r="A382" t="s">
        <v>520</v>
      </c>
      <c r="B382">
        <v>35</v>
      </c>
      <c r="C382" t="s">
        <v>16</v>
      </c>
      <c r="D382">
        <v>736985</v>
      </c>
      <c r="E382" t="s">
        <v>25</v>
      </c>
      <c r="F382">
        <v>724</v>
      </c>
      <c r="G382">
        <v>733937</v>
      </c>
      <c r="H382">
        <v>9.27</v>
      </c>
      <c r="I382">
        <v>12</v>
      </c>
      <c r="J382">
        <v>205439</v>
      </c>
      <c r="K382" t="s">
        <v>18</v>
      </c>
      <c r="L382" t="s">
        <v>19</v>
      </c>
      <c r="M382" t="s">
        <v>27</v>
      </c>
      <c r="N382" t="s">
        <v>31</v>
      </c>
      <c r="O382">
        <v>0</v>
      </c>
    </row>
    <row r="383" spans="1:15">
      <c r="A383" t="s">
        <v>725</v>
      </c>
      <c r="B383">
        <v>35</v>
      </c>
      <c r="C383" t="s">
        <v>16</v>
      </c>
      <c r="D383">
        <v>738088</v>
      </c>
      <c r="E383" t="s">
        <v>25</v>
      </c>
      <c r="F383">
        <v>879</v>
      </c>
      <c r="G383">
        <v>734303</v>
      </c>
      <c r="H383">
        <v>10.02</v>
      </c>
      <c r="I383">
        <v>60</v>
      </c>
      <c r="J383">
        <v>206053</v>
      </c>
      <c r="K383" t="s">
        <v>23</v>
      </c>
      <c r="L383" t="s">
        <v>19</v>
      </c>
      <c r="M383" t="s">
        <v>20</v>
      </c>
      <c r="N383" t="s">
        <v>31</v>
      </c>
      <c r="O383">
        <v>0</v>
      </c>
    </row>
    <row r="384" spans="1:15">
      <c r="A384" t="s">
        <v>754</v>
      </c>
      <c r="B384">
        <v>35</v>
      </c>
      <c r="C384" t="s">
        <v>16</v>
      </c>
      <c r="D384">
        <v>740966</v>
      </c>
      <c r="E384" t="s">
        <v>17</v>
      </c>
      <c r="F384">
        <v>581</v>
      </c>
      <c r="G384">
        <v>735529</v>
      </c>
      <c r="H384">
        <v>12.12</v>
      </c>
      <c r="I384">
        <v>24</v>
      </c>
      <c r="J384">
        <v>206178</v>
      </c>
      <c r="K384" t="s">
        <v>26</v>
      </c>
      <c r="L384" t="s">
        <v>19</v>
      </c>
      <c r="M384" t="s">
        <v>20</v>
      </c>
      <c r="N384" t="s">
        <v>31</v>
      </c>
      <c r="O384">
        <v>1</v>
      </c>
    </row>
    <row r="385" spans="1:15">
      <c r="A385" t="s">
        <v>767</v>
      </c>
      <c r="B385">
        <v>35</v>
      </c>
      <c r="C385" t="s">
        <v>33</v>
      </c>
      <c r="D385">
        <v>741688</v>
      </c>
      <c r="E385" t="s">
        <v>25</v>
      </c>
      <c r="F385">
        <v>774</v>
      </c>
      <c r="G385">
        <v>736791</v>
      </c>
      <c r="H385">
        <v>9.84</v>
      </c>
      <c r="I385">
        <v>36</v>
      </c>
      <c r="J385">
        <v>207067</v>
      </c>
      <c r="K385" t="s">
        <v>11</v>
      </c>
      <c r="L385" t="s">
        <v>19</v>
      </c>
      <c r="M385" t="s">
        <v>27</v>
      </c>
      <c r="N385" t="s">
        <v>28</v>
      </c>
      <c r="O385">
        <v>0</v>
      </c>
    </row>
    <row r="386" spans="1:15">
      <c r="A386" t="s">
        <v>820</v>
      </c>
      <c r="B386">
        <v>35</v>
      </c>
      <c r="C386" t="s">
        <v>33</v>
      </c>
      <c r="D386">
        <v>741854</v>
      </c>
      <c r="E386" t="s">
        <v>17</v>
      </c>
      <c r="F386">
        <v>363</v>
      </c>
      <c r="G386">
        <v>737476</v>
      </c>
      <c r="H386">
        <v>11.02</v>
      </c>
      <c r="I386">
        <v>24</v>
      </c>
      <c r="J386">
        <v>207911</v>
      </c>
      <c r="K386" t="s">
        <v>18</v>
      </c>
      <c r="L386" t="s">
        <v>19</v>
      </c>
      <c r="M386" t="s">
        <v>27</v>
      </c>
      <c r="N386" t="s">
        <v>21</v>
      </c>
      <c r="O386">
        <v>1</v>
      </c>
    </row>
    <row r="387" spans="1:15">
      <c r="A387" t="s">
        <v>844</v>
      </c>
      <c r="B387">
        <v>35</v>
      </c>
      <c r="C387" t="s">
        <v>33</v>
      </c>
      <c r="D387">
        <v>743407</v>
      </c>
      <c r="E387" t="s">
        <v>25</v>
      </c>
      <c r="F387">
        <v>845</v>
      </c>
      <c r="G387">
        <v>739986</v>
      </c>
      <c r="H387">
        <v>12.05</v>
      </c>
      <c r="I387">
        <v>24</v>
      </c>
      <c r="J387">
        <v>208462</v>
      </c>
      <c r="K387" t="s">
        <v>23</v>
      </c>
      <c r="L387" t="s">
        <v>19</v>
      </c>
      <c r="M387" t="s">
        <v>27</v>
      </c>
      <c r="N387" t="s">
        <v>28</v>
      </c>
      <c r="O387">
        <v>1</v>
      </c>
    </row>
    <row r="388" spans="1:15">
      <c r="A388" t="s">
        <v>883</v>
      </c>
      <c r="B388">
        <v>35</v>
      </c>
      <c r="C388" t="s">
        <v>16</v>
      </c>
      <c r="D388">
        <v>744831</v>
      </c>
      <c r="E388" t="s">
        <v>17</v>
      </c>
      <c r="F388">
        <v>665</v>
      </c>
      <c r="G388">
        <v>740642</v>
      </c>
      <c r="H388">
        <v>15.27</v>
      </c>
      <c r="I388">
        <v>12</v>
      </c>
      <c r="J388">
        <v>208875</v>
      </c>
      <c r="K388" t="s">
        <v>11</v>
      </c>
      <c r="L388" t="s">
        <v>19</v>
      </c>
      <c r="M388" t="s">
        <v>20</v>
      </c>
      <c r="N388" t="s">
        <v>28</v>
      </c>
      <c r="O388">
        <v>0</v>
      </c>
    </row>
    <row r="389" spans="1:15">
      <c r="A389" t="s">
        <v>921</v>
      </c>
      <c r="B389">
        <v>35</v>
      </c>
      <c r="C389" t="s">
        <v>16</v>
      </c>
      <c r="D389">
        <v>745677</v>
      </c>
      <c r="E389" t="s">
        <v>25</v>
      </c>
      <c r="F389">
        <v>671</v>
      </c>
      <c r="G389">
        <v>741057</v>
      </c>
      <c r="H389">
        <v>13.82</v>
      </c>
      <c r="I389">
        <v>24</v>
      </c>
      <c r="J389">
        <v>208945</v>
      </c>
      <c r="K389" t="s">
        <v>11</v>
      </c>
      <c r="L389" t="s">
        <v>34</v>
      </c>
      <c r="M389" t="s">
        <v>27</v>
      </c>
      <c r="N389" t="s">
        <v>21</v>
      </c>
      <c r="O389">
        <v>0</v>
      </c>
    </row>
    <row r="390" spans="1:15">
      <c r="A390" t="s">
        <v>930</v>
      </c>
      <c r="B390">
        <v>35</v>
      </c>
      <c r="C390" t="s">
        <v>33</v>
      </c>
      <c r="D390">
        <v>746220</v>
      </c>
      <c r="E390" t="s">
        <v>17</v>
      </c>
      <c r="F390">
        <v>580</v>
      </c>
      <c r="G390">
        <v>743482</v>
      </c>
      <c r="H390">
        <v>13.51</v>
      </c>
      <c r="I390">
        <v>36</v>
      </c>
      <c r="J390">
        <v>209560</v>
      </c>
      <c r="K390" t="s">
        <v>23</v>
      </c>
      <c r="L390" t="s">
        <v>19</v>
      </c>
      <c r="M390" t="s">
        <v>27</v>
      </c>
      <c r="N390" t="s">
        <v>31</v>
      </c>
      <c r="O390">
        <v>1</v>
      </c>
    </row>
    <row r="391" spans="1:15">
      <c r="A391" t="s">
        <v>931</v>
      </c>
      <c r="B391">
        <v>35</v>
      </c>
      <c r="C391" t="s">
        <v>16</v>
      </c>
      <c r="D391">
        <v>749894</v>
      </c>
      <c r="E391" t="s">
        <v>17</v>
      </c>
      <c r="F391">
        <v>817</v>
      </c>
      <c r="G391">
        <v>743734</v>
      </c>
      <c r="H391">
        <v>12.52</v>
      </c>
      <c r="I391">
        <v>60</v>
      </c>
      <c r="J391">
        <v>210331</v>
      </c>
      <c r="K391" t="s">
        <v>23</v>
      </c>
      <c r="L391" t="s">
        <v>19</v>
      </c>
      <c r="M391" t="s">
        <v>20</v>
      </c>
      <c r="N391" t="s">
        <v>21</v>
      </c>
      <c r="O391">
        <v>0</v>
      </c>
    </row>
    <row r="392" spans="1:15">
      <c r="A392" t="s">
        <v>937</v>
      </c>
      <c r="B392">
        <v>35</v>
      </c>
      <c r="C392" t="s">
        <v>16</v>
      </c>
      <c r="D392">
        <v>752552</v>
      </c>
      <c r="E392" t="s">
        <v>17</v>
      </c>
      <c r="F392">
        <v>735</v>
      </c>
      <c r="G392">
        <v>745120</v>
      </c>
      <c r="H392">
        <v>8.6</v>
      </c>
      <c r="I392">
        <v>60</v>
      </c>
      <c r="J392">
        <v>210361</v>
      </c>
      <c r="K392" t="s">
        <v>30</v>
      </c>
      <c r="L392" t="s">
        <v>34</v>
      </c>
      <c r="M392" t="s">
        <v>20</v>
      </c>
      <c r="N392" t="s">
        <v>21</v>
      </c>
      <c r="O392">
        <v>0</v>
      </c>
    </row>
    <row r="393" spans="1:15">
      <c r="A393" t="s">
        <v>945</v>
      </c>
      <c r="B393">
        <v>35</v>
      </c>
      <c r="C393" t="s">
        <v>33</v>
      </c>
      <c r="D393">
        <v>755423</v>
      </c>
      <c r="E393" t="s">
        <v>17</v>
      </c>
      <c r="F393">
        <v>561</v>
      </c>
      <c r="G393">
        <v>747352</v>
      </c>
      <c r="H393">
        <v>9.93</v>
      </c>
      <c r="I393">
        <v>12</v>
      </c>
      <c r="J393">
        <v>211419</v>
      </c>
      <c r="K393" t="s">
        <v>30</v>
      </c>
      <c r="L393" t="s">
        <v>34</v>
      </c>
      <c r="M393" t="s">
        <v>27</v>
      </c>
      <c r="N393" t="s">
        <v>21</v>
      </c>
      <c r="O393">
        <v>0</v>
      </c>
    </row>
    <row r="394" spans="1:15">
      <c r="A394" t="s">
        <v>972</v>
      </c>
      <c r="B394">
        <v>35</v>
      </c>
      <c r="C394" t="s">
        <v>33</v>
      </c>
      <c r="D394">
        <v>757219</v>
      </c>
      <c r="E394" t="s">
        <v>17</v>
      </c>
      <c r="F394">
        <v>556</v>
      </c>
      <c r="G394">
        <v>748662</v>
      </c>
      <c r="H394">
        <v>12.2</v>
      </c>
      <c r="I394">
        <v>24</v>
      </c>
      <c r="J394">
        <v>211481</v>
      </c>
      <c r="K394" t="s">
        <v>18</v>
      </c>
      <c r="L394" t="s">
        <v>34</v>
      </c>
      <c r="M394" t="s">
        <v>27</v>
      </c>
      <c r="N394" t="s">
        <v>21</v>
      </c>
      <c r="O394">
        <v>0</v>
      </c>
    </row>
    <row r="395" spans="1:15">
      <c r="A395" t="s">
        <v>29</v>
      </c>
      <c r="B395">
        <v>36</v>
      </c>
      <c r="C395" t="s">
        <v>16</v>
      </c>
      <c r="D395">
        <v>757822</v>
      </c>
      <c r="E395" t="s">
        <v>25</v>
      </c>
      <c r="F395">
        <v>742</v>
      </c>
      <c r="G395">
        <v>751126</v>
      </c>
      <c r="H395">
        <v>15.68</v>
      </c>
      <c r="I395">
        <v>24</v>
      </c>
      <c r="J395">
        <v>211839</v>
      </c>
      <c r="K395" t="s">
        <v>30</v>
      </c>
      <c r="L395" t="s">
        <v>19</v>
      </c>
      <c r="M395" t="s">
        <v>27</v>
      </c>
      <c r="N395" t="s">
        <v>31</v>
      </c>
      <c r="O395">
        <v>0</v>
      </c>
    </row>
    <row r="396" spans="1:15">
      <c r="A396" t="s">
        <v>42</v>
      </c>
      <c r="B396">
        <v>36</v>
      </c>
      <c r="C396" t="s">
        <v>16</v>
      </c>
      <c r="D396">
        <v>760917</v>
      </c>
      <c r="E396" t="s">
        <v>25</v>
      </c>
      <c r="F396">
        <v>881</v>
      </c>
      <c r="G396">
        <v>752995</v>
      </c>
      <c r="H396">
        <v>8.08</v>
      </c>
      <c r="I396">
        <v>24</v>
      </c>
      <c r="J396">
        <v>212430</v>
      </c>
      <c r="K396" t="s">
        <v>26</v>
      </c>
      <c r="L396" t="s">
        <v>19</v>
      </c>
      <c r="M396" t="s">
        <v>20</v>
      </c>
      <c r="N396" t="s">
        <v>21</v>
      </c>
      <c r="O396">
        <v>0</v>
      </c>
    </row>
    <row r="397" spans="1:15">
      <c r="A397" t="s">
        <v>59</v>
      </c>
      <c r="B397">
        <v>36</v>
      </c>
      <c r="C397" t="s">
        <v>16</v>
      </c>
      <c r="D397">
        <v>761014</v>
      </c>
      <c r="E397" t="s">
        <v>17</v>
      </c>
      <c r="G397">
        <v>753811</v>
      </c>
      <c r="H397">
        <v>12.77</v>
      </c>
      <c r="I397">
        <v>24</v>
      </c>
      <c r="J397">
        <v>212609</v>
      </c>
      <c r="K397" t="s">
        <v>11</v>
      </c>
      <c r="L397" t="s">
        <v>19</v>
      </c>
      <c r="M397" t="s">
        <v>27</v>
      </c>
      <c r="N397" t="s">
        <v>31</v>
      </c>
      <c r="O397">
        <v>0</v>
      </c>
    </row>
    <row r="398" spans="1:15">
      <c r="A398" t="s">
        <v>202</v>
      </c>
      <c r="B398">
        <v>36</v>
      </c>
      <c r="C398" t="s">
        <v>16</v>
      </c>
      <c r="D398">
        <v>765609</v>
      </c>
      <c r="E398" t="s">
        <v>17</v>
      </c>
      <c r="F398">
        <v>431</v>
      </c>
      <c r="G398">
        <v>755162</v>
      </c>
      <c r="H398">
        <v>11.42</v>
      </c>
      <c r="I398">
        <v>12</v>
      </c>
      <c r="J398">
        <v>212704</v>
      </c>
      <c r="K398" t="s">
        <v>18</v>
      </c>
      <c r="L398" t="s">
        <v>34</v>
      </c>
      <c r="M398" t="s">
        <v>20</v>
      </c>
      <c r="N398" t="s">
        <v>21</v>
      </c>
      <c r="O398">
        <v>0</v>
      </c>
    </row>
    <row r="399" spans="1:15">
      <c r="A399" t="s">
        <v>231</v>
      </c>
      <c r="B399">
        <v>36</v>
      </c>
      <c r="C399" t="s">
        <v>16</v>
      </c>
      <c r="D399">
        <v>767619</v>
      </c>
      <c r="E399" t="s">
        <v>25</v>
      </c>
      <c r="F399">
        <v>550</v>
      </c>
      <c r="G399">
        <v>758839</v>
      </c>
      <c r="H399">
        <v>14.05</v>
      </c>
      <c r="I399">
        <v>24</v>
      </c>
      <c r="J399">
        <v>212854</v>
      </c>
      <c r="K399" t="s">
        <v>23</v>
      </c>
      <c r="L399" t="s">
        <v>34</v>
      </c>
      <c r="M399" t="s">
        <v>20</v>
      </c>
      <c r="N399" t="s">
        <v>28</v>
      </c>
      <c r="O399">
        <v>0</v>
      </c>
    </row>
    <row r="400" spans="1:15">
      <c r="A400" t="s">
        <v>282</v>
      </c>
      <c r="B400">
        <v>36</v>
      </c>
      <c r="C400" t="s">
        <v>16</v>
      </c>
      <c r="D400">
        <v>768418</v>
      </c>
      <c r="E400" t="s">
        <v>25</v>
      </c>
      <c r="F400">
        <v>415</v>
      </c>
      <c r="G400">
        <v>759151</v>
      </c>
      <c r="H400">
        <v>10.92</v>
      </c>
      <c r="I400">
        <v>48</v>
      </c>
      <c r="J400">
        <v>213559</v>
      </c>
      <c r="K400" t="s">
        <v>23</v>
      </c>
      <c r="L400" t="s">
        <v>34</v>
      </c>
      <c r="M400" t="s">
        <v>27</v>
      </c>
      <c r="N400" t="s">
        <v>31</v>
      </c>
      <c r="O400">
        <v>1</v>
      </c>
    </row>
    <row r="401" spans="1:15">
      <c r="A401" t="s">
        <v>289</v>
      </c>
      <c r="B401">
        <v>36</v>
      </c>
      <c r="C401" t="s">
        <v>33</v>
      </c>
      <c r="D401">
        <v>769783</v>
      </c>
      <c r="E401" t="s">
        <v>17</v>
      </c>
      <c r="F401">
        <v>589</v>
      </c>
      <c r="G401">
        <v>760855</v>
      </c>
      <c r="H401">
        <v>10.52</v>
      </c>
      <c r="I401">
        <v>36</v>
      </c>
      <c r="J401">
        <v>213805</v>
      </c>
      <c r="K401" t="s">
        <v>23</v>
      </c>
      <c r="L401" t="s">
        <v>34</v>
      </c>
      <c r="M401" t="s">
        <v>27</v>
      </c>
      <c r="N401" t="s">
        <v>21</v>
      </c>
      <c r="O401">
        <v>0</v>
      </c>
    </row>
    <row r="402" spans="1:15">
      <c r="A402" t="s">
        <v>318</v>
      </c>
      <c r="B402">
        <v>36</v>
      </c>
      <c r="C402" t="s">
        <v>33</v>
      </c>
      <c r="D402">
        <v>773182</v>
      </c>
      <c r="E402" t="s">
        <v>17</v>
      </c>
      <c r="F402">
        <v>779</v>
      </c>
      <c r="G402">
        <v>761004</v>
      </c>
      <c r="H402">
        <v>10.01</v>
      </c>
      <c r="I402">
        <v>60</v>
      </c>
      <c r="J402">
        <v>213926</v>
      </c>
      <c r="K402" t="s">
        <v>18</v>
      </c>
      <c r="L402" t="s">
        <v>19</v>
      </c>
      <c r="M402" t="s">
        <v>27</v>
      </c>
      <c r="N402" t="s">
        <v>21</v>
      </c>
      <c r="O402">
        <v>0</v>
      </c>
    </row>
    <row r="403" spans="1:15">
      <c r="A403" t="s">
        <v>327</v>
      </c>
      <c r="B403">
        <v>36</v>
      </c>
      <c r="C403" t="s">
        <v>33</v>
      </c>
      <c r="D403">
        <v>773792</v>
      </c>
      <c r="E403" t="s">
        <v>17</v>
      </c>
      <c r="F403">
        <v>671</v>
      </c>
      <c r="G403">
        <v>761184</v>
      </c>
      <c r="H403">
        <v>9.33</v>
      </c>
      <c r="I403">
        <v>24</v>
      </c>
      <c r="J403">
        <v>214337</v>
      </c>
      <c r="K403" t="s">
        <v>18</v>
      </c>
      <c r="L403" t="s">
        <v>19</v>
      </c>
      <c r="M403" t="s">
        <v>20</v>
      </c>
      <c r="N403" t="s">
        <v>21</v>
      </c>
      <c r="O403">
        <v>0</v>
      </c>
    </row>
    <row r="404" spans="1:15">
      <c r="A404" t="s">
        <v>362</v>
      </c>
      <c r="B404">
        <v>36</v>
      </c>
      <c r="C404" t="s">
        <v>16</v>
      </c>
      <c r="D404">
        <v>774792</v>
      </c>
      <c r="E404" t="s">
        <v>17</v>
      </c>
      <c r="F404">
        <v>706</v>
      </c>
      <c r="G404">
        <v>761952</v>
      </c>
      <c r="H404">
        <v>13.7</v>
      </c>
      <c r="I404">
        <v>36</v>
      </c>
      <c r="J404">
        <v>214650</v>
      </c>
      <c r="K404" t="s">
        <v>26</v>
      </c>
      <c r="L404" t="s">
        <v>34</v>
      </c>
      <c r="M404" t="s">
        <v>20</v>
      </c>
      <c r="N404" t="s">
        <v>31</v>
      </c>
      <c r="O404">
        <v>0</v>
      </c>
    </row>
    <row r="405" spans="1:15">
      <c r="A405" t="s">
        <v>371</v>
      </c>
      <c r="B405">
        <v>36</v>
      </c>
      <c r="C405" t="s">
        <v>33</v>
      </c>
      <c r="D405">
        <v>775483</v>
      </c>
      <c r="E405" t="s">
        <v>25</v>
      </c>
      <c r="F405">
        <v>753</v>
      </c>
      <c r="G405">
        <v>762109</v>
      </c>
      <c r="H405">
        <v>9.61</v>
      </c>
      <c r="I405">
        <v>12</v>
      </c>
      <c r="J405">
        <v>214886</v>
      </c>
      <c r="K405" t="s">
        <v>30</v>
      </c>
      <c r="L405" t="s">
        <v>19</v>
      </c>
      <c r="M405" t="s">
        <v>27</v>
      </c>
      <c r="N405" t="s">
        <v>31</v>
      </c>
      <c r="O405">
        <v>0</v>
      </c>
    </row>
    <row r="406" spans="1:15">
      <c r="A406" t="s">
        <v>380</v>
      </c>
      <c r="B406">
        <v>36</v>
      </c>
      <c r="C406" t="s">
        <v>16</v>
      </c>
      <c r="D406">
        <v>775674</v>
      </c>
      <c r="E406" t="s">
        <v>25</v>
      </c>
      <c r="F406">
        <v>607</v>
      </c>
      <c r="G406">
        <v>765703</v>
      </c>
      <c r="H406">
        <v>9.58</v>
      </c>
      <c r="I406">
        <v>24</v>
      </c>
      <c r="J406">
        <v>215461</v>
      </c>
      <c r="K406" t="s">
        <v>11</v>
      </c>
      <c r="L406" t="s">
        <v>19</v>
      </c>
      <c r="M406" t="s">
        <v>27</v>
      </c>
      <c r="N406" t="s">
        <v>31</v>
      </c>
      <c r="O406">
        <v>0</v>
      </c>
    </row>
    <row r="407" spans="1:15">
      <c r="A407" t="s">
        <v>471</v>
      </c>
      <c r="B407">
        <v>36</v>
      </c>
      <c r="C407" t="s">
        <v>33</v>
      </c>
      <c r="D407">
        <v>776243</v>
      </c>
      <c r="E407" t="s">
        <v>17</v>
      </c>
      <c r="F407">
        <v>501</v>
      </c>
      <c r="G407">
        <v>766735</v>
      </c>
      <c r="H407">
        <v>8.5500000000000007</v>
      </c>
      <c r="I407">
        <v>60</v>
      </c>
      <c r="J407">
        <v>216079</v>
      </c>
      <c r="K407" t="s">
        <v>11</v>
      </c>
      <c r="L407" t="s">
        <v>34</v>
      </c>
      <c r="M407" t="s">
        <v>20</v>
      </c>
      <c r="N407" t="s">
        <v>28</v>
      </c>
      <c r="O407">
        <v>0</v>
      </c>
    </row>
    <row r="408" spans="1:15">
      <c r="A408" t="s">
        <v>491</v>
      </c>
      <c r="B408">
        <v>36</v>
      </c>
      <c r="C408" t="s">
        <v>33</v>
      </c>
      <c r="D408">
        <v>777124</v>
      </c>
      <c r="E408" t="s">
        <v>25</v>
      </c>
      <c r="F408">
        <v>735</v>
      </c>
      <c r="G408">
        <v>768595</v>
      </c>
      <c r="H408">
        <v>10.4</v>
      </c>
      <c r="I408">
        <v>60</v>
      </c>
      <c r="J408">
        <v>216373</v>
      </c>
      <c r="K408" t="s">
        <v>11</v>
      </c>
      <c r="L408" t="s">
        <v>19</v>
      </c>
      <c r="M408" t="s">
        <v>27</v>
      </c>
      <c r="N408" t="s">
        <v>31</v>
      </c>
      <c r="O408">
        <v>0</v>
      </c>
    </row>
    <row r="409" spans="1:15">
      <c r="A409" t="s">
        <v>496</v>
      </c>
      <c r="B409">
        <v>36</v>
      </c>
      <c r="C409" t="s">
        <v>33</v>
      </c>
      <c r="D409">
        <v>778920</v>
      </c>
      <c r="E409" t="s">
        <v>17</v>
      </c>
      <c r="F409">
        <v>480</v>
      </c>
      <c r="G409">
        <v>768640</v>
      </c>
      <c r="H409">
        <v>14.24</v>
      </c>
      <c r="I409">
        <v>36</v>
      </c>
      <c r="J409">
        <v>217539</v>
      </c>
      <c r="K409" t="s">
        <v>26</v>
      </c>
      <c r="L409" t="s">
        <v>19</v>
      </c>
      <c r="M409" t="s">
        <v>20</v>
      </c>
      <c r="N409" t="s">
        <v>28</v>
      </c>
      <c r="O409">
        <v>1</v>
      </c>
    </row>
    <row r="410" spans="1:15">
      <c r="A410" t="s">
        <v>533</v>
      </c>
      <c r="B410">
        <v>36</v>
      </c>
      <c r="C410" t="s">
        <v>16</v>
      </c>
      <c r="D410">
        <v>780019</v>
      </c>
      <c r="E410" t="s">
        <v>25</v>
      </c>
      <c r="F410">
        <v>302</v>
      </c>
      <c r="G410">
        <v>770423</v>
      </c>
      <c r="H410">
        <v>9.7100000000000009</v>
      </c>
      <c r="I410">
        <v>48</v>
      </c>
      <c r="J410">
        <v>218101</v>
      </c>
      <c r="K410" t="s">
        <v>23</v>
      </c>
      <c r="L410" t="s">
        <v>19</v>
      </c>
      <c r="M410" t="s">
        <v>27</v>
      </c>
      <c r="N410" t="s">
        <v>21</v>
      </c>
      <c r="O410">
        <v>0</v>
      </c>
    </row>
    <row r="411" spans="1:15">
      <c r="A411" t="s">
        <v>546</v>
      </c>
      <c r="B411">
        <v>36</v>
      </c>
      <c r="C411" t="s">
        <v>33</v>
      </c>
      <c r="D411">
        <v>780781</v>
      </c>
      <c r="E411" t="s">
        <v>25</v>
      </c>
      <c r="F411">
        <v>670</v>
      </c>
      <c r="G411">
        <v>770953</v>
      </c>
      <c r="H411">
        <v>15.15</v>
      </c>
      <c r="I411">
        <v>24</v>
      </c>
      <c r="J411">
        <v>219018</v>
      </c>
      <c r="K411" t="s">
        <v>18</v>
      </c>
      <c r="L411" t="s">
        <v>19</v>
      </c>
      <c r="M411" t="s">
        <v>27</v>
      </c>
      <c r="N411" t="s">
        <v>31</v>
      </c>
      <c r="O411">
        <v>1</v>
      </c>
    </row>
    <row r="412" spans="1:15">
      <c r="A412" t="s">
        <v>562</v>
      </c>
      <c r="B412">
        <v>36</v>
      </c>
      <c r="C412" t="s">
        <v>16</v>
      </c>
      <c r="D412">
        <v>783250</v>
      </c>
      <c r="E412" t="s">
        <v>17</v>
      </c>
      <c r="F412">
        <v>542</v>
      </c>
      <c r="G412">
        <v>772371</v>
      </c>
      <c r="H412">
        <v>12.63</v>
      </c>
      <c r="I412">
        <v>36</v>
      </c>
      <c r="J412">
        <v>219262</v>
      </c>
      <c r="K412" t="s">
        <v>26</v>
      </c>
      <c r="L412" t="s">
        <v>34</v>
      </c>
      <c r="M412" t="s">
        <v>20</v>
      </c>
      <c r="N412" t="s">
        <v>31</v>
      </c>
      <c r="O412">
        <v>1</v>
      </c>
    </row>
    <row r="413" spans="1:15">
      <c r="A413" t="s">
        <v>571</v>
      </c>
      <c r="B413">
        <v>36</v>
      </c>
      <c r="C413" t="s">
        <v>16</v>
      </c>
      <c r="D413">
        <v>783657</v>
      </c>
      <c r="E413" t="s">
        <v>25</v>
      </c>
      <c r="F413">
        <v>852</v>
      </c>
      <c r="G413">
        <v>773595</v>
      </c>
      <c r="H413">
        <v>9.5</v>
      </c>
      <c r="I413">
        <v>24</v>
      </c>
      <c r="J413">
        <v>219340</v>
      </c>
      <c r="K413" t="s">
        <v>23</v>
      </c>
      <c r="L413" t="s">
        <v>19</v>
      </c>
      <c r="M413" t="s">
        <v>27</v>
      </c>
      <c r="N413" t="s">
        <v>21</v>
      </c>
      <c r="O413">
        <v>0</v>
      </c>
    </row>
    <row r="414" spans="1:15">
      <c r="A414" t="s">
        <v>574</v>
      </c>
      <c r="B414">
        <v>36</v>
      </c>
      <c r="C414" t="s">
        <v>16</v>
      </c>
      <c r="D414">
        <v>785020</v>
      </c>
      <c r="E414" t="s">
        <v>17</v>
      </c>
      <c r="F414">
        <v>627</v>
      </c>
      <c r="G414">
        <v>774716</v>
      </c>
      <c r="H414">
        <v>8.6999999999999993</v>
      </c>
      <c r="I414">
        <v>12</v>
      </c>
      <c r="J414">
        <v>220166</v>
      </c>
      <c r="K414" t="s">
        <v>30</v>
      </c>
      <c r="L414" t="s">
        <v>19</v>
      </c>
      <c r="M414" t="s">
        <v>27</v>
      </c>
      <c r="N414" t="s">
        <v>31</v>
      </c>
      <c r="O414">
        <v>0</v>
      </c>
    </row>
    <row r="415" spans="1:15">
      <c r="A415" t="s">
        <v>610</v>
      </c>
      <c r="B415">
        <v>36</v>
      </c>
      <c r="C415" t="s">
        <v>16</v>
      </c>
      <c r="D415">
        <v>787536</v>
      </c>
      <c r="E415" t="s">
        <v>25</v>
      </c>
      <c r="F415">
        <v>839</v>
      </c>
      <c r="G415">
        <v>774968</v>
      </c>
      <c r="H415">
        <v>10.84</v>
      </c>
      <c r="I415">
        <v>36</v>
      </c>
      <c r="J415">
        <v>220488</v>
      </c>
      <c r="K415" t="s">
        <v>30</v>
      </c>
      <c r="L415" t="s">
        <v>34</v>
      </c>
      <c r="M415" t="s">
        <v>20</v>
      </c>
      <c r="N415" t="s">
        <v>31</v>
      </c>
      <c r="O415">
        <v>1</v>
      </c>
    </row>
    <row r="416" spans="1:15">
      <c r="A416" t="s">
        <v>646</v>
      </c>
      <c r="B416">
        <v>36</v>
      </c>
      <c r="C416" t="s">
        <v>16</v>
      </c>
      <c r="D416">
        <v>789359</v>
      </c>
      <c r="E416" t="s">
        <v>25</v>
      </c>
      <c r="F416">
        <v>311</v>
      </c>
      <c r="G416">
        <v>775484</v>
      </c>
      <c r="H416">
        <v>9.9</v>
      </c>
      <c r="I416">
        <v>60</v>
      </c>
      <c r="J416">
        <v>220685</v>
      </c>
      <c r="K416" t="s">
        <v>18</v>
      </c>
      <c r="L416" t="s">
        <v>34</v>
      </c>
      <c r="M416" t="s">
        <v>27</v>
      </c>
      <c r="N416" t="s">
        <v>31</v>
      </c>
      <c r="O416">
        <v>1</v>
      </c>
    </row>
    <row r="417" spans="1:15">
      <c r="A417" t="s">
        <v>669</v>
      </c>
      <c r="B417">
        <v>36</v>
      </c>
      <c r="C417" t="s">
        <v>33</v>
      </c>
      <c r="D417">
        <v>790902</v>
      </c>
      <c r="E417" t="s">
        <v>25</v>
      </c>
      <c r="F417">
        <v>523</v>
      </c>
      <c r="G417">
        <v>782545</v>
      </c>
      <c r="H417">
        <v>9.2899999999999991</v>
      </c>
      <c r="I417">
        <v>60</v>
      </c>
      <c r="J417">
        <v>221139</v>
      </c>
      <c r="K417" t="s">
        <v>23</v>
      </c>
      <c r="L417" t="s">
        <v>34</v>
      </c>
      <c r="M417" t="s">
        <v>20</v>
      </c>
      <c r="N417" t="s">
        <v>28</v>
      </c>
      <c r="O417">
        <v>0</v>
      </c>
    </row>
    <row r="418" spans="1:15">
      <c r="A418" t="s">
        <v>692</v>
      </c>
      <c r="B418">
        <v>36</v>
      </c>
      <c r="C418" t="s">
        <v>33</v>
      </c>
      <c r="D418">
        <v>792082</v>
      </c>
      <c r="E418" t="s">
        <v>25</v>
      </c>
      <c r="F418">
        <v>347</v>
      </c>
      <c r="G418">
        <v>790790</v>
      </c>
      <c r="H418">
        <v>11.73</v>
      </c>
      <c r="I418">
        <v>36</v>
      </c>
      <c r="J418">
        <v>221506</v>
      </c>
      <c r="K418" t="s">
        <v>11</v>
      </c>
      <c r="L418" t="s">
        <v>19</v>
      </c>
      <c r="M418" t="s">
        <v>27</v>
      </c>
      <c r="N418" t="s">
        <v>31</v>
      </c>
      <c r="O418">
        <v>0</v>
      </c>
    </row>
    <row r="419" spans="1:15">
      <c r="A419" t="s">
        <v>746</v>
      </c>
      <c r="B419">
        <v>36</v>
      </c>
      <c r="C419" t="s">
        <v>16</v>
      </c>
      <c r="D419">
        <v>795044</v>
      </c>
      <c r="E419" t="s">
        <v>25</v>
      </c>
      <c r="F419">
        <v>698</v>
      </c>
      <c r="G419">
        <v>793690</v>
      </c>
      <c r="H419">
        <v>15.41</v>
      </c>
      <c r="I419">
        <v>48</v>
      </c>
      <c r="J419">
        <v>222070</v>
      </c>
      <c r="K419" t="s">
        <v>18</v>
      </c>
      <c r="L419" t="s">
        <v>19</v>
      </c>
      <c r="M419" t="s">
        <v>20</v>
      </c>
      <c r="N419" t="s">
        <v>31</v>
      </c>
      <c r="O419">
        <v>0</v>
      </c>
    </row>
    <row r="420" spans="1:15">
      <c r="A420" t="s">
        <v>747</v>
      </c>
      <c r="B420">
        <v>36</v>
      </c>
      <c r="C420" t="s">
        <v>16</v>
      </c>
      <c r="D420">
        <v>796782</v>
      </c>
      <c r="E420" t="s">
        <v>17</v>
      </c>
      <c r="F420">
        <v>538</v>
      </c>
      <c r="G420">
        <v>795737</v>
      </c>
      <c r="H420">
        <v>10.47</v>
      </c>
      <c r="I420">
        <v>36</v>
      </c>
      <c r="J420">
        <v>222107</v>
      </c>
      <c r="K420" t="s">
        <v>18</v>
      </c>
      <c r="L420" t="s">
        <v>34</v>
      </c>
      <c r="M420" t="s">
        <v>27</v>
      </c>
      <c r="N420" t="s">
        <v>28</v>
      </c>
      <c r="O420">
        <v>0</v>
      </c>
    </row>
    <row r="421" spans="1:15">
      <c r="A421" t="s">
        <v>815</v>
      </c>
      <c r="B421">
        <v>36</v>
      </c>
      <c r="C421" t="s">
        <v>16</v>
      </c>
      <c r="D421">
        <v>797763</v>
      </c>
      <c r="E421" t="s">
        <v>25</v>
      </c>
      <c r="F421">
        <v>775</v>
      </c>
      <c r="G421">
        <v>797139</v>
      </c>
      <c r="H421">
        <v>15.47</v>
      </c>
      <c r="I421">
        <v>36</v>
      </c>
      <c r="J421">
        <v>222379</v>
      </c>
      <c r="K421" t="s">
        <v>18</v>
      </c>
      <c r="L421" t="s">
        <v>34</v>
      </c>
      <c r="M421" t="s">
        <v>20</v>
      </c>
      <c r="N421" t="s">
        <v>21</v>
      </c>
      <c r="O421">
        <v>0</v>
      </c>
    </row>
    <row r="422" spans="1:15">
      <c r="A422" t="s">
        <v>816</v>
      </c>
      <c r="B422">
        <v>36</v>
      </c>
      <c r="C422" t="s">
        <v>33</v>
      </c>
      <c r="D422">
        <v>798970</v>
      </c>
      <c r="E422" t="s">
        <v>25</v>
      </c>
      <c r="F422">
        <v>554</v>
      </c>
      <c r="G422">
        <v>797518</v>
      </c>
      <c r="H422">
        <v>10.49</v>
      </c>
      <c r="I422">
        <v>12</v>
      </c>
      <c r="J422">
        <v>222805</v>
      </c>
      <c r="K422" t="s">
        <v>26</v>
      </c>
      <c r="L422" t="s">
        <v>19</v>
      </c>
      <c r="M422" t="s">
        <v>20</v>
      </c>
      <c r="N422" t="s">
        <v>21</v>
      </c>
      <c r="O422">
        <v>0</v>
      </c>
    </row>
    <row r="423" spans="1:15">
      <c r="A423" t="s">
        <v>818</v>
      </c>
      <c r="B423">
        <v>36</v>
      </c>
      <c r="C423" t="s">
        <v>16</v>
      </c>
      <c r="D423">
        <v>800647</v>
      </c>
      <c r="E423" t="s">
        <v>17</v>
      </c>
      <c r="F423">
        <v>611</v>
      </c>
      <c r="G423">
        <v>799747</v>
      </c>
      <c r="H423">
        <v>14.68</v>
      </c>
      <c r="I423">
        <v>48</v>
      </c>
      <c r="J423">
        <v>222998</v>
      </c>
      <c r="K423" t="s">
        <v>30</v>
      </c>
      <c r="L423" t="s">
        <v>34</v>
      </c>
      <c r="M423" t="s">
        <v>27</v>
      </c>
      <c r="N423" t="s">
        <v>28</v>
      </c>
      <c r="O423">
        <v>0</v>
      </c>
    </row>
    <row r="424" spans="1:15">
      <c r="A424" t="s">
        <v>824</v>
      </c>
      <c r="B424">
        <v>36</v>
      </c>
      <c r="C424" t="s">
        <v>33</v>
      </c>
      <c r="D424">
        <v>800763</v>
      </c>
      <c r="E424" t="s">
        <v>17</v>
      </c>
      <c r="F424">
        <v>587</v>
      </c>
      <c r="G424">
        <v>801351</v>
      </c>
      <c r="H424">
        <v>9.39</v>
      </c>
      <c r="I424">
        <v>60</v>
      </c>
      <c r="J424">
        <v>223391</v>
      </c>
      <c r="K424" t="s">
        <v>30</v>
      </c>
      <c r="L424" t="s">
        <v>34</v>
      </c>
      <c r="M424" t="s">
        <v>27</v>
      </c>
      <c r="N424" t="s">
        <v>28</v>
      </c>
      <c r="O424">
        <v>1</v>
      </c>
    </row>
    <row r="425" spans="1:15">
      <c r="A425" t="s">
        <v>895</v>
      </c>
      <c r="B425">
        <v>36</v>
      </c>
      <c r="C425" t="s">
        <v>33</v>
      </c>
      <c r="D425">
        <v>802575</v>
      </c>
      <c r="E425" t="s">
        <v>17</v>
      </c>
      <c r="F425">
        <v>649</v>
      </c>
      <c r="G425">
        <v>802783</v>
      </c>
      <c r="H425">
        <v>9.3699999999999992</v>
      </c>
      <c r="I425">
        <v>36</v>
      </c>
      <c r="J425">
        <v>223931</v>
      </c>
      <c r="K425" t="s">
        <v>30</v>
      </c>
      <c r="L425" t="s">
        <v>34</v>
      </c>
      <c r="M425" t="s">
        <v>27</v>
      </c>
      <c r="N425" t="s">
        <v>31</v>
      </c>
      <c r="O425">
        <v>0</v>
      </c>
    </row>
    <row r="426" spans="1:15">
      <c r="A426" t="s">
        <v>1007</v>
      </c>
      <c r="B426">
        <v>36</v>
      </c>
      <c r="C426" t="s">
        <v>16</v>
      </c>
      <c r="D426">
        <v>803797</v>
      </c>
      <c r="E426" t="s">
        <v>25</v>
      </c>
      <c r="F426">
        <v>754</v>
      </c>
      <c r="G426">
        <v>803074</v>
      </c>
      <c r="H426">
        <v>8.9700000000000006</v>
      </c>
      <c r="I426">
        <v>24</v>
      </c>
      <c r="J426">
        <v>224754</v>
      </c>
      <c r="K426" t="s">
        <v>30</v>
      </c>
      <c r="L426" t="s">
        <v>34</v>
      </c>
      <c r="M426" t="s">
        <v>27</v>
      </c>
      <c r="N426" t="s">
        <v>21</v>
      </c>
      <c r="O426">
        <v>0</v>
      </c>
    </row>
    <row r="427" spans="1:15">
      <c r="A427" t="s">
        <v>29</v>
      </c>
      <c r="B427">
        <v>36</v>
      </c>
      <c r="C427" t="s">
        <v>16</v>
      </c>
      <c r="D427">
        <v>805227</v>
      </c>
      <c r="E427" t="s">
        <v>25</v>
      </c>
      <c r="F427">
        <v>742</v>
      </c>
      <c r="G427">
        <v>809037</v>
      </c>
      <c r="H427">
        <v>15.68</v>
      </c>
      <c r="I427">
        <v>24</v>
      </c>
      <c r="J427">
        <v>224942</v>
      </c>
      <c r="K427" t="s">
        <v>30</v>
      </c>
      <c r="L427" t="s">
        <v>19</v>
      </c>
      <c r="M427" t="s">
        <v>27</v>
      </c>
      <c r="N427" t="s">
        <v>31</v>
      </c>
      <c r="O427">
        <v>0</v>
      </c>
    </row>
    <row r="428" spans="1:15">
      <c r="A428" t="s">
        <v>63</v>
      </c>
      <c r="B428">
        <v>37</v>
      </c>
      <c r="C428" t="s">
        <v>16</v>
      </c>
      <c r="D428">
        <v>806822</v>
      </c>
      <c r="E428" t="s">
        <v>17</v>
      </c>
      <c r="F428">
        <v>413</v>
      </c>
      <c r="G428">
        <v>810070</v>
      </c>
      <c r="H428">
        <v>7.68</v>
      </c>
      <c r="I428">
        <v>36</v>
      </c>
      <c r="J428">
        <v>225368</v>
      </c>
      <c r="K428" t="s">
        <v>26</v>
      </c>
      <c r="L428" t="s">
        <v>19</v>
      </c>
      <c r="M428" t="s">
        <v>20</v>
      </c>
      <c r="N428" t="s">
        <v>28</v>
      </c>
      <c r="O428">
        <v>0</v>
      </c>
    </row>
    <row r="429" spans="1:15">
      <c r="A429" t="s">
        <v>185</v>
      </c>
      <c r="B429">
        <v>37</v>
      </c>
      <c r="C429" t="s">
        <v>16</v>
      </c>
      <c r="D429">
        <v>811256</v>
      </c>
      <c r="E429" t="s">
        <v>25</v>
      </c>
      <c r="F429">
        <v>398</v>
      </c>
      <c r="G429">
        <v>811130</v>
      </c>
      <c r="H429">
        <v>10.77</v>
      </c>
      <c r="I429">
        <v>12</v>
      </c>
      <c r="J429">
        <v>225689</v>
      </c>
      <c r="K429" t="s">
        <v>30</v>
      </c>
      <c r="L429" t="s">
        <v>34</v>
      </c>
      <c r="M429" t="s">
        <v>20</v>
      </c>
      <c r="N429" t="s">
        <v>31</v>
      </c>
      <c r="O429">
        <v>0</v>
      </c>
    </row>
    <row r="430" spans="1:15">
      <c r="A430" t="s">
        <v>239</v>
      </c>
      <c r="B430">
        <v>37</v>
      </c>
      <c r="C430" t="s">
        <v>33</v>
      </c>
      <c r="D430">
        <v>815015</v>
      </c>
      <c r="E430" t="s">
        <v>17</v>
      </c>
      <c r="F430">
        <v>695</v>
      </c>
      <c r="G430">
        <v>811212</v>
      </c>
      <c r="H430">
        <v>10</v>
      </c>
      <c r="I430">
        <v>12</v>
      </c>
      <c r="J430">
        <v>225849</v>
      </c>
      <c r="K430" t="s">
        <v>18</v>
      </c>
      <c r="L430" t="s">
        <v>19</v>
      </c>
      <c r="M430" t="s">
        <v>20</v>
      </c>
      <c r="N430" t="s">
        <v>21</v>
      </c>
      <c r="O430">
        <v>0</v>
      </c>
    </row>
    <row r="431" spans="1:15">
      <c r="A431" t="s">
        <v>264</v>
      </c>
      <c r="B431">
        <v>37</v>
      </c>
      <c r="C431" t="s">
        <v>33</v>
      </c>
      <c r="D431">
        <v>816885</v>
      </c>
      <c r="E431" t="s">
        <v>25</v>
      </c>
      <c r="F431">
        <v>335</v>
      </c>
      <c r="G431">
        <v>812418</v>
      </c>
      <c r="H431">
        <v>10.23</v>
      </c>
      <c r="I431">
        <v>48</v>
      </c>
      <c r="J431">
        <v>225949</v>
      </c>
      <c r="K431" t="s">
        <v>18</v>
      </c>
      <c r="L431" t="s">
        <v>34</v>
      </c>
      <c r="M431" t="s">
        <v>27</v>
      </c>
      <c r="N431" t="s">
        <v>21</v>
      </c>
      <c r="O431">
        <v>0</v>
      </c>
    </row>
    <row r="432" spans="1:15">
      <c r="A432" t="s">
        <v>276</v>
      </c>
      <c r="B432">
        <v>37</v>
      </c>
      <c r="C432" t="s">
        <v>33</v>
      </c>
      <c r="D432">
        <v>817357</v>
      </c>
      <c r="E432" t="s">
        <v>25</v>
      </c>
      <c r="F432">
        <v>764</v>
      </c>
      <c r="G432">
        <v>813969</v>
      </c>
      <c r="H432">
        <v>12.87</v>
      </c>
      <c r="I432">
        <v>36</v>
      </c>
      <c r="J432">
        <v>226198</v>
      </c>
      <c r="K432" t="s">
        <v>23</v>
      </c>
      <c r="L432" t="s">
        <v>34</v>
      </c>
      <c r="M432" t="s">
        <v>20</v>
      </c>
      <c r="N432" t="s">
        <v>21</v>
      </c>
      <c r="O432">
        <v>0</v>
      </c>
    </row>
    <row r="433" spans="1:15">
      <c r="A433" t="s">
        <v>301</v>
      </c>
      <c r="B433">
        <v>37</v>
      </c>
      <c r="C433" t="s">
        <v>16</v>
      </c>
      <c r="D433">
        <v>817433</v>
      </c>
      <c r="E433" t="s">
        <v>17</v>
      </c>
      <c r="F433">
        <v>883</v>
      </c>
      <c r="G433">
        <v>820282</v>
      </c>
      <c r="H433">
        <v>8.83</v>
      </c>
      <c r="I433">
        <v>60</v>
      </c>
      <c r="J433">
        <v>226472</v>
      </c>
      <c r="K433" t="s">
        <v>26</v>
      </c>
      <c r="L433" t="s">
        <v>19</v>
      </c>
      <c r="M433" t="s">
        <v>27</v>
      </c>
      <c r="N433" t="s">
        <v>28</v>
      </c>
      <c r="O433">
        <v>0</v>
      </c>
    </row>
    <row r="434" spans="1:15">
      <c r="A434" t="s">
        <v>302</v>
      </c>
      <c r="B434">
        <v>37</v>
      </c>
      <c r="C434" t="s">
        <v>33</v>
      </c>
      <c r="D434">
        <v>817538</v>
      </c>
      <c r="E434" t="s">
        <v>25</v>
      </c>
      <c r="F434">
        <v>670</v>
      </c>
      <c r="G434">
        <v>824682</v>
      </c>
      <c r="H434">
        <v>13.38</v>
      </c>
      <c r="I434">
        <v>24</v>
      </c>
      <c r="J434">
        <v>227128</v>
      </c>
      <c r="K434" t="s">
        <v>11</v>
      </c>
      <c r="L434" t="s">
        <v>19</v>
      </c>
      <c r="M434" t="s">
        <v>27</v>
      </c>
      <c r="N434" t="s">
        <v>28</v>
      </c>
      <c r="O434">
        <v>0</v>
      </c>
    </row>
    <row r="435" spans="1:15">
      <c r="A435" t="s">
        <v>465</v>
      </c>
      <c r="B435">
        <v>37</v>
      </c>
      <c r="C435" t="s">
        <v>33</v>
      </c>
      <c r="D435">
        <v>818430</v>
      </c>
      <c r="E435" t="s">
        <v>25</v>
      </c>
      <c r="F435">
        <v>693</v>
      </c>
      <c r="G435">
        <v>825991</v>
      </c>
      <c r="H435">
        <v>7.67</v>
      </c>
      <c r="I435">
        <v>60</v>
      </c>
      <c r="J435">
        <v>227302</v>
      </c>
      <c r="K435" t="s">
        <v>23</v>
      </c>
      <c r="L435" t="s">
        <v>34</v>
      </c>
      <c r="M435" t="s">
        <v>27</v>
      </c>
      <c r="N435" t="s">
        <v>21</v>
      </c>
      <c r="O435">
        <v>0</v>
      </c>
    </row>
    <row r="436" spans="1:15">
      <c r="A436" t="s">
        <v>503</v>
      </c>
      <c r="B436">
        <v>37</v>
      </c>
      <c r="C436" t="s">
        <v>16</v>
      </c>
      <c r="D436">
        <v>819072</v>
      </c>
      <c r="E436" t="s">
        <v>25</v>
      </c>
      <c r="F436">
        <v>525</v>
      </c>
      <c r="G436">
        <v>826798</v>
      </c>
      <c r="H436">
        <v>12.58</v>
      </c>
      <c r="I436">
        <v>24</v>
      </c>
      <c r="J436">
        <v>227730</v>
      </c>
      <c r="K436" t="s">
        <v>23</v>
      </c>
      <c r="L436" t="s">
        <v>19</v>
      </c>
      <c r="M436" t="s">
        <v>20</v>
      </c>
      <c r="N436" t="s">
        <v>28</v>
      </c>
      <c r="O436">
        <v>0</v>
      </c>
    </row>
    <row r="437" spans="1:15">
      <c r="A437" t="s">
        <v>538</v>
      </c>
      <c r="B437">
        <v>37</v>
      </c>
      <c r="C437" t="s">
        <v>16</v>
      </c>
      <c r="D437">
        <v>820237</v>
      </c>
      <c r="E437" t="s">
        <v>25</v>
      </c>
      <c r="F437">
        <v>832</v>
      </c>
      <c r="G437">
        <v>827694</v>
      </c>
      <c r="H437">
        <v>9.52</v>
      </c>
      <c r="I437">
        <v>36</v>
      </c>
      <c r="J437">
        <v>228570</v>
      </c>
      <c r="K437" t="s">
        <v>11</v>
      </c>
      <c r="L437" t="s">
        <v>19</v>
      </c>
      <c r="M437" t="s">
        <v>27</v>
      </c>
      <c r="N437" t="s">
        <v>21</v>
      </c>
      <c r="O437">
        <v>0</v>
      </c>
    </row>
    <row r="438" spans="1:15">
      <c r="A438" t="s">
        <v>558</v>
      </c>
      <c r="B438">
        <v>37</v>
      </c>
      <c r="C438" t="s">
        <v>16</v>
      </c>
      <c r="D438">
        <v>820341</v>
      </c>
      <c r="E438" t="s">
        <v>17</v>
      </c>
      <c r="F438">
        <v>399</v>
      </c>
      <c r="G438">
        <v>828877</v>
      </c>
      <c r="H438">
        <v>9.9600000000000009</v>
      </c>
      <c r="I438">
        <v>12</v>
      </c>
      <c r="J438">
        <v>229837</v>
      </c>
      <c r="K438" t="s">
        <v>30</v>
      </c>
      <c r="L438" t="s">
        <v>19</v>
      </c>
      <c r="M438" t="s">
        <v>20</v>
      </c>
      <c r="N438" t="s">
        <v>31</v>
      </c>
      <c r="O438">
        <v>0</v>
      </c>
    </row>
    <row r="439" spans="1:15">
      <c r="A439" t="s">
        <v>561</v>
      </c>
      <c r="B439">
        <v>37</v>
      </c>
      <c r="C439" t="s">
        <v>16</v>
      </c>
      <c r="D439">
        <v>821588</v>
      </c>
      <c r="E439" t="s">
        <v>17</v>
      </c>
      <c r="F439">
        <v>436</v>
      </c>
      <c r="G439">
        <v>830130</v>
      </c>
      <c r="H439">
        <v>8.92</v>
      </c>
      <c r="I439">
        <v>12</v>
      </c>
      <c r="J439">
        <v>230779</v>
      </c>
      <c r="K439" t="s">
        <v>18</v>
      </c>
      <c r="L439" t="s">
        <v>34</v>
      </c>
      <c r="M439" t="s">
        <v>27</v>
      </c>
      <c r="N439" t="s">
        <v>31</v>
      </c>
      <c r="O439">
        <v>0</v>
      </c>
    </row>
    <row r="440" spans="1:15">
      <c r="A440" t="s">
        <v>650</v>
      </c>
      <c r="B440">
        <v>37</v>
      </c>
      <c r="C440" t="s">
        <v>16</v>
      </c>
      <c r="D440">
        <v>822488</v>
      </c>
      <c r="E440" t="s">
        <v>17</v>
      </c>
      <c r="F440">
        <v>533</v>
      </c>
      <c r="G440">
        <v>830188</v>
      </c>
      <c r="H440">
        <v>14.08</v>
      </c>
      <c r="I440">
        <v>12</v>
      </c>
      <c r="J440">
        <v>230935</v>
      </c>
      <c r="K440" t="s">
        <v>23</v>
      </c>
      <c r="L440" t="s">
        <v>34</v>
      </c>
      <c r="M440" t="s">
        <v>20</v>
      </c>
      <c r="N440" t="s">
        <v>28</v>
      </c>
      <c r="O440">
        <v>1</v>
      </c>
    </row>
    <row r="441" spans="1:15">
      <c r="A441" t="s">
        <v>690</v>
      </c>
      <c r="B441">
        <v>37</v>
      </c>
      <c r="C441" t="s">
        <v>16</v>
      </c>
      <c r="D441">
        <v>822934</v>
      </c>
      <c r="E441" t="s">
        <v>17</v>
      </c>
      <c r="F441">
        <v>377</v>
      </c>
      <c r="G441">
        <v>830804</v>
      </c>
      <c r="H441">
        <v>8.27</v>
      </c>
      <c r="I441">
        <v>12</v>
      </c>
      <c r="J441">
        <v>231016</v>
      </c>
      <c r="K441" t="s">
        <v>11</v>
      </c>
      <c r="L441" t="s">
        <v>19</v>
      </c>
      <c r="M441" t="s">
        <v>20</v>
      </c>
      <c r="N441" t="s">
        <v>31</v>
      </c>
      <c r="O441">
        <v>0</v>
      </c>
    </row>
    <row r="442" spans="1:15">
      <c r="A442" t="s">
        <v>798</v>
      </c>
      <c r="B442">
        <v>37</v>
      </c>
      <c r="C442" t="s">
        <v>16</v>
      </c>
      <c r="D442">
        <v>823506</v>
      </c>
      <c r="E442" t="s">
        <v>25</v>
      </c>
      <c r="F442">
        <v>625</v>
      </c>
      <c r="G442">
        <v>830990</v>
      </c>
      <c r="H442">
        <v>8.57</v>
      </c>
      <c r="I442">
        <v>24</v>
      </c>
      <c r="J442">
        <v>232193</v>
      </c>
      <c r="K442" t="s">
        <v>11</v>
      </c>
      <c r="L442" t="s">
        <v>19</v>
      </c>
      <c r="M442" t="s">
        <v>27</v>
      </c>
      <c r="N442" t="s">
        <v>21</v>
      </c>
      <c r="O442">
        <v>0</v>
      </c>
    </row>
    <row r="443" spans="1:15">
      <c r="A443" t="s">
        <v>814</v>
      </c>
      <c r="B443">
        <v>37</v>
      </c>
      <c r="C443" t="s">
        <v>33</v>
      </c>
      <c r="D443">
        <v>823692</v>
      </c>
      <c r="E443" t="s">
        <v>17</v>
      </c>
      <c r="F443">
        <v>395</v>
      </c>
      <c r="G443">
        <v>833585</v>
      </c>
      <c r="H443">
        <v>12.97</v>
      </c>
      <c r="I443">
        <v>24</v>
      </c>
      <c r="J443">
        <v>232378</v>
      </c>
      <c r="K443" t="s">
        <v>23</v>
      </c>
      <c r="L443" t="s">
        <v>19</v>
      </c>
      <c r="M443" t="s">
        <v>27</v>
      </c>
      <c r="N443" t="s">
        <v>28</v>
      </c>
      <c r="O443">
        <v>0</v>
      </c>
    </row>
    <row r="444" spans="1:15">
      <c r="A444" t="s">
        <v>848</v>
      </c>
      <c r="B444">
        <v>37</v>
      </c>
      <c r="C444" t="s">
        <v>16</v>
      </c>
      <c r="D444">
        <v>824340</v>
      </c>
      <c r="E444" t="s">
        <v>17</v>
      </c>
      <c r="F444">
        <v>389</v>
      </c>
      <c r="G444">
        <v>834236</v>
      </c>
      <c r="H444">
        <v>8.4</v>
      </c>
      <c r="I444">
        <v>24</v>
      </c>
      <c r="J444">
        <v>232606</v>
      </c>
      <c r="K444" t="s">
        <v>26</v>
      </c>
      <c r="L444" t="s">
        <v>19</v>
      </c>
      <c r="M444" t="s">
        <v>20</v>
      </c>
      <c r="N444" t="s">
        <v>21</v>
      </c>
      <c r="O444">
        <v>0</v>
      </c>
    </row>
    <row r="445" spans="1:15">
      <c r="A445" t="s">
        <v>874</v>
      </c>
      <c r="B445">
        <v>37</v>
      </c>
      <c r="C445" t="s">
        <v>33</v>
      </c>
      <c r="D445">
        <v>824499</v>
      </c>
      <c r="E445" t="s">
        <v>25</v>
      </c>
      <c r="F445">
        <v>516</v>
      </c>
      <c r="G445">
        <v>836526</v>
      </c>
      <c r="H445">
        <v>12.6</v>
      </c>
      <c r="I445">
        <v>48</v>
      </c>
      <c r="J445">
        <v>232776</v>
      </c>
      <c r="K445" t="s">
        <v>30</v>
      </c>
      <c r="L445" t="s">
        <v>19</v>
      </c>
      <c r="M445" t="s">
        <v>20</v>
      </c>
      <c r="N445" t="s">
        <v>21</v>
      </c>
      <c r="O445">
        <v>1</v>
      </c>
    </row>
    <row r="446" spans="1:15">
      <c r="A446" t="s">
        <v>901</v>
      </c>
      <c r="B446">
        <v>37</v>
      </c>
      <c r="C446" t="s">
        <v>16</v>
      </c>
      <c r="D446">
        <v>824665</v>
      </c>
      <c r="E446" t="s">
        <v>17</v>
      </c>
      <c r="F446">
        <v>790</v>
      </c>
      <c r="G446">
        <v>837405</v>
      </c>
      <c r="H446">
        <v>14.16</v>
      </c>
      <c r="I446">
        <v>24</v>
      </c>
      <c r="J446">
        <v>234752</v>
      </c>
      <c r="K446" t="s">
        <v>23</v>
      </c>
      <c r="L446" t="s">
        <v>34</v>
      </c>
      <c r="M446" t="s">
        <v>20</v>
      </c>
      <c r="N446" t="s">
        <v>28</v>
      </c>
      <c r="O446">
        <v>0</v>
      </c>
    </row>
    <row r="447" spans="1:15">
      <c r="A447" t="s">
        <v>949</v>
      </c>
      <c r="B447">
        <v>37</v>
      </c>
      <c r="C447" t="s">
        <v>16</v>
      </c>
      <c r="D447">
        <v>824687</v>
      </c>
      <c r="E447" t="s">
        <v>17</v>
      </c>
      <c r="F447">
        <v>669</v>
      </c>
      <c r="G447">
        <v>838246</v>
      </c>
      <c r="H447">
        <v>8.15</v>
      </c>
      <c r="I447">
        <v>12</v>
      </c>
      <c r="J447">
        <v>235100</v>
      </c>
      <c r="K447" t="s">
        <v>26</v>
      </c>
      <c r="L447" t="s">
        <v>19</v>
      </c>
      <c r="M447" t="s">
        <v>20</v>
      </c>
      <c r="N447" t="s">
        <v>28</v>
      </c>
      <c r="O447">
        <v>0</v>
      </c>
    </row>
    <row r="448" spans="1:15">
      <c r="A448" t="s">
        <v>964</v>
      </c>
      <c r="B448">
        <v>37</v>
      </c>
      <c r="C448" t="s">
        <v>33</v>
      </c>
      <c r="D448">
        <v>825005</v>
      </c>
      <c r="E448" t="s">
        <v>25</v>
      </c>
      <c r="F448">
        <v>558</v>
      </c>
      <c r="G448">
        <v>843602</v>
      </c>
      <c r="H448">
        <v>12.7</v>
      </c>
      <c r="I448">
        <v>24</v>
      </c>
      <c r="J448">
        <v>235411</v>
      </c>
      <c r="K448" t="s">
        <v>18</v>
      </c>
      <c r="L448" t="s">
        <v>19</v>
      </c>
      <c r="M448" t="s">
        <v>27</v>
      </c>
      <c r="N448" t="s">
        <v>31</v>
      </c>
      <c r="O448">
        <v>1</v>
      </c>
    </row>
    <row r="449" spans="1:15">
      <c r="A449" t="s">
        <v>979</v>
      </c>
      <c r="B449">
        <v>37</v>
      </c>
      <c r="C449" t="s">
        <v>16</v>
      </c>
      <c r="D449">
        <v>825076</v>
      </c>
      <c r="E449" t="s">
        <v>17</v>
      </c>
      <c r="F449">
        <v>583</v>
      </c>
      <c r="G449">
        <v>846623</v>
      </c>
      <c r="H449">
        <v>8.35</v>
      </c>
      <c r="I449">
        <v>36</v>
      </c>
      <c r="J449">
        <v>235426</v>
      </c>
      <c r="K449" t="s">
        <v>23</v>
      </c>
      <c r="L449" t="s">
        <v>34</v>
      </c>
      <c r="M449" t="s">
        <v>27</v>
      </c>
      <c r="N449" t="s">
        <v>31</v>
      </c>
      <c r="O449">
        <v>1</v>
      </c>
    </row>
    <row r="450" spans="1:15">
      <c r="A450" t="s">
        <v>1003</v>
      </c>
      <c r="B450">
        <v>37</v>
      </c>
      <c r="C450" t="s">
        <v>33</v>
      </c>
      <c r="D450">
        <v>825140</v>
      </c>
      <c r="E450" t="s">
        <v>25</v>
      </c>
      <c r="F450">
        <v>379</v>
      </c>
      <c r="G450">
        <v>848648</v>
      </c>
      <c r="H450">
        <v>8.11</v>
      </c>
      <c r="I450">
        <v>24</v>
      </c>
      <c r="J450">
        <v>235552</v>
      </c>
      <c r="K450" t="s">
        <v>18</v>
      </c>
      <c r="L450" t="s">
        <v>34</v>
      </c>
      <c r="M450" t="s">
        <v>27</v>
      </c>
      <c r="N450" t="s">
        <v>31</v>
      </c>
      <c r="O450">
        <v>1</v>
      </c>
    </row>
    <row r="451" spans="1:15">
      <c r="A451" t="s">
        <v>183</v>
      </c>
      <c r="B451">
        <v>38</v>
      </c>
      <c r="C451" t="s">
        <v>33</v>
      </c>
      <c r="D451">
        <v>825308</v>
      </c>
      <c r="E451" t="s">
        <v>25</v>
      </c>
      <c r="F451">
        <v>325</v>
      </c>
      <c r="G451">
        <v>850464</v>
      </c>
      <c r="H451">
        <v>8.27</v>
      </c>
      <c r="I451">
        <v>36</v>
      </c>
      <c r="J451">
        <v>235568</v>
      </c>
      <c r="K451" t="s">
        <v>26</v>
      </c>
      <c r="L451" t="s">
        <v>19</v>
      </c>
      <c r="M451" t="s">
        <v>20</v>
      </c>
      <c r="N451" t="s">
        <v>28</v>
      </c>
      <c r="O451">
        <v>0</v>
      </c>
    </row>
    <row r="452" spans="1:15">
      <c r="A452" t="s">
        <v>238</v>
      </c>
      <c r="B452">
        <v>38</v>
      </c>
      <c r="C452" t="s">
        <v>16</v>
      </c>
      <c r="D452">
        <v>828458</v>
      </c>
      <c r="E452" t="s">
        <v>17</v>
      </c>
      <c r="F452">
        <v>437</v>
      </c>
      <c r="G452">
        <v>851239</v>
      </c>
      <c r="H452">
        <v>11.43</v>
      </c>
      <c r="I452">
        <v>36</v>
      </c>
      <c r="J452">
        <v>235679</v>
      </c>
      <c r="K452" t="s">
        <v>30</v>
      </c>
      <c r="L452" t="s">
        <v>34</v>
      </c>
      <c r="M452" t="s">
        <v>27</v>
      </c>
      <c r="N452" t="s">
        <v>31</v>
      </c>
      <c r="O452">
        <v>0</v>
      </c>
    </row>
    <row r="453" spans="1:15">
      <c r="A453" t="s">
        <v>240</v>
      </c>
      <c r="B453">
        <v>38</v>
      </c>
      <c r="C453" t="s">
        <v>16</v>
      </c>
      <c r="D453">
        <v>831612</v>
      </c>
      <c r="E453" t="s">
        <v>17</v>
      </c>
      <c r="F453">
        <v>775</v>
      </c>
      <c r="G453">
        <v>851257</v>
      </c>
      <c r="H453">
        <v>16.38</v>
      </c>
      <c r="I453">
        <v>24</v>
      </c>
      <c r="J453">
        <v>236175</v>
      </c>
      <c r="K453" t="s">
        <v>23</v>
      </c>
      <c r="L453" t="s">
        <v>19</v>
      </c>
      <c r="M453" t="s">
        <v>27</v>
      </c>
      <c r="N453" t="s">
        <v>28</v>
      </c>
      <c r="O453">
        <v>0</v>
      </c>
    </row>
    <row r="454" spans="1:15">
      <c r="A454" t="s">
        <v>254</v>
      </c>
      <c r="B454">
        <v>38</v>
      </c>
      <c r="C454" t="s">
        <v>33</v>
      </c>
      <c r="D454">
        <v>832480</v>
      </c>
      <c r="E454" t="s">
        <v>25</v>
      </c>
      <c r="F454">
        <v>500</v>
      </c>
      <c r="G454">
        <v>851344</v>
      </c>
      <c r="H454">
        <v>13.65</v>
      </c>
      <c r="I454">
        <v>24</v>
      </c>
      <c r="J454">
        <v>236192</v>
      </c>
      <c r="K454" t="s">
        <v>23</v>
      </c>
      <c r="L454" t="s">
        <v>34</v>
      </c>
      <c r="M454" t="s">
        <v>27</v>
      </c>
      <c r="N454" t="s">
        <v>31</v>
      </c>
      <c r="O454">
        <v>1</v>
      </c>
    </row>
    <row r="455" spans="1:15">
      <c r="A455" t="s">
        <v>269</v>
      </c>
      <c r="B455">
        <v>38</v>
      </c>
      <c r="C455" t="s">
        <v>16</v>
      </c>
      <c r="D455">
        <v>833053</v>
      </c>
      <c r="E455" t="s">
        <v>25</v>
      </c>
      <c r="F455">
        <v>556</v>
      </c>
      <c r="G455">
        <v>852725</v>
      </c>
      <c r="H455">
        <v>14.8</v>
      </c>
      <c r="I455">
        <v>24</v>
      </c>
      <c r="J455">
        <v>236443</v>
      </c>
      <c r="K455" t="s">
        <v>18</v>
      </c>
      <c r="L455" t="s">
        <v>34</v>
      </c>
      <c r="M455" t="s">
        <v>20</v>
      </c>
      <c r="N455" t="s">
        <v>28</v>
      </c>
      <c r="O455">
        <v>0</v>
      </c>
    </row>
    <row r="456" spans="1:15">
      <c r="A456" t="s">
        <v>274</v>
      </c>
      <c r="B456">
        <v>38</v>
      </c>
      <c r="C456" t="s">
        <v>16</v>
      </c>
      <c r="D456">
        <v>835234</v>
      </c>
      <c r="E456" t="s">
        <v>17</v>
      </c>
      <c r="F456">
        <v>414</v>
      </c>
      <c r="G456">
        <v>859100</v>
      </c>
      <c r="H456">
        <v>14.99</v>
      </c>
      <c r="I456">
        <v>12</v>
      </c>
      <c r="J456">
        <v>236677</v>
      </c>
      <c r="K456" t="s">
        <v>23</v>
      </c>
      <c r="L456" t="s">
        <v>34</v>
      </c>
      <c r="M456" t="s">
        <v>27</v>
      </c>
      <c r="N456" t="s">
        <v>31</v>
      </c>
      <c r="O456">
        <v>0</v>
      </c>
    </row>
    <row r="457" spans="1:15">
      <c r="A457" t="s">
        <v>286</v>
      </c>
      <c r="B457">
        <v>38</v>
      </c>
      <c r="C457" t="s">
        <v>16</v>
      </c>
      <c r="D457">
        <v>835798</v>
      </c>
      <c r="E457" t="s">
        <v>17</v>
      </c>
      <c r="F457">
        <v>495</v>
      </c>
      <c r="G457">
        <v>859313</v>
      </c>
      <c r="H457">
        <v>8.9700000000000006</v>
      </c>
      <c r="I457">
        <v>48</v>
      </c>
      <c r="J457">
        <v>236847</v>
      </c>
      <c r="K457" t="s">
        <v>23</v>
      </c>
      <c r="L457" t="s">
        <v>19</v>
      </c>
      <c r="M457" t="s">
        <v>20</v>
      </c>
      <c r="N457" t="s">
        <v>21</v>
      </c>
      <c r="O457">
        <v>1</v>
      </c>
    </row>
    <row r="458" spans="1:15">
      <c r="A458" t="s">
        <v>343</v>
      </c>
      <c r="B458">
        <v>38</v>
      </c>
      <c r="C458" t="s">
        <v>33</v>
      </c>
      <c r="D458">
        <v>838818</v>
      </c>
      <c r="E458" t="s">
        <v>25</v>
      </c>
      <c r="F458">
        <v>596</v>
      </c>
      <c r="G458">
        <v>863461</v>
      </c>
      <c r="H458">
        <v>13.78</v>
      </c>
      <c r="I458">
        <v>24</v>
      </c>
      <c r="J458">
        <v>237396</v>
      </c>
      <c r="K458" t="s">
        <v>30</v>
      </c>
      <c r="L458" t="s">
        <v>34</v>
      </c>
      <c r="M458" t="s">
        <v>27</v>
      </c>
      <c r="N458" t="s">
        <v>21</v>
      </c>
      <c r="O458">
        <v>0</v>
      </c>
    </row>
    <row r="459" spans="1:15">
      <c r="A459" t="s">
        <v>470</v>
      </c>
      <c r="B459">
        <v>38</v>
      </c>
      <c r="C459" t="s">
        <v>16</v>
      </c>
      <c r="D459">
        <v>839275</v>
      </c>
      <c r="E459" t="s">
        <v>17</v>
      </c>
      <c r="F459">
        <v>532</v>
      </c>
      <c r="G459">
        <v>864306</v>
      </c>
      <c r="H459">
        <v>8.91</v>
      </c>
      <c r="I459">
        <v>12</v>
      </c>
      <c r="J459">
        <v>238236</v>
      </c>
      <c r="K459" t="s">
        <v>23</v>
      </c>
      <c r="L459" t="s">
        <v>19</v>
      </c>
      <c r="M459" t="s">
        <v>27</v>
      </c>
      <c r="N459" t="s">
        <v>21</v>
      </c>
      <c r="O459">
        <v>0</v>
      </c>
    </row>
    <row r="460" spans="1:15">
      <c r="A460" t="s">
        <v>552</v>
      </c>
      <c r="B460">
        <v>38</v>
      </c>
      <c r="C460" t="s">
        <v>33</v>
      </c>
      <c r="D460">
        <v>839353</v>
      </c>
      <c r="E460" t="s">
        <v>25</v>
      </c>
      <c r="F460">
        <v>567</v>
      </c>
      <c r="G460">
        <v>864306</v>
      </c>
      <c r="H460">
        <v>12.45</v>
      </c>
      <c r="I460">
        <v>36</v>
      </c>
      <c r="J460">
        <v>238462</v>
      </c>
      <c r="K460" t="s">
        <v>30</v>
      </c>
      <c r="L460" t="s">
        <v>19</v>
      </c>
      <c r="M460" t="s">
        <v>27</v>
      </c>
      <c r="N460" t="s">
        <v>21</v>
      </c>
      <c r="O460">
        <v>0</v>
      </c>
    </row>
    <row r="461" spans="1:15">
      <c r="A461" t="s">
        <v>564</v>
      </c>
      <c r="B461">
        <v>38</v>
      </c>
      <c r="C461" t="s">
        <v>33</v>
      </c>
      <c r="D461">
        <v>840353</v>
      </c>
      <c r="E461" t="s">
        <v>17</v>
      </c>
      <c r="F461">
        <v>836</v>
      </c>
      <c r="G461">
        <v>864581</v>
      </c>
      <c r="H461">
        <v>12.82</v>
      </c>
      <c r="I461">
        <v>24</v>
      </c>
      <c r="J461">
        <v>238761</v>
      </c>
      <c r="K461" t="s">
        <v>11</v>
      </c>
      <c r="L461" t="s">
        <v>19</v>
      </c>
      <c r="M461" t="s">
        <v>20</v>
      </c>
      <c r="N461" t="s">
        <v>21</v>
      </c>
      <c r="O461">
        <v>0</v>
      </c>
    </row>
    <row r="462" spans="1:15">
      <c r="A462" t="s">
        <v>613</v>
      </c>
      <c r="B462">
        <v>38</v>
      </c>
      <c r="C462" t="s">
        <v>33</v>
      </c>
      <c r="D462">
        <v>842870</v>
      </c>
      <c r="E462" t="s">
        <v>17</v>
      </c>
      <c r="F462">
        <v>337</v>
      </c>
      <c r="G462">
        <v>865537</v>
      </c>
      <c r="H462">
        <v>8.8000000000000007</v>
      </c>
      <c r="I462">
        <v>24</v>
      </c>
      <c r="J462">
        <v>239222</v>
      </c>
      <c r="K462" t="s">
        <v>23</v>
      </c>
      <c r="L462" t="s">
        <v>19</v>
      </c>
      <c r="M462" t="s">
        <v>27</v>
      </c>
      <c r="N462" t="s">
        <v>21</v>
      </c>
      <c r="O462">
        <v>0</v>
      </c>
    </row>
    <row r="463" spans="1:15">
      <c r="A463" t="s">
        <v>628</v>
      </c>
      <c r="B463">
        <v>38</v>
      </c>
      <c r="C463" t="s">
        <v>16</v>
      </c>
      <c r="D463">
        <v>843411</v>
      </c>
      <c r="E463" t="s">
        <v>17</v>
      </c>
      <c r="F463">
        <v>322</v>
      </c>
      <c r="G463">
        <v>867257</v>
      </c>
      <c r="H463">
        <v>16.21</v>
      </c>
      <c r="I463">
        <v>60</v>
      </c>
      <c r="J463">
        <v>239340</v>
      </c>
      <c r="K463" t="s">
        <v>18</v>
      </c>
      <c r="L463" t="s">
        <v>19</v>
      </c>
      <c r="M463" t="s">
        <v>20</v>
      </c>
      <c r="N463" t="s">
        <v>31</v>
      </c>
      <c r="O463">
        <v>0</v>
      </c>
    </row>
    <row r="464" spans="1:15">
      <c r="A464" t="s">
        <v>674</v>
      </c>
      <c r="B464">
        <v>38</v>
      </c>
      <c r="C464" t="s">
        <v>16</v>
      </c>
      <c r="D464">
        <v>843450</v>
      </c>
      <c r="E464" t="s">
        <v>17</v>
      </c>
      <c r="F464">
        <v>545</v>
      </c>
      <c r="G464">
        <v>867561</v>
      </c>
      <c r="H464">
        <v>11.48</v>
      </c>
      <c r="I464">
        <v>48</v>
      </c>
      <c r="J464">
        <v>239639</v>
      </c>
      <c r="K464" t="s">
        <v>30</v>
      </c>
      <c r="L464" t="s">
        <v>19</v>
      </c>
      <c r="M464" t="s">
        <v>20</v>
      </c>
      <c r="N464" t="s">
        <v>28</v>
      </c>
      <c r="O464">
        <v>0</v>
      </c>
    </row>
    <row r="465" spans="1:15">
      <c r="A465" t="s">
        <v>766</v>
      </c>
      <c r="B465">
        <v>38</v>
      </c>
      <c r="C465" t="s">
        <v>16</v>
      </c>
      <c r="D465">
        <v>844766</v>
      </c>
      <c r="E465" t="s">
        <v>17</v>
      </c>
      <c r="F465">
        <v>741</v>
      </c>
      <c r="G465">
        <v>868789</v>
      </c>
      <c r="H465">
        <v>11.87</v>
      </c>
      <c r="I465">
        <v>12</v>
      </c>
      <c r="J465">
        <v>239734</v>
      </c>
      <c r="K465" t="s">
        <v>11</v>
      </c>
      <c r="L465" t="s">
        <v>34</v>
      </c>
      <c r="M465" t="s">
        <v>20</v>
      </c>
      <c r="N465" t="s">
        <v>31</v>
      </c>
      <c r="O465">
        <v>0</v>
      </c>
    </row>
    <row r="466" spans="1:15">
      <c r="A466" t="s">
        <v>774</v>
      </c>
      <c r="B466">
        <v>38</v>
      </c>
      <c r="C466" t="s">
        <v>33</v>
      </c>
      <c r="D466">
        <v>847658</v>
      </c>
      <c r="E466" t="s">
        <v>25</v>
      </c>
      <c r="F466">
        <v>645</v>
      </c>
      <c r="G466">
        <v>870305</v>
      </c>
      <c r="H466">
        <v>12.38</v>
      </c>
      <c r="I466">
        <v>12</v>
      </c>
      <c r="J466">
        <v>239763</v>
      </c>
      <c r="K466" t="s">
        <v>23</v>
      </c>
      <c r="L466" t="s">
        <v>34</v>
      </c>
      <c r="M466" t="s">
        <v>27</v>
      </c>
      <c r="N466" t="s">
        <v>21</v>
      </c>
      <c r="O466">
        <v>1</v>
      </c>
    </row>
    <row r="467" spans="1:15">
      <c r="A467" t="s">
        <v>786</v>
      </c>
      <c r="B467">
        <v>38</v>
      </c>
      <c r="C467" t="s">
        <v>16</v>
      </c>
      <c r="D467">
        <v>847961</v>
      </c>
      <c r="E467" t="s">
        <v>17</v>
      </c>
      <c r="F467">
        <v>759</v>
      </c>
      <c r="G467">
        <v>870926</v>
      </c>
      <c r="H467">
        <v>10.88</v>
      </c>
      <c r="I467">
        <v>48</v>
      </c>
      <c r="J467">
        <v>239928</v>
      </c>
      <c r="K467" t="s">
        <v>23</v>
      </c>
      <c r="L467" t="s">
        <v>19</v>
      </c>
      <c r="M467" t="s">
        <v>27</v>
      </c>
      <c r="N467" t="s">
        <v>21</v>
      </c>
      <c r="O467">
        <v>0</v>
      </c>
    </row>
    <row r="468" spans="1:15">
      <c r="A468" t="s">
        <v>790</v>
      </c>
      <c r="B468">
        <v>38</v>
      </c>
      <c r="C468" t="s">
        <v>16</v>
      </c>
      <c r="D468">
        <v>848563</v>
      </c>
      <c r="E468" t="s">
        <v>25</v>
      </c>
      <c r="F468">
        <v>878</v>
      </c>
      <c r="G468">
        <v>872760</v>
      </c>
      <c r="H468">
        <v>13.56</v>
      </c>
      <c r="I468">
        <v>36</v>
      </c>
      <c r="J468">
        <v>239960</v>
      </c>
      <c r="K468" t="s">
        <v>26</v>
      </c>
      <c r="L468" t="s">
        <v>34</v>
      </c>
      <c r="M468" t="s">
        <v>20</v>
      </c>
      <c r="N468" t="s">
        <v>31</v>
      </c>
      <c r="O468">
        <v>0</v>
      </c>
    </row>
    <row r="469" spans="1:15">
      <c r="A469" t="s">
        <v>872</v>
      </c>
      <c r="B469">
        <v>38</v>
      </c>
      <c r="C469" t="s">
        <v>33</v>
      </c>
      <c r="D469">
        <v>848690</v>
      </c>
      <c r="E469" t="s">
        <v>17</v>
      </c>
      <c r="F469">
        <v>720</v>
      </c>
      <c r="G469">
        <v>872760</v>
      </c>
      <c r="H469">
        <v>13.81</v>
      </c>
      <c r="I469">
        <v>36</v>
      </c>
      <c r="J469">
        <v>240799</v>
      </c>
      <c r="K469" t="s">
        <v>18</v>
      </c>
      <c r="L469" t="s">
        <v>19</v>
      </c>
      <c r="M469" t="s">
        <v>20</v>
      </c>
      <c r="N469" t="s">
        <v>21</v>
      </c>
      <c r="O469">
        <v>0</v>
      </c>
    </row>
    <row r="470" spans="1:15">
      <c r="A470" t="s">
        <v>879</v>
      </c>
      <c r="B470">
        <v>38</v>
      </c>
      <c r="C470" t="s">
        <v>16</v>
      </c>
      <c r="D470">
        <v>850577</v>
      </c>
      <c r="E470" t="s">
        <v>17</v>
      </c>
      <c r="F470">
        <v>415</v>
      </c>
      <c r="G470">
        <v>874693</v>
      </c>
      <c r="H470">
        <v>14.45</v>
      </c>
      <c r="I470">
        <v>24</v>
      </c>
      <c r="J470">
        <v>240881</v>
      </c>
      <c r="K470" t="s">
        <v>18</v>
      </c>
      <c r="L470" t="s">
        <v>19</v>
      </c>
      <c r="M470" t="s">
        <v>27</v>
      </c>
      <c r="N470" t="s">
        <v>28</v>
      </c>
      <c r="O470">
        <v>0</v>
      </c>
    </row>
    <row r="471" spans="1:15">
      <c r="A471" t="s">
        <v>933</v>
      </c>
      <c r="B471">
        <v>38</v>
      </c>
      <c r="C471" t="s">
        <v>16</v>
      </c>
      <c r="D471">
        <v>856643</v>
      </c>
      <c r="E471" t="s">
        <v>17</v>
      </c>
      <c r="F471">
        <v>400</v>
      </c>
      <c r="G471">
        <v>880851</v>
      </c>
      <c r="H471">
        <v>9.9</v>
      </c>
      <c r="I471">
        <v>36</v>
      </c>
      <c r="J471">
        <v>240953</v>
      </c>
      <c r="K471" t="s">
        <v>23</v>
      </c>
      <c r="L471" t="s">
        <v>34</v>
      </c>
      <c r="M471" t="s">
        <v>20</v>
      </c>
      <c r="N471" t="s">
        <v>31</v>
      </c>
      <c r="O471">
        <v>0</v>
      </c>
    </row>
    <row r="472" spans="1:15">
      <c r="A472" t="s">
        <v>62</v>
      </c>
      <c r="B472">
        <v>39</v>
      </c>
      <c r="C472" t="s">
        <v>33</v>
      </c>
      <c r="D472">
        <v>858274</v>
      </c>
      <c r="E472" t="s">
        <v>17</v>
      </c>
      <c r="F472">
        <v>747</v>
      </c>
      <c r="G472">
        <v>880908</v>
      </c>
      <c r="H472">
        <v>13.31</v>
      </c>
      <c r="I472">
        <v>24</v>
      </c>
      <c r="J472">
        <v>241281</v>
      </c>
      <c r="K472" t="s">
        <v>18</v>
      </c>
      <c r="L472" t="s">
        <v>34</v>
      </c>
      <c r="M472" t="s">
        <v>20</v>
      </c>
      <c r="N472" t="s">
        <v>21</v>
      </c>
      <c r="O472">
        <v>0</v>
      </c>
    </row>
    <row r="473" spans="1:15">
      <c r="A473" t="s">
        <v>85</v>
      </c>
      <c r="B473">
        <v>39</v>
      </c>
      <c r="C473" t="s">
        <v>16</v>
      </c>
      <c r="D473">
        <v>859318</v>
      </c>
      <c r="E473" t="s">
        <v>25</v>
      </c>
      <c r="F473">
        <v>407</v>
      </c>
      <c r="G473">
        <v>886744</v>
      </c>
      <c r="H473">
        <v>9.09</v>
      </c>
      <c r="I473">
        <v>48</v>
      </c>
      <c r="J473">
        <v>241389</v>
      </c>
      <c r="K473" t="s">
        <v>30</v>
      </c>
      <c r="L473" t="s">
        <v>34</v>
      </c>
      <c r="M473" t="s">
        <v>27</v>
      </c>
      <c r="N473" t="s">
        <v>31</v>
      </c>
      <c r="O473">
        <v>0</v>
      </c>
    </row>
    <row r="474" spans="1:15">
      <c r="A474" t="s">
        <v>104</v>
      </c>
      <c r="B474">
        <v>39</v>
      </c>
      <c r="C474" t="s">
        <v>33</v>
      </c>
      <c r="D474">
        <v>861282</v>
      </c>
      <c r="E474" t="s">
        <v>25</v>
      </c>
      <c r="F474">
        <v>734</v>
      </c>
      <c r="G474">
        <v>887143</v>
      </c>
      <c r="H474">
        <v>16.010000000000002</v>
      </c>
      <c r="I474">
        <v>36</v>
      </c>
      <c r="J474">
        <v>242351</v>
      </c>
      <c r="K474" t="s">
        <v>30</v>
      </c>
      <c r="L474" t="s">
        <v>34</v>
      </c>
      <c r="M474" t="s">
        <v>20</v>
      </c>
      <c r="N474" t="s">
        <v>31</v>
      </c>
      <c r="O474">
        <v>0</v>
      </c>
    </row>
    <row r="475" spans="1:15">
      <c r="A475" t="s">
        <v>109</v>
      </c>
      <c r="B475">
        <v>39</v>
      </c>
      <c r="C475" t="s">
        <v>16</v>
      </c>
      <c r="D475">
        <v>861343</v>
      </c>
      <c r="E475" t="s">
        <v>25</v>
      </c>
      <c r="F475">
        <v>752</v>
      </c>
      <c r="G475">
        <v>887449</v>
      </c>
      <c r="H475">
        <v>13.81</v>
      </c>
      <c r="I475">
        <v>12</v>
      </c>
      <c r="J475">
        <v>242806</v>
      </c>
      <c r="K475" t="s">
        <v>11</v>
      </c>
      <c r="L475" t="s">
        <v>34</v>
      </c>
      <c r="M475" t="s">
        <v>27</v>
      </c>
      <c r="N475" t="s">
        <v>21</v>
      </c>
      <c r="O475">
        <v>0</v>
      </c>
    </row>
    <row r="476" spans="1:15">
      <c r="A476" t="s">
        <v>336</v>
      </c>
      <c r="B476">
        <v>39</v>
      </c>
      <c r="C476" t="s">
        <v>16</v>
      </c>
      <c r="D476">
        <v>861847</v>
      </c>
      <c r="E476" t="s">
        <v>17</v>
      </c>
      <c r="F476">
        <v>752</v>
      </c>
      <c r="G476">
        <v>890125</v>
      </c>
      <c r="H476">
        <v>14.45</v>
      </c>
      <c r="I476">
        <v>60</v>
      </c>
      <c r="J476">
        <v>243503</v>
      </c>
      <c r="K476" t="s">
        <v>23</v>
      </c>
      <c r="L476" t="s">
        <v>34</v>
      </c>
      <c r="M476" t="s">
        <v>27</v>
      </c>
      <c r="N476" t="s">
        <v>31</v>
      </c>
      <c r="O476">
        <v>0</v>
      </c>
    </row>
    <row r="477" spans="1:15">
      <c r="A477" t="s">
        <v>387</v>
      </c>
      <c r="B477">
        <v>39</v>
      </c>
      <c r="C477" t="s">
        <v>33</v>
      </c>
      <c r="D477">
        <v>862791</v>
      </c>
      <c r="E477" t="s">
        <v>25</v>
      </c>
      <c r="F477">
        <v>550</v>
      </c>
      <c r="G477">
        <v>896974</v>
      </c>
      <c r="H477">
        <v>9.85</v>
      </c>
      <c r="I477">
        <v>60</v>
      </c>
      <c r="J477">
        <v>244035</v>
      </c>
      <c r="K477" t="s">
        <v>23</v>
      </c>
      <c r="L477" t="s">
        <v>34</v>
      </c>
      <c r="M477" t="s">
        <v>27</v>
      </c>
      <c r="N477" t="s">
        <v>28</v>
      </c>
      <c r="O477">
        <v>1</v>
      </c>
    </row>
    <row r="478" spans="1:15">
      <c r="A478" t="s">
        <v>413</v>
      </c>
      <c r="B478">
        <v>39</v>
      </c>
      <c r="C478" t="s">
        <v>16</v>
      </c>
      <c r="D478">
        <v>863481</v>
      </c>
      <c r="E478" t="s">
        <v>25</v>
      </c>
      <c r="F478">
        <v>773</v>
      </c>
      <c r="G478">
        <v>897148</v>
      </c>
      <c r="H478">
        <v>13.52</v>
      </c>
      <c r="I478">
        <v>12</v>
      </c>
      <c r="J478">
        <v>246026</v>
      </c>
      <c r="K478" t="s">
        <v>18</v>
      </c>
      <c r="L478" t="s">
        <v>19</v>
      </c>
      <c r="M478" t="s">
        <v>27</v>
      </c>
      <c r="N478" t="s">
        <v>31</v>
      </c>
      <c r="O478">
        <v>0</v>
      </c>
    </row>
    <row r="479" spans="1:15">
      <c r="A479" t="s">
        <v>423</v>
      </c>
      <c r="B479">
        <v>39</v>
      </c>
      <c r="C479" t="s">
        <v>33</v>
      </c>
      <c r="D479">
        <v>864694</v>
      </c>
      <c r="E479" t="s">
        <v>17</v>
      </c>
      <c r="G479">
        <v>903461</v>
      </c>
      <c r="H479">
        <v>15.57</v>
      </c>
      <c r="I479">
        <v>24</v>
      </c>
      <c r="J479">
        <v>246586</v>
      </c>
      <c r="K479" t="s">
        <v>11</v>
      </c>
      <c r="L479" t="s">
        <v>19</v>
      </c>
      <c r="M479" t="s">
        <v>20</v>
      </c>
      <c r="N479" t="s">
        <v>21</v>
      </c>
      <c r="O479">
        <v>0</v>
      </c>
    </row>
    <row r="480" spans="1:15">
      <c r="A480" t="s">
        <v>432</v>
      </c>
      <c r="B480">
        <v>39</v>
      </c>
      <c r="C480" t="s">
        <v>16</v>
      </c>
      <c r="D480">
        <v>866577</v>
      </c>
      <c r="E480" t="s">
        <v>25</v>
      </c>
      <c r="F480">
        <v>825</v>
      </c>
      <c r="G480">
        <v>904658</v>
      </c>
      <c r="H480">
        <v>14.45</v>
      </c>
      <c r="I480">
        <v>60</v>
      </c>
      <c r="J480">
        <v>246851</v>
      </c>
      <c r="K480" t="s">
        <v>26</v>
      </c>
      <c r="L480" t="s">
        <v>34</v>
      </c>
      <c r="M480" t="s">
        <v>27</v>
      </c>
      <c r="N480" t="s">
        <v>31</v>
      </c>
      <c r="O480">
        <v>1</v>
      </c>
    </row>
    <row r="481" spans="1:15">
      <c r="A481" t="s">
        <v>479</v>
      </c>
      <c r="B481">
        <v>39</v>
      </c>
      <c r="C481" t="s">
        <v>16</v>
      </c>
      <c r="D481">
        <v>867724</v>
      </c>
      <c r="E481" t="s">
        <v>17</v>
      </c>
      <c r="F481">
        <v>660</v>
      </c>
      <c r="G481">
        <v>906019</v>
      </c>
      <c r="H481">
        <v>14.1</v>
      </c>
      <c r="I481">
        <v>60</v>
      </c>
      <c r="J481">
        <v>246923</v>
      </c>
      <c r="K481" t="s">
        <v>26</v>
      </c>
      <c r="L481" t="s">
        <v>34</v>
      </c>
      <c r="M481" t="s">
        <v>27</v>
      </c>
      <c r="N481" t="s">
        <v>21</v>
      </c>
      <c r="O481">
        <v>0</v>
      </c>
    </row>
    <row r="482" spans="1:15">
      <c r="A482" t="s">
        <v>611</v>
      </c>
      <c r="B482">
        <v>39</v>
      </c>
      <c r="C482" t="s">
        <v>16</v>
      </c>
      <c r="D482">
        <v>868319</v>
      </c>
      <c r="E482" t="s">
        <v>25</v>
      </c>
      <c r="F482">
        <v>748</v>
      </c>
      <c r="G482">
        <v>907560</v>
      </c>
      <c r="H482">
        <v>8.02</v>
      </c>
      <c r="I482">
        <v>36</v>
      </c>
      <c r="J482">
        <v>247601</v>
      </c>
      <c r="K482" t="s">
        <v>23</v>
      </c>
      <c r="L482" t="s">
        <v>19</v>
      </c>
      <c r="M482" t="s">
        <v>27</v>
      </c>
      <c r="N482" t="s">
        <v>31</v>
      </c>
      <c r="O482">
        <v>0</v>
      </c>
    </row>
    <row r="483" spans="1:15">
      <c r="A483" t="s">
        <v>618</v>
      </c>
      <c r="B483">
        <v>39</v>
      </c>
      <c r="C483" t="s">
        <v>33</v>
      </c>
      <c r="D483">
        <v>870497</v>
      </c>
      <c r="E483" t="s">
        <v>25</v>
      </c>
      <c r="F483">
        <v>406</v>
      </c>
      <c r="G483">
        <v>915072</v>
      </c>
      <c r="H483">
        <v>9.02</v>
      </c>
      <c r="I483">
        <v>36</v>
      </c>
      <c r="J483">
        <v>247926</v>
      </c>
      <c r="K483" t="s">
        <v>18</v>
      </c>
      <c r="L483" t="s">
        <v>34</v>
      </c>
      <c r="M483" t="s">
        <v>20</v>
      </c>
      <c r="N483" t="s">
        <v>31</v>
      </c>
      <c r="O483">
        <v>0</v>
      </c>
    </row>
    <row r="484" spans="1:15">
      <c r="A484" t="s">
        <v>671</v>
      </c>
      <c r="B484">
        <v>39</v>
      </c>
      <c r="C484" t="s">
        <v>16</v>
      </c>
      <c r="D484">
        <v>870864</v>
      </c>
      <c r="E484" t="s">
        <v>25</v>
      </c>
      <c r="F484">
        <v>553</v>
      </c>
      <c r="G484">
        <v>918395</v>
      </c>
      <c r="H484">
        <v>13.51</v>
      </c>
      <c r="I484">
        <v>24</v>
      </c>
      <c r="J484">
        <v>248596</v>
      </c>
      <c r="K484" t="s">
        <v>30</v>
      </c>
      <c r="L484" t="s">
        <v>34</v>
      </c>
      <c r="M484" t="s">
        <v>27</v>
      </c>
      <c r="N484" t="s">
        <v>28</v>
      </c>
      <c r="O484">
        <v>1</v>
      </c>
    </row>
    <row r="485" spans="1:15">
      <c r="A485" t="s">
        <v>783</v>
      </c>
      <c r="B485">
        <v>39</v>
      </c>
      <c r="C485" t="s">
        <v>16</v>
      </c>
      <c r="D485">
        <v>871435</v>
      </c>
      <c r="E485" t="s">
        <v>17</v>
      </c>
      <c r="G485">
        <v>919427</v>
      </c>
      <c r="H485">
        <v>11.76</v>
      </c>
      <c r="I485">
        <v>36</v>
      </c>
      <c r="J485">
        <v>249833</v>
      </c>
      <c r="K485" t="s">
        <v>18</v>
      </c>
      <c r="L485" t="s">
        <v>19</v>
      </c>
      <c r="M485" t="s">
        <v>20</v>
      </c>
      <c r="N485" t="s">
        <v>28</v>
      </c>
      <c r="O485">
        <v>0</v>
      </c>
    </row>
    <row r="486" spans="1:15">
      <c r="A486" t="s">
        <v>809</v>
      </c>
      <c r="B486">
        <v>39</v>
      </c>
      <c r="C486" t="s">
        <v>16</v>
      </c>
      <c r="D486">
        <v>872207</v>
      </c>
      <c r="E486" t="s">
        <v>25</v>
      </c>
      <c r="F486">
        <v>427</v>
      </c>
      <c r="G486">
        <v>920546</v>
      </c>
      <c r="H486">
        <v>9.4700000000000006</v>
      </c>
      <c r="I486">
        <v>36</v>
      </c>
      <c r="J486">
        <v>249859</v>
      </c>
      <c r="K486" t="s">
        <v>23</v>
      </c>
      <c r="L486" t="s">
        <v>19</v>
      </c>
      <c r="M486" t="s">
        <v>20</v>
      </c>
      <c r="N486" t="s">
        <v>21</v>
      </c>
      <c r="O486">
        <v>0</v>
      </c>
    </row>
    <row r="487" spans="1:15">
      <c r="A487" t="s">
        <v>835</v>
      </c>
      <c r="B487">
        <v>39</v>
      </c>
      <c r="C487" t="s">
        <v>16</v>
      </c>
      <c r="D487">
        <v>872207</v>
      </c>
      <c r="E487" t="s">
        <v>17</v>
      </c>
      <c r="F487">
        <v>826</v>
      </c>
      <c r="G487">
        <v>921869</v>
      </c>
      <c r="H487">
        <v>9.08</v>
      </c>
      <c r="I487">
        <v>48</v>
      </c>
      <c r="J487">
        <v>249976</v>
      </c>
      <c r="K487" t="s">
        <v>18</v>
      </c>
      <c r="L487" t="s">
        <v>34</v>
      </c>
      <c r="M487" t="s">
        <v>27</v>
      </c>
      <c r="N487" t="s">
        <v>31</v>
      </c>
      <c r="O487">
        <v>0</v>
      </c>
    </row>
    <row r="488" spans="1:15">
      <c r="A488" t="s">
        <v>850</v>
      </c>
      <c r="B488">
        <v>39</v>
      </c>
      <c r="C488" t="s">
        <v>16</v>
      </c>
      <c r="D488">
        <v>872526</v>
      </c>
      <c r="E488" t="s">
        <v>25</v>
      </c>
      <c r="F488">
        <v>617</v>
      </c>
      <c r="G488">
        <v>923123</v>
      </c>
      <c r="H488">
        <v>13.93</v>
      </c>
      <c r="I488">
        <v>12</v>
      </c>
      <c r="J488">
        <v>251045</v>
      </c>
      <c r="K488" t="s">
        <v>11</v>
      </c>
      <c r="L488" t="s">
        <v>34</v>
      </c>
      <c r="M488" t="s">
        <v>27</v>
      </c>
      <c r="N488" t="s">
        <v>21</v>
      </c>
      <c r="O488">
        <v>1</v>
      </c>
    </row>
    <row r="489" spans="1:15">
      <c r="A489" t="s">
        <v>868</v>
      </c>
      <c r="B489">
        <v>39</v>
      </c>
      <c r="C489" t="s">
        <v>16</v>
      </c>
      <c r="D489">
        <v>872798</v>
      </c>
      <c r="E489" t="s">
        <v>25</v>
      </c>
      <c r="F489">
        <v>434</v>
      </c>
      <c r="G489">
        <v>924091</v>
      </c>
      <c r="H489">
        <v>9.17</v>
      </c>
      <c r="I489">
        <v>36</v>
      </c>
      <c r="J489">
        <v>251213</v>
      </c>
      <c r="K489" t="s">
        <v>26</v>
      </c>
      <c r="L489" t="s">
        <v>34</v>
      </c>
      <c r="M489" t="s">
        <v>20</v>
      </c>
      <c r="N489" t="s">
        <v>21</v>
      </c>
      <c r="O489">
        <v>1</v>
      </c>
    </row>
    <row r="490" spans="1:15">
      <c r="A490" t="s">
        <v>884</v>
      </c>
      <c r="B490">
        <v>39</v>
      </c>
      <c r="C490" t="s">
        <v>16</v>
      </c>
      <c r="D490">
        <v>873976</v>
      </c>
      <c r="E490" t="s">
        <v>25</v>
      </c>
      <c r="F490">
        <v>417</v>
      </c>
      <c r="G490">
        <v>924977</v>
      </c>
      <c r="H490">
        <v>9.34</v>
      </c>
      <c r="I490">
        <v>60</v>
      </c>
      <c r="J490">
        <v>251743</v>
      </c>
      <c r="K490" t="s">
        <v>26</v>
      </c>
      <c r="L490" t="s">
        <v>19</v>
      </c>
      <c r="M490" t="s">
        <v>27</v>
      </c>
      <c r="N490" t="s">
        <v>28</v>
      </c>
      <c r="O490">
        <v>1</v>
      </c>
    </row>
    <row r="491" spans="1:15">
      <c r="A491" t="s">
        <v>927</v>
      </c>
      <c r="B491">
        <v>39</v>
      </c>
      <c r="C491" t="s">
        <v>33</v>
      </c>
      <c r="D491">
        <v>875492</v>
      </c>
      <c r="E491" t="s">
        <v>25</v>
      </c>
      <c r="F491">
        <v>675</v>
      </c>
      <c r="G491">
        <v>925281</v>
      </c>
      <c r="H491">
        <v>9.27</v>
      </c>
      <c r="I491">
        <v>36</v>
      </c>
      <c r="J491">
        <v>252193</v>
      </c>
      <c r="K491" t="s">
        <v>11</v>
      </c>
      <c r="L491" t="s">
        <v>34</v>
      </c>
      <c r="M491" t="s">
        <v>27</v>
      </c>
      <c r="N491" t="s">
        <v>28</v>
      </c>
      <c r="O491">
        <v>0</v>
      </c>
    </row>
    <row r="492" spans="1:15">
      <c r="A492" t="s">
        <v>996</v>
      </c>
      <c r="B492">
        <v>39</v>
      </c>
      <c r="C492" t="s">
        <v>16</v>
      </c>
      <c r="D492">
        <v>875916</v>
      </c>
      <c r="E492" t="s">
        <v>17</v>
      </c>
      <c r="F492">
        <v>639</v>
      </c>
      <c r="G492">
        <v>925975</v>
      </c>
      <c r="H492">
        <v>12.39</v>
      </c>
      <c r="I492">
        <v>48</v>
      </c>
      <c r="J492">
        <v>253293</v>
      </c>
      <c r="K492" t="s">
        <v>23</v>
      </c>
      <c r="L492" t="s">
        <v>19</v>
      </c>
      <c r="M492" t="s">
        <v>27</v>
      </c>
      <c r="N492" t="s">
        <v>21</v>
      </c>
      <c r="O492">
        <v>0</v>
      </c>
    </row>
    <row r="493" spans="1:15">
      <c r="A493" t="s">
        <v>50</v>
      </c>
      <c r="B493">
        <v>40</v>
      </c>
      <c r="C493" t="s">
        <v>16</v>
      </c>
      <c r="D493">
        <v>876348</v>
      </c>
      <c r="E493" t="s">
        <v>17</v>
      </c>
      <c r="F493">
        <v>616</v>
      </c>
      <c r="G493">
        <v>926358</v>
      </c>
      <c r="H493">
        <v>7.85</v>
      </c>
      <c r="I493">
        <v>12</v>
      </c>
      <c r="J493">
        <v>253587</v>
      </c>
      <c r="K493" t="s">
        <v>18</v>
      </c>
      <c r="L493" t="s">
        <v>19</v>
      </c>
      <c r="M493" t="s">
        <v>20</v>
      </c>
      <c r="N493" t="s">
        <v>28</v>
      </c>
      <c r="O493">
        <v>0</v>
      </c>
    </row>
    <row r="494" spans="1:15">
      <c r="A494" t="s">
        <v>60</v>
      </c>
      <c r="B494">
        <v>40</v>
      </c>
      <c r="C494" t="s">
        <v>33</v>
      </c>
      <c r="D494">
        <v>877415</v>
      </c>
      <c r="E494" t="s">
        <v>17</v>
      </c>
      <c r="F494">
        <v>798</v>
      </c>
      <c r="G494">
        <v>927849</v>
      </c>
      <c r="H494">
        <v>10.7</v>
      </c>
      <c r="I494">
        <v>36</v>
      </c>
      <c r="J494">
        <v>253709</v>
      </c>
      <c r="K494" t="s">
        <v>30</v>
      </c>
      <c r="L494" t="s">
        <v>34</v>
      </c>
      <c r="M494" t="s">
        <v>27</v>
      </c>
      <c r="N494" t="s">
        <v>31</v>
      </c>
      <c r="O494">
        <v>1</v>
      </c>
    </row>
    <row r="495" spans="1:15">
      <c r="A495" t="s">
        <v>78</v>
      </c>
      <c r="B495">
        <v>40</v>
      </c>
      <c r="C495" t="s">
        <v>16</v>
      </c>
      <c r="D495">
        <v>877448</v>
      </c>
      <c r="E495" t="s">
        <v>17</v>
      </c>
      <c r="F495">
        <v>610</v>
      </c>
      <c r="G495">
        <v>929993</v>
      </c>
      <c r="H495">
        <v>8.99</v>
      </c>
      <c r="I495">
        <v>24</v>
      </c>
      <c r="J495">
        <v>253719</v>
      </c>
      <c r="K495" t="s">
        <v>11</v>
      </c>
      <c r="L495" t="s">
        <v>34</v>
      </c>
      <c r="M495" t="s">
        <v>20</v>
      </c>
      <c r="N495" t="s">
        <v>21</v>
      </c>
      <c r="O495">
        <v>0</v>
      </c>
    </row>
    <row r="496" spans="1:15">
      <c r="A496" t="s">
        <v>83</v>
      </c>
      <c r="B496">
        <v>40</v>
      </c>
      <c r="C496" t="s">
        <v>33</v>
      </c>
      <c r="D496">
        <v>883188</v>
      </c>
      <c r="E496" t="s">
        <v>17</v>
      </c>
      <c r="F496">
        <v>391</v>
      </c>
      <c r="G496">
        <v>931061</v>
      </c>
      <c r="H496">
        <v>13.05</v>
      </c>
      <c r="I496">
        <v>12</v>
      </c>
      <c r="J496">
        <v>254332</v>
      </c>
      <c r="K496" t="s">
        <v>26</v>
      </c>
      <c r="L496" t="s">
        <v>34</v>
      </c>
      <c r="M496" t="s">
        <v>20</v>
      </c>
      <c r="N496" t="s">
        <v>21</v>
      </c>
      <c r="O496">
        <v>0</v>
      </c>
    </row>
    <row r="497" spans="1:15">
      <c r="A497" t="s">
        <v>87</v>
      </c>
      <c r="B497">
        <v>40</v>
      </c>
      <c r="C497" t="s">
        <v>16</v>
      </c>
      <c r="D497">
        <v>883895</v>
      </c>
      <c r="E497" t="s">
        <v>25</v>
      </c>
      <c r="F497">
        <v>503</v>
      </c>
      <c r="G497">
        <v>936035</v>
      </c>
      <c r="H497">
        <v>14.83</v>
      </c>
      <c r="I497">
        <v>60</v>
      </c>
      <c r="J497">
        <v>255455</v>
      </c>
      <c r="K497" t="s">
        <v>11</v>
      </c>
      <c r="L497" t="s">
        <v>19</v>
      </c>
      <c r="M497" t="s">
        <v>20</v>
      </c>
      <c r="N497" t="s">
        <v>28</v>
      </c>
      <c r="O497">
        <v>1</v>
      </c>
    </row>
    <row r="498" spans="1:15">
      <c r="A498" t="s">
        <v>303</v>
      </c>
      <c r="B498">
        <v>40</v>
      </c>
      <c r="C498" t="s">
        <v>1026</v>
      </c>
      <c r="D498">
        <v>884895</v>
      </c>
      <c r="E498" t="s">
        <v>17</v>
      </c>
      <c r="F498">
        <v>742</v>
      </c>
      <c r="G498">
        <v>939037</v>
      </c>
      <c r="H498">
        <v>8.25</v>
      </c>
      <c r="I498">
        <v>24</v>
      </c>
      <c r="J498">
        <v>255848</v>
      </c>
      <c r="K498" t="s">
        <v>26</v>
      </c>
      <c r="L498" t="s">
        <v>19</v>
      </c>
      <c r="M498" t="s">
        <v>27</v>
      </c>
      <c r="N498" t="s">
        <v>21</v>
      </c>
      <c r="O498">
        <v>0</v>
      </c>
    </row>
    <row r="499" spans="1:15">
      <c r="A499" t="s">
        <v>314</v>
      </c>
      <c r="B499">
        <v>40</v>
      </c>
      <c r="C499" t="s">
        <v>16</v>
      </c>
      <c r="D499">
        <v>885233</v>
      </c>
      <c r="E499" t="s">
        <v>17</v>
      </c>
      <c r="F499">
        <v>334</v>
      </c>
      <c r="G499">
        <v>939553</v>
      </c>
      <c r="H499">
        <v>9.75</v>
      </c>
      <c r="I499">
        <v>12</v>
      </c>
      <c r="J499">
        <v>256245</v>
      </c>
      <c r="K499" t="s">
        <v>30</v>
      </c>
      <c r="L499" t="s">
        <v>19</v>
      </c>
      <c r="M499" t="s">
        <v>27</v>
      </c>
      <c r="N499" t="s">
        <v>31</v>
      </c>
      <c r="O499">
        <v>0</v>
      </c>
    </row>
    <row r="500" spans="1:15">
      <c r="A500" t="s">
        <v>378</v>
      </c>
      <c r="B500">
        <v>40</v>
      </c>
      <c r="C500" t="s">
        <v>33</v>
      </c>
      <c r="D500">
        <v>885359</v>
      </c>
      <c r="E500" t="s">
        <v>25</v>
      </c>
      <c r="F500">
        <v>595</v>
      </c>
      <c r="G500">
        <v>940605</v>
      </c>
      <c r="H500">
        <v>15.86</v>
      </c>
      <c r="I500">
        <v>48</v>
      </c>
      <c r="J500">
        <v>256671</v>
      </c>
      <c r="K500" t="s">
        <v>30</v>
      </c>
      <c r="L500" t="s">
        <v>19</v>
      </c>
      <c r="M500" t="s">
        <v>27</v>
      </c>
      <c r="N500" t="s">
        <v>28</v>
      </c>
      <c r="O500">
        <v>1</v>
      </c>
    </row>
    <row r="501" spans="1:15">
      <c r="A501" t="s">
        <v>386</v>
      </c>
      <c r="B501">
        <v>40</v>
      </c>
      <c r="C501" t="s">
        <v>16</v>
      </c>
      <c r="D501">
        <v>887333</v>
      </c>
      <c r="E501" t="s">
        <v>25</v>
      </c>
      <c r="F501">
        <v>675</v>
      </c>
      <c r="G501">
        <v>941900</v>
      </c>
      <c r="H501">
        <v>10.82</v>
      </c>
      <c r="I501">
        <v>60</v>
      </c>
      <c r="J501">
        <v>257546</v>
      </c>
      <c r="K501" t="s">
        <v>18</v>
      </c>
      <c r="L501" t="s">
        <v>34</v>
      </c>
      <c r="M501" t="s">
        <v>27</v>
      </c>
      <c r="N501" t="s">
        <v>31</v>
      </c>
      <c r="O501">
        <v>0</v>
      </c>
    </row>
    <row r="502" spans="1:15">
      <c r="A502" t="s">
        <v>402</v>
      </c>
      <c r="B502">
        <v>40</v>
      </c>
      <c r="C502" t="s">
        <v>16</v>
      </c>
      <c r="D502">
        <v>888657</v>
      </c>
      <c r="E502" t="s">
        <v>17</v>
      </c>
      <c r="F502">
        <v>644</v>
      </c>
      <c r="G502">
        <v>943152</v>
      </c>
      <c r="H502">
        <v>10.84</v>
      </c>
      <c r="I502">
        <v>60</v>
      </c>
      <c r="J502">
        <v>257828</v>
      </c>
      <c r="K502" t="s">
        <v>30</v>
      </c>
      <c r="L502" t="s">
        <v>19</v>
      </c>
      <c r="M502" t="s">
        <v>20</v>
      </c>
      <c r="N502" t="s">
        <v>28</v>
      </c>
      <c r="O502">
        <v>0</v>
      </c>
    </row>
    <row r="503" spans="1:15">
      <c r="A503" t="s">
        <v>411</v>
      </c>
      <c r="B503">
        <v>40</v>
      </c>
      <c r="C503" t="s">
        <v>33</v>
      </c>
      <c r="D503">
        <v>888746</v>
      </c>
      <c r="E503" t="s">
        <v>25</v>
      </c>
      <c r="F503">
        <v>329</v>
      </c>
      <c r="G503">
        <v>947784</v>
      </c>
      <c r="H503">
        <v>9.86</v>
      </c>
      <c r="I503">
        <v>60</v>
      </c>
      <c r="J503">
        <v>257917</v>
      </c>
      <c r="K503" t="s">
        <v>23</v>
      </c>
      <c r="L503" t="s">
        <v>19</v>
      </c>
      <c r="M503" t="s">
        <v>20</v>
      </c>
      <c r="N503" t="s">
        <v>31</v>
      </c>
      <c r="O503">
        <v>0</v>
      </c>
    </row>
    <row r="504" spans="1:15">
      <c r="A504" t="s">
        <v>426</v>
      </c>
      <c r="B504">
        <v>40</v>
      </c>
      <c r="C504" t="s">
        <v>16</v>
      </c>
      <c r="D504">
        <v>889992</v>
      </c>
      <c r="E504" t="s">
        <v>25</v>
      </c>
      <c r="F504">
        <v>530</v>
      </c>
      <c r="G504">
        <v>948145</v>
      </c>
      <c r="H504">
        <v>13.2</v>
      </c>
      <c r="I504">
        <v>60</v>
      </c>
      <c r="J504">
        <v>258908</v>
      </c>
      <c r="K504" t="s">
        <v>18</v>
      </c>
      <c r="L504" t="s">
        <v>19</v>
      </c>
      <c r="M504" t="s">
        <v>20</v>
      </c>
      <c r="N504" t="s">
        <v>31</v>
      </c>
      <c r="O504">
        <v>0</v>
      </c>
    </row>
    <row r="505" spans="1:15">
      <c r="A505" t="s">
        <v>451</v>
      </c>
      <c r="B505">
        <v>40</v>
      </c>
      <c r="C505" t="s">
        <v>33</v>
      </c>
      <c r="D505">
        <v>892582</v>
      </c>
      <c r="E505" t="s">
        <v>17</v>
      </c>
      <c r="F505">
        <v>611</v>
      </c>
      <c r="G505">
        <v>949363</v>
      </c>
      <c r="H505">
        <v>13.22</v>
      </c>
      <c r="I505">
        <v>24</v>
      </c>
      <c r="J505">
        <v>259769</v>
      </c>
      <c r="K505" t="s">
        <v>23</v>
      </c>
      <c r="L505" t="s">
        <v>34</v>
      </c>
      <c r="M505" t="s">
        <v>27</v>
      </c>
      <c r="N505" t="s">
        <v>31</v>
      </c>
      <c r="O505">
        <v>0</v>
      </c>
    </row>
    <row r="506" spans="1:15">
      <c r="A506" t="s">
        <v>459</v>
      </c>
      <c r="B506">
        <v>40</v>
      </c>
      <c r="C506" t="s">
        <v>33</v>
      </c>
      <c r="D506">
        <v>893874</v>
      </c>
      <c r="E506" t="s">
        <v>17</v>
      </c>
      <c r="F506">
        <v>418</v>
      </c>
      <c r="G506">
        <v>951553</v>
      </c>
      <c r="H506">
        <v>15.53</v>
      </c>
      <c r="I506">
        <v>12</v>
      </c>
      <c r="J506">
        <v>260700</v>
      </c>
      <c r="K506" t="s">
        <v>30</v>
      </c>
      <c r="L506" t="s">
        <v>34</v>
      </c>
      <c r="M506" t="s">
        <v>27</v>
      </c>
      <c r="N506" t="s">
        <v>21</v>
      </c>
      <c r="O506">
        <v>0</v>
      </c>
    </row>
    <row r="507" spans="1:15">
      <c r="A507" t="s">
        <v>476</v>
      </c>
      <c r="B507">
        <v>40</v>
      </c>
      <c r="C507" t="s">
        <v>33</v>
      </c>
      <c r="D507">
        <v>894865</v>
      </c>
      <c r="E507" t="s">
        <v>17</v>
      </c>
      <c r="F507">
        <v>489</v>
      </c>
      <c r="G507">
        <v>955988</v>
      </c>
      <c r="H507">
        <v>13.11</v>
      </c>
      <c r="I507">
        <v>36</v>
      </c>
      <c r="J507">
        <v>261214</v>
      </c>
      <c r="K507" t="s">
        <v>18</v>
      </c>
      <c r="L507" t="s">
        <v>19</v>
      </c>
      <c r="M507" t="s">
        <v>27</v>
      </c>
      <c r="N507" t="s">
        <v>28</v>
      </c>
      <c r="O507">
        <v>1</v>
      </c>
    </row>
    <row r="508" spans="1:15">
      <c r="A508" t="s">
        <v>526</v>
      </c>
      <c r="B508">
        <v>40</v>
      </c>
      <c r="C508" t="s">
        <v>16</v>
      </c>
      <c r="D508">
        <v>895724</v>
      </c>
      <c r="E508" t="s">
        <v>17</v>
      </c>
      <c r="F508">
        <v>817</v>
      </c>
      <c r="G508">
        <v>959990</v>
      </c>
      <c r="H508">
        <v>15.3</v>
      </c>
      <c r="I508">
        <v>24</v>
      </c>
      <c r="J508">
        <v>261254</v>
      </c>
      <c r="K508" t="s">
        <v>23</v>
      </c>
      <c r="L508" t="s">
        <v>34</v>
      </c>
      <c r="M508" t="s">
        <v>27</v>
      </c>
      <c r="N508" t="s">
        <v>28</v>
      </c>
      <c r="O508">
        <v>0</v>
      </c>
    </row>
    <row r="509" spans="1:15">
      <c r="A509" t="s">
        <v>584</v>
      </c>
      <c r="B509">
        <v>40</v>
      </c>
      <c r="C509" t="s">
        <v>16</v>
      </c>
      <c r="D509">
        <v>896479</v>
      </c>
      <c r="E509" t="s">
        <v>25</v>
      </c>
      <c r="F509">
        <v>600</v>
      </c>
      <c r="G509">
        <v>960632</v>
      </c>
      <c r="H509">
        <v>12.78</v>
      </c>
      <c r="I509">
        <v>48</v>
      </c>
      <c r="J509">
        <v>261412</v>
      </c>
      <c r="K509" t="s">
        <v>30</v>
      </c>
      <c r="L509" t="s">
        <v>19</v>
      </c>
      <c r="M509" t="s">
        <v>27</v>
      </c>
      <c r="N509" t="s">
        <v>28</v>
      </c>
      <c r="O509">
        <v>0</v>
      </c>
    </row>
    <row r="510" spans="1:15">
      <c r="A510" t="s">
        <v>600</v>
      </c>
      <c r="B510">
        <v>40</v>
      </c>
      <c r="C510" t="s">
        <v>16</v>
      </c>
      <c r="D510">
        <v>896858</v>
      </c>
      <c r="E510" t="s">
        <v>25</v>
      </c>
      <c r="F510">
        <v>524</v>
      </c>
      <c r="G510">
        <v>963199</v>
      </c>
      <c r="H510">
        <v>16.02</v>
      </c>
      <c r="I510">
        <v>48</v>
      </c>
      <c r="J510">
        <v>261566</v>
      </c>
      <c r="K510" t="s">
        <v>30</v>
      </c>
      <c r="L510" t="s">
        <v>34</v>
      </c>
      <c r="M510" t="s">
        <v>20</v>
      </c>
      <c r="N510" t="s">
        <v>21</v>
      </c>
      <c r="O510">
        <v>0</v>
      </c>
    </row>
    <row r="511" spans="1:15">
      <c r="A511" t="s">
        <v>605</v>
      </c>
      <c r="B511">
        <v>40</v>
      </c>
      <c r="C511" t="s">
        <v>33</v>
      </c>
      <c r="D511">
        <v>897361</v>
      </c>
      <c r="E511" t="s">
        <v>17</v>
      </c>
      <c r="F511">
        <v>346</v>
      </c>
      <c r="G511">
        <v>964850</v>
      </c>
      <c r="H511">
        <v>8.1300000000000008</v>
      </c>
      <c r="I511">
        <v>48</v>
      </c>
      <c r="J511">
        <v>261581</v>
      </c>
      <c r="K511" t="s">
        <v>18</v>
      </c>
      <c r="L511" t="s">
        <v>34</v>
      </c>
      <c r="M511" t="s">
        <v>27</v>
      </c>
      <c r="N511" t="s">
        <v>21</v>
      </c>
      <c r="O511">
        <v>0</v>
      </c>
    </row>
    <row r="512" spans="1:15">
      <c r="A512" t="s">
        <v>672</v>
      </c>
      <c r="B512">
        <v>40</v>
      </c>
      <c r="C512" t="s">
        <v>16</v>
      </c>
      <c r="D512">
        <v>898845</v>
      </c>
      <c r="E512" t="s">
        <v>25</v>
      </c>
      <c r="F512">
        <v>442</v>
      </c>
      <c r="G512">
        <v>967069</v>
      </c>
      <c r="H512">
        <v>12.73</v>
      </c>
      <c r="I512">
        <v>24</v>
      </c>
      <c r="J512">
        <v>262979</v>
      </c>
      <c r="K512" t="s">
        <v>18</v>
      </c>
      <c r="L512" t="s">
        <v>34</v>
      </c>
      <c r="M512" t="s">
        <v>20</v>
      </c>
      <c r="N512" t="s">
        <v>31</v>
      </c>
      <c r="O512">
        <v>1</v>
      </c>
    </row>
    <row r="513" spans="1:15">
      <c r="A513" t="s">
        <v>792</v>
      </c>
      <c r="B513">
        <v>40</v>
      </c>
      <c r="C513" t="s">
        <v>16</v>
      </c>
      <c r="D513">
        <v>899603</v>
      </c>
      <c r="E513" t="s">
        <v>17</v>
      </c>
      <c r="F513">
        <v>809</v>
      </c>
      <c r="G513">
        <v>968530</v>
      </c>
      <c r="H513">
        <v>15.26</v>
      </c>
      <c r="I513">
        <v>60</v>
      </c>
      <c r="J513">
        <v>263432</v>
      </c>
      <c r="K513" t="s">
        <v>30</v>
      </c>
      <c r="L513" t="s">
        <v>34</v>
      </c>
      <c r="M513" t="s">
        <v>20</v>
      </c>
      <c r="N513" t="s">
        <v>31</v>
      </c>
      <c r="O513">
        <v>0</v>
      </c>
    </row>
    <row r="514" spans="1:15">
      <c r="A514" t="s">
        <v>831</v>
      </c>
      <c r="B514">
        <v>40</v>
      </c>
      <c r="C514" t="s">
        <v>16</v>
      </c>
      <c r="D514">
        <v>899915</v>
      </c>
      <c r="E514" t="s">
        <v>25</v>
      </c>
      <c r="F514">
        <v>598</v>
      </c>
      <c r="G514">
        <v>969222</v>
      </c>
      <c r="H514">
        <v>8.07</v>
      </c>
      <c r="I514">
        <v>48</v>
      </c>
      <c r="J514">
        <v>263471</v>
      </c>
      <c r="K514" t="s">
        <v>18</v>
      </c>
      <c r="L514" t="s">
        <v>34</v>
      </c>
      <c r="M514" t="s">
        <v>20</v>
      </c>
      <c r="N514" t="s">
        <v>28</v>
      </c>
      <c r="O514">
        <v>0</v>
      </c>
    </row>
    <row r="515" spans="1:15">
      <c r="A515" t="s">
        <v>853</v>
      </c>
      <c r="B515">
        <v>40</v>
      </c>
      <c r="C515" t="s">
        <v>16</v>
      </c>
      <c r="D515">
        <v>900454</v>
      </c>
      <c r="E515" t="s">
        <v>25</v>
      </c>
      <c r="F515">
        <v>498</v>
      </c>
      <c r="G515">
        <v>969406</v>
      </c>
      <c r="H515">
        <v>8.51</v>
      </c>
      <c r="I515">
        <v>36</v>
      </c>
      <c r="J515">
        <v>263790</v>
      </c>
      <c r="K515" t="s">
        <v>30</v>
      </c>
      <c r="L515" t="s">
        <v>34</v>
      </c>
      <c r="M515" t="s">
        <v>27</v>
      </c>
      <c r="N515" t="s">
        <v>31</v>
      </c>
      <c r="O515">
        <v>0</v>
      </c>
    </row>
    <row r="516" spans="1:15">
      <c r="A516" t="s">
        <v>906</v>
      </c>
      <c r="B516">
        <v>40</v>
      </c>
      <c r="C516" t="s">
        <v>16</v>
      </c>
      <c r="D516">
        <v>900730</v>
      </c>
      <c r="E516" t="s">
        <v>17</v>
      </c>
      <c r="F516">
        <v>538</v>
      </c>
      <c r="G516">
        <v>970135</v>
      </c>
      <c r="H516">
        <v>15.53</v>
      </c>
      <c r="I516">
        <v>48</v>
      </c>
      <c r="J516">
        <v>264358</v>
      </c>
      <c r="K516" t="s">
        <v>18</v>
      </c>
      <c r="L516" t="s">
        <v>19</v>
      </c>
      <c r="M516" t="s">
        <v>27</v>
      </c>
      <c r="N516" t="s">
        <v>21</v>
      </c>
      <c r="O516">
        <v>0</v>
      </c>
    </row>
    <row r="517" spans="1:15">
      <c r="A517" t="s">
        <v>929</v>
      </c>
      <c r="B517">
        <v>40</v>
      </c>
      <c r="C517" t="s">
        <v>16</v>
      </c>
      <c r="D517">
        <v>902449</v>
      </c>
      <c r="E517" t="s">
        <v>25</v>
      </c>
      <c r="F517">
        <v>464</v>
      </c>
      <c r="G517">
        <v>977058</v>
      </c>
      <c r="H517">
        <v>10.74</v>
      </c>
      <c r="I517">
        <v>48</v>
      </c>
      <c r="J517">
        <v>264365</v>
      </c>
      <c r="K517" t="s">
        <v>11</v>
      </c>
      <c r="L517" t="s">
        <v>19</v>
      </c>
      <c r="M517" t="s">
        <v>20</v>
      </c>
      <c r="N517" t="s">
        <v>28</v>
      </c>
      <c r="O517">
        <v>0</v>
      </c>
    </row>
    <row r="518" spans="1:15">
      <c r="A518" t="s">
        <v>939</v>
      </c>
      <c r="B518">
        <v>40</v>
      </c>
      <c r="C518" t="s">
        <v>16</v>
      </c>
      <c r="D518">
        <v>902943</v>
      </c>
      <c r="E518" t="s">
        <v>25</v>
      </c>
      <c r="F518">
        <v>844</v>
      </c>
      <c r="G518">
        <v>977706</v>
      </c>
      <c r="H518">
        <v>8.66</v>
      </c>
      <c r="I518">
        <v>48</v>
      </c>
      <c r="J518">
        <v>264669</v>
      </c>
      <c r="K518" t="s">
        <v>26</v>
      </c>
      <c r="L518" t="s">
        <v>19</v>
      </c>
      <c r="M518" t="s">
        <v>20</v>
      </c>
      <c r="N518" t="s">
        <v>21</v>
      </c>
      <c r="O518">
        <v>1</v>
      </c>
    </row>
    <row r="519" spans="1:15">
      <c r="A519" t="s">
        <v>941</v>
      </c>
      <c r="B519">
        <v>40</v>
      </c>
      <c r="C519" t="s">
        <v>33</v>
      </c>
      <c r="D519">
        <v>904365</v>
      </c>
      <c r="E519" t="s">
        <v>17</v>
      </c>
      <c r="F519">
        <v>592</v>
      </c>
      <c r="G519">
        <v>979287</v>
      </c>
      <c r="H519">
        <v>14.58</v>
      </c>
      <c r="I519">
        <v>36</v>
      </c>
      <c r="J519">
        <v>264843</v>
      </c>
      <c r="K519" t="s">
        <v>26</v>
      </c>
      <c r="L519" t="s">
        <v>34</v>
      </c>
      <c r="M519" t="s">
        <v>20</v>
      </c>
      <c r="N519" t="s">
        <v>31</v>
      </c>
      <c r="O519">
        <v>0</v>
      </c>
    </row>
    <row r="520" spans="1:15">
      <c r="A520" t="s">
        <v>943</v>
      </c>
      <c r="B520">
        <v>40</v>
      </c>
      <c r="C520" t="s">
        <v>33</v>
      </c>
      <c r="D520">
        <v>904406</v>
      </c>
      <c r="E520" t="s">
        <v>25</v>
      </c>
      <c r="F520">
        <v>701</v>
      </c>
      <c r="G520">
        <v>980476</v>
      </c>
      <c r="H520">
        <v>8.68</v>
      </c>
      <c r="I520">
        <v>12</v>
      </c>
      <c r="J520">
        <v>265818</v>
      </c>
      <c r="K520" t="s">
        <v>18</v>
      </c>
      <c r="L520" t="s">
        <v>34</v>
      </c>
      <c r="M520" t="s">
        <v>27</v>
      </c>
      <c r="N520" t="s">
        <v>21</v>
      </c>
      <c r="O520">
        <v>0</v>
      </c>
    </row>
    <row r="521" spans="1:15">
      <c r="A521" t="s">
        <v>995</v>
      </c>
      <c r="B521">
        <v>40</v>
      </c>
      <c r="C521" t="s">
        <v>33</v>
      </c>
      <c r="D521">
        <v>906332</v>
      </c>
      <c r="E521" t="s">
        <v>25</v>
      </c>
      <c r="F521">
        <v>867</v>
      </c>
      <c r="G521">
        <v>982413</v>
      </c>
      <c r="H521">
        <v>12.32</v>
      </c>
      <c r="I521">
        <v>36</v>
      </c>
      <c r="J521">
        <v>265922</v>
      </c>
      <c r="K521" t="s">
        <v>26</v>
      </c>
      <c r="L521" t="s">
        <v>19</v>
      </c>
      <c r="M521" t="s">
        <v>20</v>
      </c>
      <c r="N521" t="s">
        <v>31</v>
      </c>
      <c r="O521">
        <v>0</v>
      </c>
    </row>
    <row r="522" spans="1:15">
      <c r="A522" t="s">
        <v>1009</v>
      </c>
      <c r="B522">
        <v>40</v>
      </c>
      <c r="C522" t="s">
        <v>16</v>
      </c>
      <c r="D522">
        <v>906854</v>
      </c>
      <c r="E522" t="s">
        <v>25</v>
      </c>
      <c r="F522">
        <v>489</v>
      </c>
      <c r="G522">
        <v>987255</v>
      </c>
      <c r="H522">
        <v>9.69</v>
      </c>
      <c r="I522">
        <v>12</v>
      </c>
      <c r="J522">
        <v>265928</v>
      </c>
      <c r="K522" t="s">
        <v>30</v>
      </c>
      <c r="L522" t="s">
        <v>19</v>
      </c>
      <c r="M522" t="s">
        <v>20</v>
      </c>
      <c r="N522" t="s">
        <v>28</v>
      </c>
      <c r="O522">
        <v>0</v>
      </c>
    </row>
    <row r="523" spans="1:15">
      <c r="A523" t="s">
        <v>95</v>
      </c>
      <c r="B523">
        <v>41</v>
      </c>
      <c r="C523" t="s">
        <v>16</v>
      </c>
      <c r="D523">
        <v>912842</v>
      </c>
      <c r="E523" t="s">
        <v>25</v>
      </c>
      <c r="F523">
        <v>391</v>
      </c>
      <c r="G523">
        <v>989214</v>
      </c>
      <c r="H523">
        <v>8.3699999999999992</v>
      </c>
      <c r="I523">
        <v>60</v>
      </c>
      <c r="J523">
        <v>267401</v>
      </c>
      <c r="K523" t="s">
        <v>26</v>
      </c>
      <c r="L523" t="s">
        <v>34</v>
      </c>
      <c r="M523" t="s">
        <v>27</v>
      </c>
      <c r="N523" t="s">
        <v>28</v>
      </c>
      <c r="O523">
        <v>1</v>
      </c>
    </row>
    <row r="524" spans="1:15">
      <c r="A524" t="s">
        <v>128</v>
      </c>
      <c r="B524">
        <v>41</v>
      </c>
      <c r="C524" t="s">
        <v>33</v>
      </c>
      <c r="D524">
        <v>913942</v>
      </c>
      <c r="E524" t="s">
        <v>25</v>
      </c>
      <c r="F524">
        <v>625</v>
      </c>
      <c r="G524">
        <v>989956</v>
      </c>
      <c r="H524">
        <v>8.98</v>
      </c>
      <c r="I524">
        <v>36</v>
      </c>
      <c r="J524">
        <v>267659</v>
      </c>
      <c r="K524" t="s">
        <v>26</v>
      </c>
      <c r="L524" t="s">
        <v>34</v>
      </c>
      <c r="M524" t="s">
        <v>20</v>
      </c>
      <c r="N524" t="s">
        <v>21</v>
      </c>
      <c r="O524">
        <v>0</v>
      </c>
    </row>
    <row r="525" spans="1:15">
      <c r="A525" t="s">
        <v>168</v>
      </c>
      <c r="B525">
        <v>41</v>
      </c>
      <c r="C525" t="s">
        <v>16</v>
      </c>
      <c r="D525">
        <v>914555</v>
      </c>
      <c r="E525" t="s">
        <v>25</v>
      </c>
      <c r="F525">
        <v>841</v>
      </c>
      <c r="G525">
        <v>992029</v>
      </c>
      <c r="H525">
        <v>8.1</v>
      </c>
      <c r="I525">
        <v>12</v>
      </c>
      <c r="J525">
        <v>268173</v>
      </c>
      <c r="K525" t="s">
        <v>23</v>
      </c>
      <c r="L525" t="s">
        <v>34</v>
      </c>
      <c r="M525" t="s">
        <v>27</v>
      </c>
      <c r="N525" t="s">
        <v>21</v>
      </c>
      <c r="O525">
        <v>0</v>
      </c>
    </row>
    <row r="526" spans="1:15">
      <c r="A526" t="s">
        <v>252</v>
      </c>
      <c r="B526">
        <v>41</v>
      </c>
      <c r="C526" t="s">
        <v>33</v>
      </c>
      <c r="D526">
        <v>915638</v>
      </c>
      <c r="E526" t="s">
        <v>17</v>
      </c>
      <c r="F526">
        <v>893</v>
      </c>
      <c r="G526">
        <v>994192</v>
      </c>
      <c r="H526">
        <v>9.0500000000000007</v>
      </c>
      <c r="I526">
        <v>48</v>
      </c>
      <c r="J526">
        <v>268499</v>
      </c>
      <c r="K526" t="s">
        <v>18</v>
      </c>
      <c r="L526" t="s">
        <v>19</v>
      </c>
      <c r="M526" t="s">
        <v>27</v>
      </c>
      <c r="N526" t="s">
        <v>21</v>
      </c>
      <c r="O526">
        <v>0</v>
      </c>
    </row>
    <row r="527" spans="1:15">
      <c r="A527" t="s">
        <v>260</v>
      </c>
      <c r="B527">
        <v>41</v>
      </c>
      <c r="C527" t="s">
        <v>16</v>
      </c>
      <c r="D527">
        <v>917168</v>
      </c>
      <c r="E527" t="s">
        <v>17</v>
      </c>
      <c r="F527">
        <v>375</v>
      </c>
      <c r="G527">
        <v>995214</v>
      </c>
      <c r="H527">
        <v>13.14</v>
      </c>
      <c r="I527">
        <v>24</v>
      </c>
      <c r="J527">
        <v>268662</v>
      </c>
      <c r="K527" t="s">
        <v>11</v>
      </c>
      <c r="L527" t="s">
        <v>34</v>
      </c>
      <c r="M527" t="s">
        <v>27</v>
      </c>
      <c r="N527" t="s">
        <v>21</v>
      </c>
      <c r="O527">
        <v>1</v>
      </c>
    </row>
    <row r="528" spans="1:15">
      <c r="A528" t="s">
        <v>270</v>
      </c>
      <c r="B528">
        <v>41</v>
      </c>
      <c r="C528" t="s">
        <v>33</v>
      </c>
      <c r="D528">
        <v>920914</v>
      </c>
      <c r="E528" t="s">
        <v>25</v>
      </c>
      <c r="F528">
        <v>861</v>
      </c>
      <c r="G528">
        <v>996288</v>
      </c>
      <c r="H528">
        <v>12.29</v>
      </c>
      <c r="I528">
        <v>36</v>
      </c>
      <c r="J528">
        <v>269133</v>
      </c>
      <c r="K528" t="s">
        <v>26</v>
      </c>
      <c r="L528" t="s">
        <v>34</v>
      </c>
      <c r="M528" t="s">
        <v>27</v>
      </c>
      <c r="N528" t="s">
        <v>31</v>
      </c>
      <c r="O528">
        <v>0</v>
      </c>
    </row>
    <row r="529" spans="1:15">
      <c r="A529" t="s">
        <v>291</v>
      </c>
      <c r="B529">
        <v>41</v>
      </c>
      <c r="C529" t="s">
        <v>16</v>
      </c>
      <c r="D529">
        <v>925568</v>
      </c>
      <c r="E529" t="s">
        <v>17</v>
      </c>
      <c r="F529">
        <v>541</v>
      </c>
      <c r="G529">
        <v>996669</v>
      </c>
      <c r="H529">
        <v>8.24</v>
      </c>
      <c r="I529">
        <v>12</v>
      </c>
      <c r="J529">
        <v>269143</v>
      </c>
      <c r="K529" t="s">
        <v>11</v>
      </c>
      <c r="L529" t="s">
        <v>19</v>
      </c>
      <c r="M529" t="s">
        <v>27</v>
      </c>
      <c r="N529" t="s">
        <v>21</v>
      </c>
      <c r="O529">
        <v>0</v>
      </c>
    </row>
    <row r="530" spans="1:15">
      <c r="A530" t="s">
        <v>325</v>
      </c>
      <c r="B530">
        <v>41</v>
      </c>
      <c r="C530" t="s">
        <v>33</v>
      </c>
      <c r="D530">
        <v>927729</v>
      </c>
      <c r="E530" t="s">
        <v>17</v>
      </c>
      <c r="F530">
        <v>784</v>
      </c>
      <c r="G530">
        <v>998541</v>
      </c>
      <c r="H530">
        <v>8.43</v>
      </c>
      <c r="I530">
        <v>24</v>
      </c>
      <c r="J530">
        <v>270690</v>
      </c>
      <c r="K530" t="s">
        <v>26</v>
      </c>
      <c r="L530" t="s">
        <v>34</v>
      </c>
      <c r="M530" t="s">
        <v>20</v>
      </c>
      <c r="N530" t="s">
        <v>21</v>
      </c>
      <c r="O530">
        <v>1</v>
      </c>
    </row>
    <row r="531" spans="1:15">
      <c r="A531" t="s">
        <v>430</v>
      </c>
      <c r="B531">
        <v>41</v>
      </c>
      <c r="C531" t="s">
        <v>16</v>
      </c>
      <c r="D531">
        <v>927791</v>
      </c>
      <c r="E531" t="s">
        <v>17</v>
      </c>
      <c r="F531">
        <v>492</v>
      </c>
      <c r="G531">
        <v>999286</v>
      </c>
      <c r="H531">
        <v>9.3800000000000008</v>
      </c>
      <c r="I531">
        <v>48</v>
      </c>
      <c r="J531">
        <v>271439</v>
      </c>
      <c r="K531" t="s">
        <v>11</v>
      </c>
      <c r="L531" t="s">
        <v>34</v>
      </c>
      <c r="M531" t="s">
        <v>20</v>
      </c>
      <c r="N531" t="s">
        <v>21</v>
      </c>
      <c r="O531">
        <v>0</v>
      </c>
    </row>
    <row r="532" spans="1:15">
      <c r="A532" t="s">
        <v>446</v>
      </c>
      <c r="B532">
        <v>41</v>
      </c>
      <c r="C532" t="s">
        <v>33</v>
      </c>
      <c r="D532">
        <v>928627</v>
      </c>
      <c r="E532" t="s">
        <v>25</v>
      </c>
      <c r="F532">
        <v>849</v>
      </c>
      <c r="G532">
        <v>1001268</v>
      </c>
      <c r="H532">
        <v>8.08</v>
      </c>
      <c r="I532">
        <v>60</v>
      </c>
      <c r="J532">
        <v>271742</v>
      </c>
      <c r="K532" t="s">
        <v>18</v>
      </c>
      <c r="L532" t="s">
        <v>19</v>
      </c>
      <c r="M532" t="s">
        <v>20</v>
      </c>
      <c r="N532" t="s">
        <v>28</v>
      </c>
      <c r="O532">
        <v>0</v>
      </c>
    </row>
    <row r="533" spans="1:15">
      <c r="A533" t="s">
        <v>490</v>
      </c>
      <c r="B533">
        <v>41</v>
      </c>
      <c r="C533" t="s">
        <v>33</v>
      </c>
      <c r="D533">
        <v>928699</v>
      </c>
      <c r="E533" t="s">
        <v>25</v>
      </c>
      <c r="F533">
        <v>515</v>
      </c>
      <c r="G533">
        <v>1006451</v>
      </c>
      <c r="H533">
        <v>8.44</v>
      </c>
      <c r="I533">
        <v>12</v>
      </c>
      <c r="J533">
        <v>272102</v>
      </c>
      <c r="K533" t="s">
        <v>18</v>
      </c>
      <c r="L533" t="s">
        <v>34</v>
      </c>
      <c r="M533" t="s">
        <v>27</v>
      </c>
      <c r="N533" t="s">
        <v>31</v>
      </c>
      <c r="O533">
        <v>0</v>
      </c>
    </row>
    <row r="534" spans="1:15">
      <c r="A534" t="s">
        <v>539</v>
      </c>
      <c r="B534">
        <v>41</v>
      </c>
      <c r="C534" t="s">
        <v>33</v>
      </c>
      <c r="D534">
        <v>929532</v>
      </c>
      <c r="E534" t="s">
        <v>17</v>
      </c>
      <c r="F534">
        <v>316</v>
      </c>
      <c r="G534">
        <v>1007058</v>
      </c>
      <c r="H534">
        <v>11.57</v>
      </c>
      <c r="I534">
        <v>24</v>
      </c>
      <c r="J534">
        <v>273140</v>
      </c>
      <c r="K534" t="s">
        <v>23</v>
      </c>
      <c r="L534" t="s">
        <v>34</v>
      </c>
      <c r="M534" t="s">
        <v>20</v>
      </c>
      <c r="N534" t="s">
        <v>28</v>
      </c>
      <c r="O534">
        <v>0</v>
      </c>
    </row>
    <row r="535" spans="1:15">
      <c r="A535" t="s">
        <v>601</v>
      </c>
      <c r="B535">
        <v>41</v>
      </c>
      <c r="C535" t="s">
        <v>33</v>
      </c>
      <c r="D535">
        <v>933522</v>
      </c>
      <c r="E535" t="s">
        <v>17</v>
      </c>
      <c r="F535">
        <v>588</v>
      </c>
      <c r="G535">
        <v>1008949</v>
      </c>
      <c r="H535">
        <v>16.079999999999998</v>
      </c>
      <c r="I535">
        <v>24</v>
      </c>
      <c r="J535">
        <v>273904</v>
      </c>
      <c r="K535" t="s">
        <v>30</v>
      </c>
      <c r="L535" t="s">
        <v>19</v>
      </c>
      <c r="M535" t="s">
        <v>27</v>
      </c>
      <c r="N535" t="s">
        <v>21</v>
      </c>
      <c r="O535">
        <v>1</v>
      </c>
    </row>
    <row r="536" spans="1:15">
      <c r="A536" t="s">
        <v>633</v>
      </c>
      <c r="B536">
        <v>41</v>
      </c>
      <c r="C536" t="s">
        <v>16</v>
      </c>
      <c r="D536">
        <v>933992</v>
      </c>
      <c r="E536" t="s">
        <v>17</v>
      </c>
      <c r="F536">
        <v>896</v>
      </c>
      <c r="G536">
        <v>1009834</v>
      </c>
      <c r="H536">
        <v>12.71</v>
      </c>
      <c r="I536">
        <v>36</v>
      </c>
      <c r="J536">
        <v>274292</v>
      </c>
      <c r="K536" t="s">
        <v>23</v>
      </c>
      <c r="L536" t="s">
        <v>34</v>
      </c>
      <c r="M536" t="s">
        <v>20</v>
      </c>
      <c r="N536" t="s">
        <v>28</v>
      </c>
      <c r="O536">
        <v>0</v>
      </c>
    </row>
    <row r="537" spans="1:15">
      <c r="A537" t="s">
        <v>649</v>
      </c>
      <c r="B537">
        <v>41</v>
      </c>
      <c r="C537" t="s">
        <v>33</v>
      </c>
      <c r="D537">
        <v>934021</v>
      </c>
      <c r="E537" t="s">
        <v>17</v>
      </c>
      <c r="F537">
        <v>739</v>
      </c>
      <c r="G537">
        <v>1013606</v>
      </c>
      <c r="H537">
        <v>10.06</v>
      </c>
      <c r="I537">
        <v>60</v>
      </c>
      <c r="J537">
        <v>274661</v>
      </c>
      <c r="K537" t="s">
        <v>30</v>
      </c>
      <c r="L537" t="s">
        <v>19</v>
      </c>
      <c r="M537" t="s">
        <v>27</v>
      </c>
      <c r="N537" t="s">
        <v>21</v>
      </c>
      <c r="O537">
        <v>0</v>
      </c>
    </row>
    <row r="538" spans="1:15">
      <c r="A538" t="s">
        <v>658</v>
      </c>
      <c r="B538">
        <v>41</v>
      </c>
      <c r="C538" t="s">
        <v>16</v>
      </c>
      <c r="D538">
        <v>934388</v>
      </c>
      <c r="E538" t="s">
        <v>17</v>
      </c>
      <c r="F538">
        <v>422</v>
      </c>
      <c r="G538">
        <v>1014537</v>
      </c>
      <c r="H538">
        <v>14.37</v>
      </c>
      <c r="I538">
        <v>48</v>
      </c>
      <c r="J538">
        <v>274973</v>
      </c>
      <c r="K538" t="s">
        <v>18</v>
      </c>
      <c r="L538" t="s">
        <v>34</v>
      </c>
      <c r="M538" t="s">
        <v>27</v>
      </c>
      <c r="N538" t="s">
        <v>28</v>
      </c>
      <c r="O538">
        <v>1</v>
      </c>
    </row>
    <row r="539" spans="1:15">
      <c r="A539" t="s">
        <v>697</v>
      </c>
      <c r="B539">
        <v>41</v>
      </c>
      <c r="C539" t="s">
        <v>33</v>
      </c>
      <c r="D539">
        <v>936997</v>
      </c>
      <c r="E539" t="s">
        <v>25</v>
      </c>
      <c r="F539">
        <v>457</v>
      </c>
      <c r="G539">
        <v>1014656</v>
      </c>
      <c r="H539">
        <v>9.89</v>
      </c>
      <c r="I539">
        <v>12</v>
      </c>
      <c r="J539">
        <v>275050</v>
      </c>
      <c r="K539" t="s">
        <v>30</v>
      </c>
      <c r="L539" t="s">
        <v>34</v>
      </c>
      <c r="M539" t="s">
        <v>27</v>
      </c>
      <c r="N539" t="s">
        <v>28</v>
      </c>
      <c r="O539">
        <v>0</v>
      </c>
    </row>
    <row r="540" spans="1:15">
      <c r="A540" t="s">
        <v>705</v>
      </c>
      <c r="B540">
        <v>41</v>
      </c>
      <c r="C540" t="s">
        <v>16</v>
      </c>
      <c r="D540">
        <v>937177</v>
      </c>
      <c r="E540" t="s">
        <v>17</v>
      </c>
      <c r="F540">
        <v>678</v>
      </c>
      <c r="G540">
        <v>1016507</v>
      </c>
      <c r="H540">
        <v>8.16</v>
      </c>
      <c r="I540">
        <v>12</v>
      </c>
      <c r="J540">
        <v>275065</v>
      </c>
      <c r="K540" t="s">
        <v>18</v>
      </c>
      <c r="L540" t="s">
        <v>19</v>
      </c>
      <c r="M540" t="s">
        <v>27</v>
      </c>
      <c r="N540" t="s">
        <v>28</v>
      </c>
      <c r="O540">
        <v>0</v>
      </c>
    </row>
    <row r="541" spans="1:15">
      <c r="A541" t="s">
        <v>784</v>
      </c>
      <c r="B541">
        <v>41</v>
      </c>
      <c r="C541" t="s">
        <v>1026</v>
      </c>
      <c r="D541">
        <v>938177</v>
      </c>
      <c r="E541" t="s">
        <v>25</v>
      </c>
      <c r="F541">
        <v>458</v>
      </c>
      <c r="G541">
        <v>1017340</v>
      </c>
      <c r="H541">
        <v>12.77</v>
      </c>
      <c r="I541">
        <v>48</v>
      </c>
      <c r="J541">
        <v>275873</v>
      </c>
      <c r="K541" t="s">
        <v>11</v>
      </c>
      <c r="L541" t="s">
        <v>19</v>
      </c>
      <c r="M541" t="s">
        <v>20</v>
      </c>
      <c r="N541" t="s">
        <v>31</v>
      </c>
      <c r="O541">
        <v>1</v>
      </c>
    </row>
    <row r="542" spans="1:15">
      <c r="A542" t="s">
        <v>907</v>
      </c>
      <c r="B542">
        <v>41</v>
      </c>
      <c r="C542" t="s">
        <v>16</v>
      </c>
      <c r="D542">
        <v>939062</v>
      </c>
      <c r="E542" t="s">
        <v>25</v>
      </c>
      <c r="F542">
        <v>476</v>
      </c>
      <c r="G542">
        <v>1019673</v>
      </c>
      <c r="H542">
        <v>7.88</v>
      </c>
      <c r="I542">
        <v>48</v>
      </c>
      <c r="J542">
        <v>275879</v>
      </c>
      <c r="K542" t="s">
        <v>18</v>
      </c>
      <c r="L542" t="s">
        <v>19</v>
      </c>
      <c r="M542" t="s">
        <v>20</v>
      </c>
      <c r="N542" t="s">
        <v>21</v>
      </c>
      <c r="O542">
        <v>1</v>
      </c>
    </row>
    <row r="543" spans="1:15">
      <c r="A543" t="s">
        <v>960</v>
      </c>
      <c r="B543">
        <v>41</v>
      </c>
      <c r="C543" t="s">
        <v>33</v>
      </c>
      <c r="D543">
        <v>940237</v>
      </c>
      <c r="E543" t="s">
        <v>25</v>
      </c>
      <c r="F543">
        <v>467</v>
      </c>
      <c r="G543">
        <v>1024306</v>
      </c>
      <c r="H543">
        <v>8.2100000000000009</v>
      </c>
      <c r="I543">
        <v>60</v>
      </c>
      <c r="J543">
        <v>276466</v>
      </c>
      <c r="K543" t="s">
        <v>26</v>
      </c>
      <c r="L543" t="s">
        <v>34</v>
      </c>
      <c r="M543" t="s">
        <v>20</v>
      </c>
      <c r="N543" t="s">
        <v>21</v>
      </c>
      <c r="O543">
        <v>1</v>
      </c>
    </row>
    <row r="544" spans="1:15">
      <c r="A544" t="s">
        <v>965</v>
      </c>
      <c r="B544">
        <v>41</v>
      </c>
      <c r="C544" t="s">
        <v>16</v>
      </c>
      <c r="D544">
        <v>940846</v>
      </c>
      <c r="E544" t="s">
        <v>17</v>
      </c>
      <c r="F544">
        <v>858</v>
      </c>
      <c r="G544">
        <v>1024890</v>
      </c>
      <c r="H544">
        <v>7.56</v>
      </c>
      <c r="I544">
        <v>48</v>
      </c>
      <c r="J544">
        <v>276505</v>
      </c>
      <c r="K544" t="s">
        <v>11</v>
      </c>
      <c r="L544" t="s">
        <v>19</v>
      </c>
      <c r="M544" t="s">
        <v>27</v>
      </c>
      <c r="N544" t="s">
        <v>31</v>
      </c>
      <c r="O544">
        <v>0</v>
      </c>
    </row>
    <row r="545" spans="1:15">
      <c r="A545" t="s">
        <v>147</v>
      </c>
      <c r="B545">
        <v>42</v>
      </c>
      <c r="C545" t="s">
        <v>16</v>
      </c>
      <c r="D545">
        <v>942753</v>
      </c>
      <c r="E545" t="s">
        <v>25</v>
      </c>
      <c r="F545">
        <v>594</v>
      </c>
      <c r="G545">
        <v>1026123</v>
      </c>
      <c r="H545">
        <v>13.74</v>
      </c>
      <c r="I545">
        <v>36</v>
      </c>
      <c r="J545">
        <v>276650</v>
      </c>
      <c r="K545" t="s">
        <v>11</v>
      </c>
      <c r="L545" t="s">
        <v>34</v>
      </c>
      <c r="M545" t="s">
        <v>20</v>
      </c>
      <c r="N545" t="s">
        <v>21</v>
      </c>
      <c r="O545">
        <v>0</v>
      </c>
    </row>
    <row r="546" spans="1:15">
      <c r="A546" t="s">
        <v>226</v>
      </c>
      <c r="B546">
        <v>42</v>
      </c>
      <c r="C546" t="s">
        <v>16</v>
      </c>
      <c r="D546">
        <v>944481</v>
      </c>
      <c r="E546" t="s">
        <v>25</v>
      </c>
      <c r="F546">
        <v>792</v>
      </c>
      <c r="G546">
        <v>1027390</v>
      </c>
      <c r="H546">
        <v>12.27</v>
      </c>
      <c r="I546">
        <v>12</v>
      </c>
      <c r="J546">
        <v>276707</v>
      </c>
      <c r="K546" t="s">
        <v>23</v>
      </c>
      <c r="L546" t="s">
        <v>34</v>
      </c>
      <c r="M546" t="s">
        <v>20</v>
      </c>
      <c r="N546" t="s">
        <v>31</v>
      </c>
      <c r="O546">
        <v>0</v>
      </c>
    </row>
    <row r="547" spans="1:15">
      <c r="A547" t="s">
        <v>228</v>
      </c>
      <c r="B547">
        <v>42</v>
      </c>
      <c r="C547" t="s">
        <v>16</v>
      </c>
      <c r="D547">
        <v>946165</v>
      </c>
      <c r="E547" t="s">
        <v>17</v>
      </c>
      <c r="F547">
        <v>577</v>
      </c>
      <c r="G547">
        <v>1029182</v>
      </c>
      <c r="H547">
        <v>12.1</v>
      </c>
      <c r="I547">
        <v>24</v>
      </c>
      <c r="J547">
        <v>276746</v>
      </c>
      <c r="K547" t="s">
        <v>30</v>
      </c>
      <c r="L547" t="s">
        <v>19</v>
      </c>
      <c r="M547" t="s">
        <v>20</v>
      </c>
      <c r="N547" t="s">
        <v>28</v>
      </c>
      <c r="O547">
        <v>1</v>
      </c>
    </row>
    <row r="548" spans="1:15">
      <c r="A548" t="s">
        <v>329</v>
      </c>
      <c r="B548">
        <v>42</v>
      </c>
      <c r="C548" t="s">
        <v>16</v>
      </c>
      <c r="D548">
        <v>946999</v>
      </c>
      <c r="E548" t="s">
        <v>17</v>
      </c>
      <c r="F548">
        <v>430</v>
      </c>
      <c r="G548">
        <v>1039427</v>
      </c>
      <c r="H548">
        <v>13.33</v>
      </c>
      <c r="I548">
        <v>48</v>
      </c>
      <c r="J548">
        <v>277051</v>
      </c>
      <c r="K548" t="s">
        <v>18</v>
      </c>
      <c r="L548" t="s">
        <v>34</v>
      </c>
      <c r="M548" t="s">
        <v>27</v>
      </c>
      <c r="N548" t="s">
        <v>28</v>
      </c>
      <c r="O548">
        <v>1</v>
      </c>
    </row>
    <row r="549" spans="1:15">
      <c r="A549" t="s">
        <v>354</v>
      </c>
      <c r="B549">
        <v>42</v>
      </c>
      <c r="C549" t="s">
        <v>33</v>
      </c>
      <c r="D549">
        <v>947177</v>
      </c>
      <c r="E549" t="s">
        <v>17</v>
      </c>
      <c r="F549">
        <v>525</v>
      </c>
      <c r="G549">
        <v>1041236</v>
      </c>
      <c r="H549">
        <v>8.69</v>
      </c>
      <c r="I549">
        <v>24</v>
      </c>
      <c r="J549">
        <v>277358</v>
      </c>
      <c r="K549" t="s">
        <v>11</v>
      </c>
      <c r="L549" t="s">
        <v>19</v>
      </c>
      <c r="M549" t="s">
        <v>27</v>
      </c>
      <c r="N549" t="s">
        <v>21</v>
      </c>
      <c r="O549">
        <v>1</v>
      </c>
    </row>
    <row r="550" spans="1:15">
      <c r="A550" t="s">
        <v>409</v>
      </c>
      <c r="B550">
        <v>42</v>
      </c>
      <c r="C550" t="s">
        <v>33</v>
      </c>
      <c r="D550">
        <v>948278</v>
      </c>
      <c r="E550" t="s">
        <v>25</v>
      </c>
      <c r="F550">
        <v>642</v>
      </c>
      <c r="G550">
        <v>1042539</v>
      </c>
      <c r="H550">
        <v>13.4</v>
      </c>
      <c r="I550">
        <v>36</v>
      </c>
      <c r="J550">
        <v>277469</v>
      </c>
      <c r="K550" t="s">
        <v>18</v>
      </c>
      <c r="L550" t="s">
        <v>34</v>
      </c>
      <c r="M550" t="s">
        <v>20</v>
      </c>
      <c r="N550" t="s">
        <v>31</v>
      </c>
      <c r="O550">
        <v>0</v>
      </c>
    </row>
    <row r="551" spans="1:15">
      <c r="A551" t="s">
        <v>437</v>
      </c>
      <c r="B551">
        <v>42</v>
      </c>
      <c r="C551" t="s">
        <v>16</v>
      </c>
      <c r="D551">
        <v>948910</v>
      </c>
      <c r="E551" t="s">
        <v>25</v>
      </c>
      <c r="F551">
        <v>381</v>
      </c>
      <c r="G551">
        <v>1044568</v>
      </c>
      <c r="H551">
        <v>15.19</v>
      </c>
      <c r="I551">
        <v>48</v>
      </c>
      <c r="J551">
        <v>278316</v>
      </c>
      <c r="K551" t="s">
        <v>11</v>
      </c>
      <c r="L551" t="s">
        <v>34</v>
      </c>
      <c r="M551" t="s">
        <v>20</v>
      </c>
      <c r="N551" t="s">
        <v>31</v>
      </c>
      <c r="O551">
        <v>1</v>
      </c>
    </row>
    <row r="552" spans="1:15">
      <c r="A552" t="s">
        <v>550</v>
      </c>
      <c r="B552">
        <v>42</v>
      </c>
      <c r="C552" t="s">
        <v>16</v>
      </c>
      <c r="D552">
        <v>949461</v>
      </c>
      <c r="E552" t="s">
        <v>17</v>
      </c>
      <c r="G552">
        <v>1045217</v>
      </c>
      <c r="H552">
        <v>11.84</v>
      </c>
      <c r="I552">
        <v>24</v>
      </c>
      <c r="J552">
        <v>278334</v>
      </c>
      <c r="K552" t="s">
        <v>30</v>
      </c>
      <c r="L552" t="s">
        <v>34</v>
      </c>
      <c r="M552" t="s">
        <v>27</v>
      </c>
      <c r="N552" t="s">
        <v>21</v>
      </c>
      <c r="O552">
        <v>0</v>
      </c>
    </row>
    <row r="553" spans="1:15">
      <c r="A553" t="s">
        <v>560</v>
      </c>
      <c r="B553">
        <v>42</v>
      </c>
      <c r="C553" t="s">
        <v>16</v>
      </c>
      <c r="D553">
        <v>951093</v>
      </c>
      <c r="E553" t="s">
        <v>17</v>
      </c>
      <c r="F553">
        <v>694</v>
      </c>
      <c r="G553">
        <v>1046634</v>
      </c>
      <c r="H553">
        <v>9.68</v>
      </c>
      <c r="I553">
        <v>24</v>
      </c>
      <c r="J553">
        <v>278527</v>
      </c>
      <c r="K553" t="s">
        <v>23</v>
      </c>
      <c r="L553" t="s">
        <v>34</v>
      </c>
      <c r="M553" t="s">
        <v>27</v>
      </c>
      <c r="N553" t="s">
        <v>21</v>
      </c>
      <c r="O553">
        <v>1</v>
      </c>
    </row>
    <row r="554" spans="1:15">
      <c r="A554" t="s">
        <v>648</v>
      </c>
      <c r="B554">
        <v>42</v>
      </c>
      <c r="C554" t="s">
        <v>16</v>
      </c>
      <c r="D554">
        <v>954087</v>
      </c>
      <c r="E554" t="s">
        <v>17</v>
      </c>
      <c r="F554">
        <v>580</v>
      </c>
      <c r="G554">
        <v>1046885</v>
      </c>
      <c r="H554">
        <v>8.77</v>
      </c>
      <c r="I554">
        <v>36</v>
      </c>
      <c r="J554">
        <v>278664</v>
      </c>
      <c r="K554" t="s">
        <v>26</v>
      </c>
      <c r="L554" t="s">
        <v>34</v>
      </c>
      <c r="M554" t="s">
        <v>27</v>
      </c>
      <c r="N554" t="s">
        <v>21</v>
      </c>
      <c r="O554">
        <v>1</v>
      </c>
    </row>
    <row r="555" spans="1:15">
      <c r="A555" t="s">
        <v>656</v>
      </c>
      <c r="B555">
        <v>42</v>
      </c>
      <c r="C555" t="s">
        <v>33</v>
      </c>
      <c r="D555">
        <v>955594</v>
      </c>
      <c r="E555" t="s">
        <v>25</v>
      </c>
      <c r="F555">
        <v>835</v>
      </c>
      <c r="G555">
        <v>1047116</v>
      </c>
      <c r="H555">
        <v>12.15</v>
      </c>
      <c r="I555">
        <v>24</v>
      </c>
      <c r="J555">
        <v>278685</v>
      </c>
      <c r="K555" t="s">
        <v>18</v>
      </c>
      <c r="L555" t="s">
        <v>34</v>
      </c>
      <c r="M555" t="s">
        <v>27</v>
      </c>
      <c r="N555" t="s">
        <v>31</v>
      </c>
      <c r="O555">
        <v>0</v>
      </c>
    </row>
    <row r="556" spans="1:15">
      <c r="A556" t="s">
        <v>712</v>
      </c>
      <c r="B556">
        <v>42</v>
      </c>
      <c r="C556" t="s">
        <v>33</v>
      </c>
      <c r="D556">
        <v>957333</v>
      </c>
      <c r="E556" t="s">
        <v>17</v>
      </c>
      <c r="F556">
        <v>502</v>
      </c>
      <c r="G556">
        <v>1048748</v>
      </c>
      <c r="H556">
        <v>13.13</v>
      </c>
      <c r="I556">
        <v>24</v>
      </c>
      <c r="J556">
        <v>279244</v>
      </c>
      <c r="K556" t="s">
        <v>11</v>
      </c>
      <c r="L556" t="s">
        <v>34</v>
      </c>
      <c r="M556" t="s">
        <v>20</v>
      </c>
      <c r="N556" t="s">
        <v>28</v>
      </c>
      <c r="O556">
        <v>0</v>
      </c>
    </row>
    <row r="557" spans="1:15">
      <c r="A557" t="s">
        <v>741</v>
      </c>
      <c r="B557">
        <v>42</v>
      </c>
      <c r="C557" t="s">
        <v>33</v>
      </c>
      <c r="D557">
        <v>957912</v>
      </c>
      <c r="E557" t="s">
        <v>17</v>
      </c>
      <c r="F557">
        <v>832</v>
      </c>
      <c r="G557">
        <v>1049062</v>
      </c>
      <c r="H557">
        <v>9.5</v>
      </c>
      <c r="I557">
        <v>36</v>
      </c>
      <c r="J557">
        <v>279804</v>
      </c>
      <c r="K557" t="s">
        <v>11</v>
      </c>
      <c r="L557" t="s">
        <v>34</v>
      </c>
      <c r="M557" t="s">
        <v>20</v>
      </c>
      <c r="N557" t="s">
        <v>28</v>
      </c>
      <c r="O557">
        <v>0</v>
      </c>
    </row>
    <row r="558" spans="1:15">
      <c r="A558" t="s">
        <v>887</v>
      </c>
      <c r="B558">
        <v>42</v>
      </c>
      <c r="C558" t="s">
        <v>33</v>
      </c>
      <c r="D558">
        <v>959179</v>
      </c>
      <c r="E558" t="s">
        <v>25</v>
      </c>
      <c r="F558">
        <v>344</v>
      </c>
      <c r="G558">
        <v>1050528</v>
      </c>
      <c r="H558">
        <v>15.66</v>
      </c>
      <c r="I558">
        <v>48</v>
      </c>
      <c r="J558">
        <v>279954</v>
      </c>
      <c r="K558" t="s">
        <v>26</v>
      </c>
      <c r="L558" t="s">
        <v>34</v>
      </c>
      <c r="M558" t="s">
        <v>27</v>
      </c>
      <c r="N558" t="s">
        <v>28</v>
      </c>
      <c r="O558">
        <v>0</v>
      </c>
    </row>
    <row r="559" spans="1:15">
      <c r="A559" t="s">
        <v>942</v>
      </c>
      <c r="B559">
        <v>42</v>
      </c>
      <c r="C559" t="s">
        <v>33</v>
      </c>
      <c r="D559">
        <v>961276</v>
      </c>
      <c r="E559" t="s">
        <v>17</v>
      </c>
      <c r="F559">
        <v>531</v>
      </c>
      <c r="G559">
        <v>1051410</v>
      </c>
      <c r="H559">
        <v>12.77</v>
      </c>
      <c r="I559">
        <v>48</v>
      </c>
      <c r="J559">
        <v>280316</v>
      </c>
      <c r="K559" t="s">
        <v>18</v>
      </c>
      <c r="L559" t="s">
        <v>19</v>
      </c>
      <c r="M559" t="s">
        <v>20</v>
      </c>
      <c r="N559" t="s">
        <v>28</v>
      </c>
      <c r="O559">
        <v>1</v>
      </c>
    </row>
    <row r="560" spans="1:15">
      <c r="A560" t="s">
        <v>1015</v>
      </c>
      <c r="B560">
        <v>42</v>
      </c>
      <c r="C560" t="s">
        <v>16</v>
      </c>
      <c r="D560">
        <v>961750</v>
      </c>
      <c r="E560" t="s">
        <v>25</v>
      </c>
      <c r="F560">
        <v>696</v>
      </c>
      <c r="G560">
        <v>1054373</v>
      </c>
      <c r="H560">
        <v>11.65</v>
      </c>
      <c r="I560">
        <v>48</v>
      </c>
      <c r="J560">
        <v>283339</v>
      </c>
      <c r="K560" t="s">
        <v>11</v>
      </c>
      <c r="L560" t="s">
        <v>19</v>
      </c>
      <c r="M560" t="s">
        <v>20</v>
      </c>
      <c r="N560" t="s">
        <v>28</v>
      </c>
      <c r="O560">
        <v>1</v>
      </c>
    </row>
    <row r="561" spans="1:15">
      <c r="A561" t="s">
        <v>45</v>
      </c>
      <c r="B561">
        <v>43</v>
      </c>
      <c r="C561" t="s">
        <v>16</v>
      </c>
      <c r="D561">
        <v>962570</v>
      </c>
      <c r="E561" t="s">
        <v>25</v>
      </c>
      <c r="F561">
        <v>735</v>
      </c>
      <c r="G561">
        <v>1061467</v>
      </c>
      <c r="H561">
        <v>9.15</v>
      </c>
      <c r="I561">
        <v>60</v>
      </c>
      <c r="J561">
        <v>284110</v>
      </c>
      <c r="K561" t="s">
        <v>18</v>
      </c>
      <c r="L561" t="s">
        <v>19</v>
      </c>
      <c r="M561" t="s">
        <v>27</v>
      </c>
      <c r="N561" t="s">
        <v>21</v>
      </c>
      <c r="O561">
        <v>0</v>
      </c>
    </row>
    <row r="562" spans="1:15">
      <c r="A562" t="s">
        <v>119</v>
      </c>
      <c r="B562">
        <v>43</v>
      </c>
      <c r="C562" t="s">
        <v>16</v>
      </c>
      <c r="D562">
        <v>962654</v>
      </c>
      <c r="E562" t="s">
        <v>17</v>
      </c>
      <c r="F562">
        <v>566</v>
      </c>
      <c r="G562">
        <v>1062574</v>
      </c>
      <c r="H562">
        <v>7.5</v>
      </c>
      <c r="I562">
        <v>36</v>
      </c>
      <c r="J562">
        <v>284669</v>
      </c>
      <c r="K562" t="s">
        <v>26</v>
      </c>
      <c r="L562" t="s">
        <v>19</v>
      </c>
      <c r="M562" t="s">
        <v>27</v>
      </c>
      <c r="N562" t="s">
        <v>21</v>
      </c>
      <c r="O562">
        <v>1</v>
      </c>
    </row>
    <row r="563" spans="1:15">
      <c r="A563" t="s">
        <v>167</v>
      </c>
      <c r="B563">
        <v>43</v>
      </c>
      <c r="C563" t="s">
        <v>16</v>
      </c>
      <c r="D563">
        <v>964391</v>
      </c>
      <c r="E563" t="s">
        <v>25</v>
      </c>
      <c r="F563">
        <v>754</v>
      </c>
      <c r="G563">
        <v>1062697</v>
      </c>
      <c r="H563">
        <v>13.29</v>
      </c>
      <c r="I563">
        <v>36</v>
      </c>
      <c r="J563">
        <v>285271</v>
      </c>
      <c r="K563" t="s">
        <v>11</v>
      </c>
      <c r="L563" t="s">
        <v>34</v>
      </c>
      <c r="M563" t="s">
        <v>20</v>
      </c>
      <c r="N563" t="s">
        <v>28</v>
      </c>
      <c r="O563">
        <v>0</v>
      </c>
    </row>
    <row r="564" spans="1:15">
      <c r="A564" t="s">
        <v>181</v>
      </c>
      <c r="B564">
        <v>43</v>
      </c>
      <c r="C564" t="s">
        <v>1026</v>
      </c>
      <c r="D564">
        <v>965946</v>
      </c>
      <c r="E564" t="s">
        <v>25</v>
      </c>
      <c r="F564">
        <v>617</v>
      </c>
      <c r="G564">
        <v>1062820</v>
      </c>
      <c r="H564">
        <v>11.78</v>
      </c>
      <c r="I564">
        <v>48</v>
      </c>
      <c r="J564">
        <v>286708</v>
      </c>
      <c r="K564" t="s">
        <v>30</v>
      </c>
      <c r="L564" t="s">
        <v>19</v>
      </c>
      <c r="M564" t="s">
        <v>27</v>
      </c>
      <c r="N564" t="s">
        <v>31</v>
      </c>
      <c r="O564">
        <v>0</v>
      </c>
    </row>
    <row r="565" spans="1:15">
      <c r="A565" t="s">
        <v>208</v>
      </c>
      <c r="B565">
        <v>43</v>
      </c>
      <c r="C565" t="s">
        <v>16</v>
      </c>
      <c r="D565">
        <v>966014</v>
      </c>
      <c r="E565" t="s">
        <v>25</v>
      </c>
      <c r="F565">
        <v>542</v>
      </c>
      <c r="G565">
        <v>1067421</v>
      </c>
      <c r="H565">
        <v>8.48</v>
      </c>
      <c r="I565">
        <v>24</v>
      </c>
      <c r="J565">
        <v>287341</v>
      </c>
      <c r="K565" t="s">
        <v>30</v>
      </c>
      <c r="L565" t="s">
        <v>19</v>
      </c>
      <c r="M565" t="s">
        <v>20</v>
      </c>
      <c r="N565" t="s">
        <v>21</v>
      </c>
      <c r="O565">
        <v>0</v>
      </c>
    </row>
    <row r="566" spans="1:15">
      <c r="A566" t="s">
        <v>233</v>
      </c>
      <c r="B566">
        <v>43</v>
      </c>
      <c r="C566" t="s">
        <v>33</v>
      </c>
      <c r="D566">
        <v>966470</v>
      </c>
      <c r="E566" t="s">
        <v>25</v>
      </c>
      <c r="F566">
        <v>634</v>
      </c>
      <c r="G566">
        <v>1068505</v>
      </c>
      <c r="H566">
        <v>7.74</v>
      </c>
      <c r="I566">
        <v>24</v>
      </c>
      <c r="J566">
        <v>288220</v>
      </c>
      <c r="K566" t="s">
        <v>30</v>
      </c>
      <c r="L566" t="s">
        <v>34</v>
      </c>
      <c r="M566" t="s">
        <v>20</v>
      </c>
      <c r="N566" t="s">
        <v>21</v>
      </c>
      <c r="O566">
        <v>0</v>
      </c>
    </row>
    <row r="567" spans="1:15">
      <c r="A567" t="s">
        <v>283</v>
      </c>
      <c r="B567">
        <v>43</v>
      </c>
      <c r="C567" t="s">
        <v>33</v>
      </c>
      <c r="D567">
        <v>967833</v>
      </c>
      <c r="E567" t="s">
        <v>25</v>
      </c>
      <c r="F567">
        <v>586</v>
      </c>
      <c r="G567">
        <v>1069531</v>
      </c>
      <c r="H567">
        <v>9.8000000000000007</v>
      </c>
      <c r="I567">
        <v>24</v>
      </c>
      <c r="J567">
        <v>288288</v>
      </c>
      <c r="K567" t="s">
        <v>30</v>
      </c>
      <c r="L567" t="s">
        <v>34</v>
      </c>
      <c r="M567" t="s">
        <v>27</v>
      </c>
      <c r="N567" t="s">
        <v>31</v>
      </c>
      <c r="O567">
        <v>0</v>
      </c>
    </row>
    <row r="568" spans="1:15">
      <c r="A568" t="s">
        <v>290</v>
      </c>
      <c r="B568">
        <v>43</v>
      </c>
      <c r="C568" t="s">
        <v>33</v>
      </c>
      <c r="D568">
        <v>968181</v>
      </c>
      <c r="E568" t="s">
        <v>17</v>
      </c>
      <c r="F568">
        <v>627</v>
      </c>
      <c r="G568">
        <v>1073687</v>
      </c>
      <c r="H568">
        <v>9.8000000000000007</v>
      </c>
      <c r="I568">
        <v>36</v>
      </c>
      <c r="J568">
        <v>289120</v>
      </c>
      <c r="K568" t="s">
        <v>26</v>
      </c>
      <c r="L568" t="s">
        <v>34</v>
      </c>
      <c r="M568" t="s">
        <v>20</v>
      </c>
      <c r="N568" t="s">
        <v>31</v>
      </c>
      <c r="O568">
        <v>0</v>
      </c>
    </row>
    <row r="569" spans="1:15">
      <c r="A569" t="s">
        <v>316</v>
      </c>
      <c r="B569">
        <v>43</v>
      </c>
      <c r="C569" t="s">
        <v>16</v>
      </c>
      <c r="D569">
        <v>968946</v>
      </c>
      <c r="E569" t="s">
        <v>17</v>
      </c>
      <c r="G569">
        <v>1073977</v>
      </c>
      <c r="H569">
        <v>11.69</v>
      </c>
      <c r="I569">
        <v>48</v>
      </c>
      <c r="J569">
        <v>289635</v>
      </c>
      <c r="K569" t="s">
        <v>30</v>
      </c>
      <c r="L569" t="s">
        <v>34</v>
      </c>
      <c r="M569" t="s">
        <v>20</v>
      </c>
      <c r="N569" t="s">
        <v>31</v>
      </c>
      <c r="O569">
        <v>0</v>
      </c>
    </row>
    <row r="570" spans="1:15">
      <c r="A570" t="s">
        <v>322</v>
      </c>
      <c r="B570">
        <v>43</v>
      </c>
      <c r="C570" t="s">
        <v>33</v>
      </c>
      <c r="D570">
        <v>971051</v>
      </c>
      <c r="E570" t="s">
        <v>25</v>
      </c>
      <c r="F570">
        <v>729</v>
      </c>
      <c r="G570">
        <v>1074524</v>
      </c>
      <c r="H570">
        <v>8.0500000000000007</v>
      </c>
      <c r="I570">
        <v>24</v>
      </c>
      <c r="J570">
        <v>290029</v>
      </c>
      <c r="K570" t="s">
        <v>18</v>
      </c>
      <c r="L570" t="s">
        <v>34</v>
      </c>
      <c r="M570" t="s">
        <v>27</v>
      </c>
      <c r="N570" t="s">
        <v>28</v>
      </c>
      <c r="O570">
        <v>0</v>
      </c>
    </row>
    <row r="571" spans="1:15">
      <c r="A571" t="s">
        <v>377</v>
      </c>
      <c r="B571">
        <v>43</v>
      </c>
      <c r="C571" t="s">
        <v>33</v>
      </c>
      <c r="D571">
        <v>971836</v>
      </c>
      <c r="E571" t="s">
        <v>25</v>
      </c>
      <c r="F571">
        <v>689</v>
      </c>
      <c r="G571">
        <v>1081023</v>
      </c>
      <c r="H571">
        <v>10.18</v>
      </c>
      <c r="I571">
        <v>48</v>
      </c>
      <c r="J571">
        <v>290250</v>
      </c>
      <c r="K571" t="s">
        <v>26</v>
      </c>
      <c r="L571" t="s">
        <v>34</v>
      </c>
      <c r="M571" t="s">
        <v>20</v>
      </c>
      <c r="N571" t="s">
        <v>21</v>
      </c>
      <c r="O571">
        <v>0</v>
      </c>
    </row>
    <row r="572" spans="1:15">
      <c r="A572" t="s">
        <v>397</v>
      </c>
      <c r="B572">
        <v>43</v>
      </c>
      <c r="C572" t="s">
        <v>33</v>
      </c>
      <c r="D572">
        <v>972223</v>
      </c>
      <c r="E572" t="s">
        <v>17</v>
      </c>
      <c r="F572">
        <v>830</v>
      </c>
      <c r="G572">
        <v>1083813</v>
      </c>
      <c r="H572">
        <v>12.02</v>
      </c>
      <c r="I572">
        <v>36</v>
      </c>
      <c r="J572">
        <v>290928</v>
      </c>
      <c r="K572" t="s">
        <v>26</v>
      </c>
      <c r="L572" t="s">
        <v>19</v>
      </c>
      <c r="M572" t="s">
        <v>27</v>
      </c>
      <c r="N572" t="s">
        <v>28</v>
      </c>
      <c r="O572">
        <v>0</v>
      </c>
    </row>
    <row r="573" spans="1:15">
      <c r="A573" t="s">
        <v>452</v>
      </c>
      <c r="B573">
        <v>43</v>
      </c>
      <c r="C573" t="s">
        <v>16</v>
      </c>
      <c r="D573">
        <v>973712</v>
      </c>
      <c r="E573" t="s">
        <v>25</v>
      </c>
      <c r="F573">
        <v>526</v>
      </c>
      <c r="G573">
        <v>1085671</v>
      </c>
      <c r="H573">
        <v>15.58</v>
      </c>
      <c r="I573">
        <v>36</v>
      </c>
      <c r="J573">
        <v>293115</v>
      </c>
      <c r="K573" t="s">
        <v>23</v>
      </c>
      <c r="L573" t="s">
        <v>34</v>
      </c>
      <c r="M573" t="s">
        <v>27</v>
      </c>
      <c r="N573" t="s">
        <v>28</v>
      </c>
      <c r="O573">
        <v>0</v>
      </c>
    </row>
    <row r="574" spans="1:15">
      <c r="A574" t="s">
        <v>457</v>
      </c>
      <c r="B574">
        <v>43</v>
      </c>
      <c r="C574" t="s">
        <v>33</v>
      </c>
      <c r="D574">
        <v>975016</v>
      </c>
      <c r="E574" t="s">
        <v>17</v>
      </c>
      <c r="F574">
        <v>511</v>
      </c>
      <c r="G574">
        <v>1088224</v>
      </c>
      <c r="H574">
        <v>7.99</v>
      </c>
      <c r="I574">
        <v>48</v>
      </c>
      <c r="J574">
        <v>294572</v>
      </c>
      <c r="K574" t="s">
        <v>23</v>
      </c>
      <c r="L574" t="s">
        <v>34</v>
      </c>
      <c r="M574" t="s">
        <v>20</v>
      </c>
      <c r="N574" t="s">
        <v>21</v>
      </c>
      <c r="O574">
        <v>1</v>
      </c>
    </row>
    <row r="575" spans="1:15">
      <c r="A575" t="s">
        <v>460</v>
      </c>
      <c r="B575">
        <v>43</v>
      </c>
      <c r="C575" t="s">
        <v>33</v>
      </c>
      <c r="D575">
        <v>976349</v>
      </c>
      <c r="E575" t="s">
        <v>17</v>
      </c>
      <c r="F575">
        <v>689</v>
      </c>
      <c r="G575">
        <v>1088454</v>
      </c>
      <c r="H575">
        <v>13.03</v>
      </c>
      <c r="I575">
        <v>12</v>
      </c>
      <c r="J575">
        <v>295164</v>
      </c>
      <c r="K575" t="s">
        <v>26</v>
      </c>
      <c r="L575" t="s">
        <v>19</v>
      </c>
      <c r="M575" t="s">
        <v>27</v>
      </c>
      <c r="N575" t="s">
        <v>28</v>
      </c>
      <c r="O575">
        <v>0</v>
      </c>
    </row>
    <row r="576" spans="1:15">
      <c r="A576" t="s">
        <v>554</v>
      </c>
      <c r="B576">
        <v>43</v>
      </c>
      <c r="C576" t="s">
        <v>33</v>
      </c>
      <c r="D576">
        <v>977598</v>
      </c>
      <c r="E576" t="s">
        <v>17</v>
      </c>
      <c r="F576">
        <v>617</v>
      </c>
      <c r="G576">
        <v>1090698</v>
      </c>
      <c r="H576">
        <v>11.34</v>
      </c>
      <c r="I576">
        <v>12</v>
      </c>
      <c r="J576">
        <v>295409</v>
      </c>
      <c r="K576" t="s">
        <v>26</v>
      </c>
      <c r="L576" t="s">
        <v>34</v>
      </c>
      <c r="M576" t="s">
        <v>20</v>
      </c>
      <c r="N576" t="s">
        <v>31</v>
      </c>
      <c r="O576">
        <v>0</v>
      </c>
    </row>
    <row r="577" spans="1:15">
      <c r="A577" t="s">
        <v>607</v>
      </c>
      <c r="B577">
        <v>43</v>
      </c>
      <c r="C577" t="s">
        <v>16</v>
      </c>
      <c r="D577">
        <v>978261</v>
      </c>
      <c r="E577" t="s">
        <v>17</v>
      </c>
      <c r="F577">
        <v>700</v>
      </c>
      <c r="G577">
        <v>1091837</v>
      </c>
      <c r="H577">
        <v>16.309999999999999</v>
      </c>
      <c r="I577">
        <v>12</v>
      </c>
      <c r="J577">
        <v>296128</v>
      </c>
      <c r="K577" t="s">
        <v>30</v>
      </c>
      <c r="L577" t="s">
        <v>34</v>
      </c>
      <c r="M577" t="s">
        <v>20</v>
      </c>
      <c r="N577" t="s">
        <v>31</v>
      </c>
      <c r="O577">
        <v>0</v>
      </c>
    </row>
    <row r="578" spans="1:15">
      <c r="A578" t="s">
        <v>643</v>
      </c>
      <c r="B578">
        <v>43</v>
      </c>
      <c r="C578" t="s">
        <v>16</v>
      </c>
      <c r="D578">
        <v>979162</v>
      </c>
      <c r="E578" t="s">
        <v>25</v>
      </c>
      <c r="F578">
        <v>395</v>
      </c>
      <c r="G578">
        <v>1093908</v>
      </c>
      <c r="H578">
        <v>16.03</v>
      </c>
      <c r="I578">
        <v>36</v>
      </c>
      <c r="J578">
        <v>296953</v>
      </c>
      <c r="K578" t="s">
        <v>23</v>
      </c>
      <c r="L578" t="s">
        <v>34</v>
      </c>
      <c r="M578" t="s">
        <v>20</v>
      </c>
      <c r="N578" t="s">
        <v>31</v>
      </c>
      <c r="O578">
        <v>0</v>
      </c>
    </row>
    <row r="579" spans="1:15">
      <c r="A579" t="s">
        <v>645</v>
      </c>
      <c r="B579">
        <v>43</v>
      </c>
      <c r="C579" t="s">
        <v>16</v>
      </c>
      <c r="D579">
        <v>979185</v>
      </c>
      <c r="E579" t="s">
        <v>17</v>
      </c>
      <c r="F579">
        <v>734</v>
      </c>
      <c r="G579">
        <v>1094951</v>
      </c>
      <c r="H579">
        <v>12.63</v>
      </c>
      <c r="I579">
        <v>24</v>
      </c>
      <c r="J579">
        <v>297118</v>
      </c>
      <c r="K579" t="s">
        <v>11</v>
      </c>
      <c r="L579" t="s">
        <v>19</v>
      </c>
      <c r="M579" t="s">
        <v>20</v>
      </c>
      <c r="N579" t="s">
        <v>31</v>
      </c>
      <c r="O579">
        <v>0</v>
      </c>
    </row>
    <row r="580" spans="1:15">
      <c r="A580" t="s">
        <v>681</v>
      </c>
      <c r="B580">
        <v>43</v>
      </c>
      <c r="C580" t="s">
        <v>16</v>
      </c>
      <c r="D580">
        <v>980221</v>
      </c>
      <c r="E580" t="s">
        <v>17</v>
      </c>
      <c r="F580">
        <v>708</v>
      </c>
      <c r="G580">
        <v>1097273</v>
      </c>
      <c r="H580">
        <v>14.04</v>
      </c>
      <c r="I580">
        <v>12</v>
      </c>
      <c r="J580">
        <v>297118</v>
      </c>
      <c r="K580" t="s">
        <v>11</v>
      </c>
      <c r="L580" t="s">
        <v>34</v>
      </c>
      <c r="M580" t="s">
        <v>20</v>
      </c>
      <c r="N580" t="s">
        <v>28</v>
      </c>
      <c r="O580">
        <v>1</v>
      </c>
    </row>
    <row r="581" spans="1:15">
      <c r="A581" t="s">
        <v>695</v>
      </c>
      <c r="B581">
        <v>43</v>
      </c>
      <c r="C581" t="s">
        <v>33</v>
      </c>
      <c r="D581">
        <v>980323</v>
      </c>
      <c r="E581" t="s">
        <v>25</v>
      </c>
      <c r="F581">
        <v>693</v>
      </c>
      <c r="G581">
        <v>1097908</v>
      </c>
      <c r="H581">
        <v>12.42</v>
      </c>
      <c r="I581">
        <v>48</v>
      </c>
      <c r="J581">
        <v>298057</v>
      </c>
      <c r="K581" t="s">
        <v>18</v>
      </c>
      <c r="L581" t="s">
        <v>19</v>
      </c>
      <c r="M581" t="s">
        <v>20</v>
      </c>
      <c r="N581" t="s">
        <v>21</v>
      </c>
      <c r="O581">
        <v>0</v>
      </c>
    </row>
    <row r="582" spans="1:15">
      <c r="A582" t="s">
        <v>720</v>
      </c>
      <c r="B582">
        <v>43</v>
      </c>
      <c r="C582" t="s">
        <v>33</v>
      </c>
      <c r="D582">
        <v>982296</v>
      </c>
      <c r="E582" t="s">
        <v>25</v>
      </c>
      <c r="F582">
        <v>348</v>
      </c>
      <c r="G582">
        <v>1099267</v>
      </c>
      <c r="H582">
        <v>11.53</v>
      </c>
      <c r="I582">
        <v>60</v>
      </c>
      <c r="J582">
        <v>298207</v>
      </c>
      <c r="K582" t="s">
        <v>26</v>
      </c>
      <c r="L582" t="s">
        <v>19</v>
      </c>
      <c r="M582" t="s">
        <v>27</v>
      </c>
      <c r="N582" t="s">
        <v>21</v>
      </c>
      <c r="O582">
        <v>0</v>
      </c>
    </row>
    <row r="583" spans="1:15">
      <c r="A583" t="s">
        <v>768</v>
      </c>
      <c r="B583">
        <v>43</v>
      </c>
      <c r="C583" t="s">
        <v>16</v>
      </c>
      <c r="D583">
        <v>985373</v>
      </c>
      <c r="E583" t="s">
        <v>25</v>
      </c>
      <c r="F583">
        <v>572</v>
      </c>
      <c r="G583">
        <v>1102962</v>
      </c>
      <c r="H583">
        <v>14.66</v>
      </c>
      <c r="I583">
        <v>12</v>
      </c>
      <c r="J583">
        <v>298426</v>
      </c>
      <c r="K583" t="s">
        <v>11</v>
      </c>
      <c r="L583" t="s">
        <v>34</v>
      </c>
      <c r="M583" t="s">
        <v>27</v>
      </c>
      <c r="N583" t="s">
        <v>28</v>
      </c>
      <c r="O583">
        <v>1</v>
      </c>
    </row>
    <row r="584" spans="1:15">
      <c r="A584" t="s">
        <v>770</v>
      </c>
      <c r="B584">
        <v>43</v>
      </c>
      <c r="C584" t="s">
        <v>16</v>
      </c>
      <c r="D584">
        <v>989192</v>
      </c>
      <c r="E584" t="s">
        <v>17</v>
      </c>
      <c r="F584">
        <v>377</v>
      </c>
      <c r="G584">
        <v>1103406</v>
      </c>
      <c r="H584">
        <v>8.0399999999999991</v>
      </c>
      <c r="I584">
        <v>12</v>
      </c>
      <c r="J584">
        <v>298766</v>
      </c>
      <c r="K584" t="s">
        <v>30</v>
      </c>
      <c r="L584" t="s">
        <v>19</v>
      </c>
      <c r="M584" t="s">
        <v>20</v>
      </c>
      <c r="N584" t="s">
        <v>31</v>
      </c>
      <c r="O584">
        <v>0</v>
      </c>
    </row>
    <row r="585" spans="1:15">
      <c r="A585" t="s">
        <v>782</v>
      </c>
      <c r="B585">
        <v>43</v>
      </c>
      <c r="C585" t="s">
        <v>33</v>
      </c>
      <c r="D585">
        <v>991159</v>
      </c>
      <c r="E585" t="s">
        <v>17</v>
      </c>
      <c r="F585">
        <v>374</v>
      </c>
      <c r="G585">
        <v>1105448</v>
      </c>
      <c r="H585">
        <v>10.35</v>
      </c>
      <c r="I585">
        <v>48</v>
      </c>
      <c r="J585">
        <v>299059</v>
      </c>
      <c r="K585" t="s">
        <v>18</v>
      </c>
      <c r="L585" t="s">
        <v>19</v>
      </c>
      <c r="M585" t="s">
        <v>27</v>
      </c>
      <c r="N585" t="s">
        <v>28</v>
      </c>
      <c r="O585">
        <v>0</v>
      </c>
    </row>
    <row r="586" spans="1:15">
      <c r="A586" t="s">
        <v>793</v>
      </c>
      <c r="B586">
        <v>43</v>
      </c>
      <c r="C586" t="s">
        <v>33</v>
      </c>
      <c r="D586">
        <v>992195</v>
      </c>
      <c r="E586" t="s">
        <v>17</v>
      </c>
      <c r="F586">
        <v>690</v>
      </c>
      <c r="G586">
        <v>1105469</v>
      </c>
      <c r="H586">
        <v>11.96</v>
      </c>
      <c r="I586">
        <v>60</v>
      </c>
      <c r="J586">
        <v>299386</v>
      </c>
      <c r="K586" t="s">
        <v>18</v>
      </c>
      <c r="L586" t="s">
        <v>34</v>
      </c>
      <c r="M586" t="s">
        <v>27</v>
      </c>
      <c r="N586" t="s">
        <v>21</v>
      </c>
      <c r="O586">
        <v>0</v>
      </c>
    </row>
    <row r="587" spans="1:15">
      <c r="A587" t="s">
        <v>940</v>
      </c>
      <c r="B587">
        <v>43</v>
      </c>
      <c r="C587" t="s">
        <v>16</v>
      </c>
      <c r="D587">
        <v>992434</v>
      </c>
      <c r="E587" t="s">
        <v>25</v>
      </c>
      <c r="F587">
        <v>404</v>
      </c>
      <c r="G587">
        <v>1105668</v>
      </c>
      <c r="H587">
        <v>15</v>
      </c>
      <c r="I587">
        <v>48</v>
      </c>
      <c r="J587">
        <v>299538</v>
      </c>
      <c r="K587" t="s">
        <v>11</v>
      </c>
      <c r="L587" t="s">
        <v>19</v>
      </c>
      <c r="M587" t="s">
        <v>27</v>
      </c>
      <c r="N587" t="s">
        <v>28</v>
      </c>
      <c r="O587">
        <v>1</v>
      </c>
    </row>
    <row r="588" spans="1:15">
      <c r="A588" t="s">
        <v>969</v>
      </c>
      <c r="B588">
        <v>43</v>
      </c>
      <c r="C588" t="s">
        <v>16</v>
      </c>
      <c r="D588">
        <v>992585</v>
      </c>
      <c r="E588" t="s">
        <v>17</v>
      </c>
      <c r="F588">
        <v>798</v>
      </c>
      <c r="G588">
        <v>1110835</v>
      </c>
      <c r="H588">
        <v>12.03</v>
      </c>
      <c r="I588">
        <v>48</v>
      </c>
      <c r="J588">
        <v>299724</v>
      </c>
      <c r="K588" t="s">
        <v>26</v>
      </c>
      <c r="L588" t="s">
        <v>34</v>
      </c>
      <c r="M588" t="s">
        <v>20</v>
      </c>
      <c r="N588" t="s">
        <v>28</v>
      </c>
      <c r="O588">
        <v>0</v>
      </c>
    </row>
    <row r="589" spans="1:15">
      <c r="A589" t="s">
        <v>977</v>
      </c>
      <c r="B589">
        <v>43</v>
      </c>
      <c r="C589" t="s">
        <v>33</v>
      </c>
      <c r="D589">
        <v>992585</v>
      </c>
      <c r="E589" t="s">
        <v>25</v>
      </c>
      <c r="F589">
        <v>470</v>
      </c>
      <c r="G589">
        <v>1111150</v>
      </c>
      <c r="H589">
        <v>12.71</v>
      </c>
      <c r="I589">
        <v>12</v>
      </c>
      <c r="J589">
        <v>299912</v>
      </c>
      <c r="K589" t="s">
        <v>26</v>
      </c>
      <c r="L589" t="s">
        <v>34</v>
      </c>
      <c r="M589" t="s">
        <v>20</v>
      </c>
      <c r="N589" t="s">
        <v>21</v>
      </c>
      <c r="O589">
        <v>0</v>
      </c>
    </row>
    <row r="590" spans="1:15">
      <c r="A590" t="s">
        <v>991</v>
      </c>
      <c r="B590">
        <v>43</v>
      </c>
      <c r="C590" t="s">
        <v>33</v>
      </c>
      <c r="D590">
        <v>992937</v>
      </c>
      <c r="E590" t="s">
        <v>25</v>
      </c>
      <c r="F590">
        <v>585</v>
      </c>
      <c r="G590">
        <v>1114032</v>
      </c>
      <c r="H590">
        <v>9.0399999999999991</v>
      </c>
      <c r="I590">
        <v>60</v>
      </c>
      <c r="J590">
        <v>300504</v>
      </c>
      <c r="K590" t="s">
        <v>30</v>
      </c>
      <c r="L590" t="s">
        <v>34</v>
      </c>
      <c r="M590" t="s">
        <v>27</v>
      </c>
      <c r="N590" t="s">
        <v>21</v>
      </c>
      <c r="O590">
        <v>0</v>
      </c>
    </row>
    <row r="591" spans="1:15">
      <c r="A591" t="s">
        <v>73</v>
      </c>
      <c r="B591">
        <v>44</v>
      </c>
      <c r="C591" t="s">
        <v>16</v>
      </c>
      <c r="D591">
        <v>993653</v>
      </c>
      <c r="E591" t="s">
        <v>25</v>
      </c>
      <c r="F591">
        <v>888</v>
      </c>
      <c r="G591">
        <v>1115243</v>
      </c>
      <c r="H591">
        <v>10.63</v>
      </c>
      <c r="I591">
        <v>60</v>
      </c>
      <c r="J591">
        <v>300513</v>
      </c>
      <c r="K591" t="s">
        <v>30</v>
      </c>
      <c r="L591" t="s">
        <v>34</v>
      </c>
      <c r="M591" t="s">
        <v>20</v>
      </c>
      <c r="N591" t="s">
        <v>21</v>
      </c>
      <c r="O591">
        <v>0</v>
      </c>
    </row>
    <row r="592" spans="1:15">
      <c r="A592" t="s">
        <v>93</v>
      </c>
      <c r="B592">
        <v>44</v>
      </c>
      <c r="C592" t="s">
        <v>16</v>
      </c>
      <c r="D592">
        <v>994073</v>
      </c>
      <c r="E592" t="s">
        <v>17</v>
      </c>
      <c r="F592">
        <v>842</v>
      </c>
      <c r="G592">
        <v>1121255</v>
      </c>
      <c r="H592">
        <v>12.45</v>
      </c>
      <c r="I592">
        <v>36</v>
      </c>
      <c r="J592">
        <v>302462</v>
      </c>
      <c r="K592" t="s">
        <v>26</v>
      </c>
      <c r="L592" t="s">
        <v>34</v>
      </c>
      <c r="M592" t="s">
        <v>20</v>
      </c>
      <c r="N592" t="s">
        <v>28</v>
      </c>
      <c r="O592">
        <v>0</v>
      </c>
    </row>
    <row r="593" spans="1:15">
      <c r="A593" t="s">
        <v>248</v>
      </c>
      <c r="B593">
        <v>44</v>
      </c>
      <c r="C593" t="s">
        <v>33</v>
      </c>
      <c r="D593">
        <v>996687</v>
      </c>
      <c r="E593" t="s">
        <v>17</v>
      </c>
      <c r="F593">
        <v>648</v>
      </c>
      <c r="G593">
        <v>1122422</v>
      </c>
      <c r="H593">
        <v>13.08</v>
      </c>
      <c r="I593">
        <v>48</v>
      </c>
      <c r="J593">
        <v>302736</v>
      </c>
      <c r="K593" t="s">
        <v>30</v>
      </c>
      <c r="L593" t="s">
        <v>34</v>
      </c>
      <c r="M593" t="s">
        <v>27</v>
      </c>
      <c r="N593" t="s">
        <v>21</v>
      </c>
      <c r="O593">
        <v>0</v>
      </c>
    </row>
    <row r="594" spans="1:15">
      <c r="A594" t="s">
        <v>357</v>
      </c>
      <c r="B594">
        <v>44</v>
      </c>
      <c r="C594" t="s">
        <v>16</v>
      </c>
      <c r="D594">
        <v>999399</v>
      </c>
      <c r="E594" t="s">
        <v>25</v>
      </c>
      <c r="F594">
        <v>680</v>
      </c>
      <c r="G594">
        <v>1122472</v>
      </c>
      <c r="H594">
        <v>13.19</v>
      </c>
      <c r="I594">
        <v>12</v>
      </c>
      <c r="J594">
        <v>302736</v>
      </c>
      <c r="K594" t="s">
        <v>30</v>
      </c>
      <c r="L594" t="s">
        <v>34</v>
      </c>
      <c r="M594" t="s">
        <v>27</v>
      </c>
      <c r="N594" t="s">
        <v>31</v>
      </c>
      <c r="O594">
        <v>0</v>
      </c>
    </row>
    <row r="595" spans="1:15">
      <c r="A595" t="s">
        <v>363</v>
      </c>
      <c r="B595">
        <v>44</v>
      </c>
      <c r="C595" t="s">
        <v>33</v>
      </c>
      <c r="D595">
        <v>1000298</v>
      </c>
      <c r="E595" t="s">
        <v>17</v>
      </c>
      <c r="F595">
        <v>843</v>
      </c>
      <c r="G595">
        <v>1123736</v>
      </c>
      <c r="H595">
        <v>14.24</v>
      </c>
      <c r="I595">
        <v>24</v>
      </c>
      <c r="J595">
        <v>303140</v>
      </c>
      <c r="K595" t="s">
        <v>18</v>
      </c>
      <c r="L595" t="s">
        <v>19</v>
      </c>
      <c r="M595" t="s">
        <v>20</v>
      </c>
      <c r="N595" t="s">
        <v>21</v>
      </c>
      <c r="O595">
        <v>0</v>
      </c>
    </row>
    <row r="596" spans="1:15">
      <c r="A596" t="s">
        <v>389</v>
      </c>
      <c r="B596">
        <v>44</v>
      </c>
      <c r="C596" t="s">
        <v>33</v>
      </c>
      <c r="D596">
        <v>1000665</v>
      </c>
      <c r="E596" t="s">
        <v>17</v>
      </c>
      <c r="F596">
        <v>615</v>
      </c>
      <c r="G596">
        <v>1126093</v>
      </c>
      <c r="H596">
        <v>11.24</v>
      </c>
      <c r="I596">
        <v>60</v>
      </c>
      <c r="J596">
        <v>303285</v>
      </c>
      <c r="K596" t="s">
        <v>18</v>
      </c>
      <c r="L596" t="s">
        <v>34</v>
      </c>
      <c r="M596" t="s">
        <v>20</v>
      </c>
      <c r="N596" t="s">
        <v>31</v>
      </c>
      <c r="O596">
        <v>0</v>
      </c>
    </row>
    <row r="597" spans="1:15">
      <c r="A597" t="s">
        <v>464</v>
      </c>
      <c r="B597">
        <v>44</v>
      </c>
      <c r="C597" t="s">
        <v>16</v>
      </c>
      <c r="D597">
        <v>1000865</v>
      </c>
      <c r="E597" t="s">
        <v>25</v>
      </c>
      <c r="F597">
        <v>446</v>
      </c>
      <c r="G597">
        <v>1127834</v>
      </c>
      <c r="H597">
        <v>10.49</v>
      </c>
      <c r="I597">
        <v>24</v>
      </c>
      <c r="J597">
        <v>303555</v>
      </c>
      <c r="K597" t="s">
        <v>11</v>
      </c>
      <c r="L597" t="s">
        <v>34</v>
      </c>
      <c r="M597" t="s">
        <v>27</v>
      </c>
      <c r="N597" t="s">
        <v>21</v>
      </c>
      <c r="O597">
        <v>1</v>
      </c>
    </row>
    <row r="598" spans="1:15">
      <c r="A598" t="s">
        <v>566</v>
      </c>
      <c r="B598">
        <v>44</v>
      </c>
      <c r="C598" t="s">
        <v>1026</v>
      </c>
      <c r="D598">
        <v>1001870</v>
      </c>
      <c r="E598" t="s">
        <v>17</v>
      </c>
      <c r="F598">
        <v>459</v>
      </c>
      <c r="G598">
        <v>1128175</v>
      </c>
      <c r="H598">
        <v>8.25</v>
      </c>
      <c r="I598">
        <v>60</v>
      </c>
      <c r="J598">
        <v>305642</v>
      </c>
      <c r="K598" t="s">
        <v>30</v>
      </c>
      <c r="L598" t="s">
        <v>34</v>
      </c>
      <c r="M598" t="s">
        <v>27</v>
      </c>
      <c r="N598" t="s">
        <v>21</v>
      </c>
      <c r="O598">
        <v>1</v>
      </c>
    </row>
    <row r="599" spans="1:15">
      <c r="A599" t="s">
        <v>581</v>
      </c>
      <c r="B599">
        <v>44</v>
      </c>
      <c r="C599" t="s">
        <v>16</v>
      </c>
      <c r="D599">
        <v>1001993</v>
      </c>
      <c r="E599" t="s">
        <v>25</v>
      </c>
      <c r="F599">
        <v>804</v>
      </c>
      <c r="G599">
        <v>1130842</v>
      </c>
      <c r="H599">
        <v>10.69</v>
      </c>
      <c r="I599">
        <v>60</v>
      </c>
      <c r="J599">
        <v>306552</v>
      </c>
      <c r="K599" t="s">
        <v>30</v>
      </c>
      <c r="L599" t="s">
        <v>34</v>
      </c>
      <c r="M599" t="s">
        <v>27</v>
      </c>
      <c r="N599" t="s">
        <v>28</v>
      </c>
      <c r="O599">
        <v>0</v>
      </c>
    </row>
    <row r="600" spans="1:15">
      <c r="A600" t="s">
        <v>639</v>
      </c>
      <c r="B600">
        <v>44</v>
      </c>
      <c r="C600" t="s">
        <v>16</v>
      </c>
      <c r="D600">
        <v>1002259</v>
      </c>
      <c r="E600" t="s">
        <v>17</v>
      </c>
      <c r="F600">
        <v>691</v>
      </c>
      <c r="G600">
        <v>1131594</v>
      </c>
      <c r="H600">
        <v>12.94</v>
      </c>
      <c r="I600">
        <v>12</v>
      </c>
      <c r="J600">
        <v>306590</v>
      </c>
      <c r="K600" t="s">
        <v>18</v>
      </c>
      <c r="L600" t="s">
        <v>34</v>
      </c>
      <c r="M600" t="s">
        <v>20</v>
      </c>
      <c r="N600" t="s">
        <v>28</v>
      </c>
      <c r="O600">
        <v>0</v>
      </c>
    </row>
    <row r="601" spans="1:15">
      <c r="A601" t="s">
        <v>679</v>
      </c>
      <c r="B601">
        <v>44</v>
      </c>
      <c r="C601" t="s">
        <v>33</v>
      </c>
      <c r="D601">
        <v>1004058</v>
      </c>
      <c r="E601" t="s">
        <v>25</v>
      </c>
      <c r="F601">
        <v>514</v>
      </c>
      <c r="G601">
        <v>1132865</v>
      </c>
      <c r="H601">
        <v>13.2</v>
      </c>
      <c r="I601">
        <v>60</v>
      </c>
      <c r="J601">
        <v>306613</v>
      </c>
      <c r="K601" t="s">
        <v>11</v>
      </c>
      <c r="L601" t="s">
        <v>19</v>
      </c>
      <c r="M601" t="s">
        <v>27</v>
      </c>
      <c r="N601" t="s">
        <v>28</v>
      </c>
      <c r="O601">
        <v>0</v>
      </c>
    </row>
    <row r="602" spans="1:15">
      <c r="A602" t="s">
        <v>759</v>
      </c>
      <c r="B602">
        <v>44</v>
      </c>
      <c r="C602" t="s">
        <v>16</v>
      </c>
      <c r="D602">
        <v>1008175</v>
      </c>
      <c r="E602" t="s">
        <v>17</v>
      </c>
      <c r="F602">
        <v>492</v>
      </c>
      <c r="G602">
        <v>1137396</v>
      </c>
      <c r="H602">
        <v>16.27</v>
      </c>
      <c r="I602">
        <v>48</v>
      </c>
      <c r="J602">
        <v>307869</v>
      </c>
      <c r="K602" t="s">
        <v>26</v>
      </c>
      <c r="L602" t="s">
        <v>19</v>
      </c>
      <c r="M602" t="s">
        <v>27</v>
      </c>
      <c r="N602" t="s">
        <v>31</v>
      </c>
      <c r="O602">
        <v>0</v>
      </c>
    </row>
    <row r="603" spans="1:15">
      <c r="A603" t="s">
        <v>772</v>
      </c>
      <c r="B603">
        <v>44</v>
      </c>
      <c r="C603" t="s">
        <v>33</v>
      </c>
      <c r="D603">
        <v>1009096</v>
      </c>
      <c r="E603" t="s">
        <v>17</v>
      </c>
      <c r="F603">
        <v>798</v>
      </c>
      <c r="G603">
        <v>1137417</v>
      </c>
      <c r="H603">
        <v>7.83</v>
      </c>
      <c r="I603">
        <v>60</v>
      </c>
      <c r="J603">
        <v>308203</v>
      </c>
      <c r="K603" t="s">
        <v>30</v>
      </c>
      <c r="L603" t="s">
        <v>19</v>
      </c>
      <c r="M603" t="s">
        <v>27</v>
      </c>
      <c r="N603" t="s">
        <v>31</v>
      </c>
      <c r="O603">
        <v>0</v>
      </c>
    </row>
    <row r="604" spans="1:15">
      <c r="A604" t="s">
        <v>860</v>
      </c>
      <c r="B604">
        <v>44</v>
      </c>
      <c r="C604" t="s">
        <v>16</v>
      </c>
      <c r="D604">
        <v>1009604</v>
      </c>
      <c r="E604" t="s">
        <v>25</v>
      </c>
      <c r="F604">
        <v>520</v>
      </c>
      <c r="G604">
        <v>1143821</v>
      </c>
      <c r="H604">
        <v>16.149999999999999</v>
      </c>
      <c r="I604">
        <v>48</v>
      </c>
      <c r="J604">
        <v>308211</v>
      </c>
      <c r="K604" t="s">
        <v>11</v>
      </c>
      <c r="L604" t="s">
        <v>34</v>
      </c>
      <c r="M604" t="s">
        <v>20</v>
      </c>
      <c r="N604" t="s">
        <v>31</v>
      </c>
      <c r="O604">
        <v>0</v>
      </c>
    </row>
    <row r="605" spans="1:15">
      <c r="A605" t="s">
        <v>878</v>
      </c>
      <c r="B605">
        <v>44</v>
      </c>
      <c r="C605" t="s">
        <v>33</v>
      </c>
      <c r="D605">
        <v>1011791</v>
      </c>
      <c r="E605" t="s">
        <v>17</v>
      </c>
      <c r="F605">
        <v>530</v>
      </c>
      <c r="G605">
        <v>1148561</v>
      </c>
      <c r="H605">
        <v>8.52</v>
      </c>
      <c r="I605">
        <v>12</v>
      </c>
      <c r="J605">
        <v>308292</v>
      </c>
      <c r="K605" t="s">
        <v>18</v>
      </c>
      <c r="L605" t="s">
        <v>19</v>
      </c>
      <c r="M605" t="s">
        <v>20</v>
      </c>
      <c r="N605" t="s">
        <v>21</v>
      </c>
      <c r="O605">
        <v>1</v>
      </c>
    </row>
    <row r="606" spans="1:15">
      <c r="A606" t="s">
        <v>967</v>
      </c>
      <c r="B606">
        <v>44</v>
      </c>
      <c r="C606" t="s">
        <v>16</v>
      </c>
      <c r="D606">
        <v>1014718</v>
      </c>
      <c r="E606" t="s">
        <v>25</v>
      </c>
      <c r="G606">
        <v>1151314</v>
      </c>
      <c r="H606">
        <v>12.76</v>
      </c>
      <c r="I606">
        <v>48</v>
      </c>
      <c r="J606">
        <v>308643</v>
      </c>
      <c r="K606" t="s">
        <v>30</v>
      </c>
      <c r="L606" t="s">
        <v>34</v>
      </c>
      <c r="M606" t="s">
        <v>27</v>
      </c>
      <c r="N606" t="s">
        <v>21</v>
      </c>
      <c r="O606">
        <v>1</v>
      </c>
    </row>
    <row r="607" spans="1:15">
      <c r="A607" t="s">
        <v>35</v>
      </c>
      <c r="B607">
        <v>45</v>
      </c>
      <c r="C607" t="s">
        <v>33</v>
      </c>
      <c r="D607">
        <v>1017707</v>
      </c>
      <c r="E607" t="s">
        <v>25</v>
      </c>
      <c r="F607">
        <v>551</v>
      </c>
      <c r="G607">
        <v>1154777</v>
      </c>
      <c r="H607">
        <v>12.19</v>
      </c>
      <c r="I607">
        <v>12</v>
      </c>
      <c r="J607">
        <v>308787</v>
      </c>
      <c r="K607" t="s">
        <v>26</v>
      </c>
      <c r="L607" t="s">
        <v>19</v>
      </c>
      <c r="M607" t="s">
        <v>20</v>
      </c>
      <c r="N607" t="s">
        <v>21</v>
      </c>
      <c r="O607">
        <v>0</v>
      </c>
    </row>
    <row r="608" spans="1:15">
      <c r="A608" t="s">
        <v>52</v>
      </c>
      <c r="B608">
        <v>45</v>
      </c>
      <c r="C608" t="s">
        <v>16</v>
      </c>
      <c r="D608">
        <v>1024113</v>
      </c>
      <c r="E608" t="s">
        <v>25</v>
      </c>
      <c r="F608">
        <v>405</v>
      </c>
      <c r="G608">
        <v>1155827</v>
      </c>
      <c r="H608">
        <v>8.1199999999999992</v>
      </c>
      <c r="I608">
        <v>48</v>
      </c>
      <c r="J608">
        <v>308850</v>
      </c>
      <c r="K608" t="s">
        <v>11</v>
      </c>
      <c r="L608" t="s">
        <v>34</v>
      </c>
      <c r="M608" t="s">
        <v>27</v>
      </c>
      <c r="N608" t="s">
        <v>31</v>
      </c>
      <c r="O608">
        <v>0</v>
      </c>
    </row>
    <row r="609" spans="1:15">
      <c r="A609" t="s">
        <v>66</v>
      </c>
      <c r="B609">
        <v>45</v>
      </c>
      <c r="C609" t="s">
        <v>33</v>
      </c>
      <c r="D609">
        <v>1024402</v>
      </c>
      <c r="E609" t="s">
        <v>17</v>
      </c>
      <c r="G609">
        <v>1157240</v>
      </c>
      <c r="H609">
        <v>8.75</v>
      </c>
      <c r="I609">
        <v>24</v>
      </c>
      <c r="J609">
        <v>310579</v>
      </c>
      <c r="K609" t="s">
        <v>18</v>
      </c>
      <c r="L609" t="s">
        <v>19</v>
      </c>
      <c r="M609" t="s">
        <v>27</v>
      </c>
      <c r="N609" t="s">
        <v>21</v>
      </c>
      <c r="O609">
        <v>0</v>
      </c>
    </row>
    <row r="610" spans="1:15">
      <c r="A610" t="s">
        <v>88</v>
      </c>
      <c r="B610">
        <v>45</v>
      </c>
      <c r="C610" t="s">
        <v>16</v>
      </c>
      <c r="D610">
        <v>1025912</v>
      </c>
      <c r="E610" t="s">
        <v>17</v>
      </c>
      <c r="F610">
        <v>887</v>
      </c>
      <c r="G610">
        <v>1157298</v>
      </c>
      <c r="H610">
        <v>11.96</v>
      </c>
      <c r="I610">
        <v>60</v>
      </c>
      <c r="J610">
        <v>310733</v>
      </c>
      <c r="K610" t="s">
        <v>18</v>
      </c>
      <c r="L610" t="s">
        <v>34</v>
      </c>
      <c r="M610" t="s">
        <v>27</v>
      </c>
      <c r="N610" t="s">
        <v>31</v>
      </c>
      <c r="O610">
        <v>0</v>
      </c>
    </row>
    <row r="611" spans="1:15">
      <c r="A611" t="s">
        <v>106</v>
      </c>
      <c r="B611">
        <v>45</v>
      </c>
      <c r="C611" t="s">
        <v>16</v>
      </c>
      <c r="D611">
        <v>1026732</v>
      </c>
      <c r="E611" t="s">
        <v>17</v>
      </c>
      <c r="F611">
        <v>362</v>
      </c>
      <c r="G611">
        <v>1159280</v>
      </c>
      <c r="H611">
        <v>14.26</v>
      </c>
      <c r="I611">
        <v>48</v>
      </c>
      <c r="J611">
        <v>311620</v>
      </c>
      <c r="K611" t="s">
        <v>23</v>
      </c>
      <c r="L611" t="s">
        <v>19</v>
      </c>
      <c r="M611" t="s">
        <v>20</v>
      </c>
      <c r="N611" t="s">
        <v>31</v>
      </c>
      <c r="O611">
        <v>1</v>
      </c>
    </row>
    <row r="612" spans="1:15">
      <c r="A612" t="s">
        <v>140</v>
      </c>
      <c r="B612">
        <v>45</v>
      </c>
      <c r="C612" t="s">
        <v>16</v>
      </c>
      <c r="D612">
        <v>1030015</v>
      </c>
      <c r="E612" t="s">
        <v>17</v>
      </c>
      <c r="F612">
        <v>713</v>
      </c>
      <c r="G612">
        <v>1159713</v>
      </c>
      <c r="H612">
        <v>13.24</v>
      </c>
      <c r="I612">
        <v>36</v>
      </c>
      <c r="J612">
        <v>311801</v>
      </c>
      <c r="K612" t="s">
        <v>11</v>
      </c>
      <c r="L612" t="s">
        <v>19</v>
      </c>
      <c r="M612" t="s">
        <v>27</v>
      </c>
      <c r="N612" t="s">
        <v>31</v>
      </c>
      <c r="O612">
        <v>0</v>
      </c>
    </row>
    <row r="613" spans="1:15">
      <c r="A613" t="s">
        <v>175</v>
      </c>
      <c r="B613">
        <v>45</v>
      </c>
      <c r="C613" t="s">
        <v>33</v>
      </c>
      <c r="D613">
        <v>1031862</v>
      </c>
      <c r="E613" t="s">
        <v>25</v>
      </c>
      <c r="F613">
        <v>748</v>
      </c>
      <c r="G613">
        <v>1159952</v>
      </c>
      <c r="H613">
        <v>8.51</v>
      </c>
      <c r="I613">
        <v>60</v>
      </c>
      <c r="J613">
        <v>311986</v>
      </c>
      <c r="K613" t="s">
        <v>30</v>
      </c>
      <c r="L613" t="s">
        <v>34</v>
      </c>
      <c r="M613" t="s">
        <v>20</v>
      </c>
      <c r="N613" t="s">
        <v>31</v>
      </c>
      <c r="O613">
        <v>0</v>
      </c>
    </row>
    <row r="614" spans="1:15">
      <c r="A614" t="s">
        <v>198</v>
      </c>
      <c r="B614">
        <v>45</v>
      </c>
      <c r="C614" t="s">
        <v>16</v>
      </c>
      <c r="D614">
        <v>1032336</v>
      </c>
      <c r="E614" t="s">
        <v>17</v>
      </c>
      <c r="F614">
        <v>371</v>
      </c>
      <c r="G614">
        <v>1161426</v>
      </c>
      <c r="H614">
        <v>11.61</v>
      </c>
      <c r="I614">
        <v>24</v>
      </c>
      <c r="J614">
        <v>312062</v>
      </c>
      <c r="K614" t="s">
        <v>26</v>
      </c>
      <c r="L614" t="s">
        <v>34</v>
      </c>
      <c r="M614" t="s">
        <v>27</v>
      </c>
      <c r="N614" t="s">
        <v>28</v>
      </c>
      <c r="O614">
        <v>0</v>
      </c>
    </row>
    <row r="615" spans="1:15">
      <c r="A615" t="s">
        <v>216</v>
      </c>
      <c r="B615">
        <v>45</v>
      </c>
      <c r="C615" t="s">
        <v>33</v>
      </c>
      <c r="D615">
        <v>1032352</v>
      </c>
      <c r="E615" t="s">
        <v>17</v>
      </c>
      <c r="F615">
        <v>675</v>
      </c>
      <c r="G615">
        <v>1163886</v>
      </c>
      <c r="H615">
        <v>7.88</v>
      </c>
      <c r="I615">
        <v>12</v>
      </c>
      <c r="J615">
        <v>312423</v>
      </c>
      <c r="K615" t="s">
        <v>23</v>
      </c>
      <c r="L615" t="s">
        <v>19</v>
      </c>
      <c r="M615" t="s">
        <v>27</v>
      </c>
      <c r="N615" t="s">
        <v>28</v>
      </c>
      <c r="O615">
        <v>0</v>
      </c>
    </row>
    <row r="616" spans="1:15">
      <c r="A616" t="s">
        <v>218</v>
      </c>
      <c r="B616">
        <v>45</v>
      </c>
      <c r="C616" t="s">
        <v>33</v>
      </c>
      <c r="D616">
        <v>1032694</v>
      </c>
      <c r="E616" t="s">
        <v>25</v>
      </c>
      <c r="F616">
        <v>655</v>
      </c>
      <c r="G616">
        <v>1167748</v>
      </c>
      <c r="H616">
        <v>9.18</v>
      </c>
      <c r="I616">
        <v>60</v>
      </c>
      <c r="J616">
        <v>313549</v>
      </c>
      <c r="K616" t="s">
        <v>18</v>
      </c>
      <c r="L616" t="s">
        <v>34</v>
      </c>
      <c r="M616" t="s">
        <v>20</v>
      </c>
      <c r="N616" t="s">
        <v>28</v>
      </c>
      <c r="O616">
        <v>0</v>
      </c>
    </row>
    <row r="617" spans="1:15">
      <c r="A617" t="s">
        <v>221</v>
      </c>
      <c r="B617">
        <v>45</v>
      </c>
      <c r="C617" t="s">
        <v>16</v>
      </c>
      <c r="D617">
        <v>1033248</v>
      </c>
      <c r="E617" t="s">
        <v>25</v>
      </c>
      <c r="F617">
        <v>734</v>
      </c>
      <c r="G617">
        <v>1167831</v>
      </c>
      <c r="H617">
        <v>15.49</v>
      </c>
      <c r="I617">
        <v>24</v>
      </c>
      <c r="J617">
        <v>313819</v>
      </c>
      <c r="K617" t="s">
        <v>30</v>
      </c>
      <c r="L617" t="s">
        <v>34</v>
      </c>
      <c r="M617" t="s">
        <v>27</v>
      </c>
      <c r="N617" t="s">
        <v>28</v>
      </c>
      <c r="O617">
        <v>0</v>
      </c>
    </row>
    <row r="618" spans="1:15">
      <c r="A618" t="s">
        <v>258</v>
      </c>
      <c r="B618">
        <v>45</v>
      </c>
      <c r="C618" t="s">
        <v>33</v>
      </c>
      <c r="D618">
        <v>1034174</v>
      </c>
      <c r="E618" t="s">
        <v>25</v>
      </c>
      <c r="F618">
        <v>725</v>
      </c>
      <c r="G618">
        <v>1169048</v>
      </c>
      <c r="H618">
        <v>13.8</v>
      </c>
      <c r="I618">
        <v>24</v>
      </c>
      <c r="J618">
        <v>313865</v>
      </c>
      <c r="K618" t="s">
        <v>23</v>
      </c>
      <c r="L618" t="s">
        <v>34</v>
      </c>
      <c r="M618" t="s">
        <v>27</v>
      </c>
      <c r="N618" t="s">
        <v>31</v>
      </c>
      <c r="O618">
        <v>0</v>
      </c>
    </row>
    <row r="619" spans="1:15">
      <c r="A619" t="s">
        <v>262</v>
      </c>
      <c r="B619">
        <v>45</v>
      </c>
      <c r="C619" t="s">
        <v>33</v>
      </c>
      <c r="D619">
        <v>1034557</v>
      </c>
      <c r="E619" t="s">
        <v>25</v>
      </c>
      <c r="F619">
        <v>311</v>
      </c>
      <c r="G619">
        <v>1169901</v>
      </c>
      <c r="H619">
        <v>9.57</v>
      </c>
      <c r="I619">
        <v>24</v>
      </c>
      <c r="J619">
        <v>314925</v>
      </c>
      <c r="K619" t="s">
        <v>23</v>
      </c>
      <c r="L619" t="s">
        <v>19</v>
      </c>
      <c r="M619" t="s">
        <v>20</v>
      </c>
      <c r="N619" t="s">
        <v>21</v>
      </c>
      <c r="O619">
        <v>0</v>
      </c>
    </row>
    <row r="620" spans="1:15">
      <c r="A620" t="s">
        <v>275</v>
      </c>
      <c r="B620">
        <v>45</v>
      </c>
      <c r="C620" t="s">
        <v>16</v>
      </c>
      <c r="D620">
        <v>1035390</v>
      </c>
      <c r="E620" t="s">
        <v>17</v>
      </c>
      <c r="F620">
        <v>417</v>
      </c>
      <c r="G620">
        <v>1171685</v>
      </c>
      <c r="H620">
        <v>14.68</v>
      </c>
      <c r="I620">
        <v>60</v>
      </c>
      <c r="J620">
        <v>314994</v>
      </c>
      <c r="K620" t="s">
        <v>23</v>
      </c>
      <c r="L620" t="s">
        <v>19</v>
      </c>
      <c r="M620" t="s">
        <v>27</v>
      </c>
      <c r="N620" t="s">
        <v>31</v>
      </c>
      <c r="O620">
        <v>1</v>
      </c>
    </row>
    <row r="621" spans="1:15">
      <c r="A621" t="s">
        <v>293</v>
      </c>
      <c r="B621">
        <v>45</v>
      </c>
      <c r="C621" t="s">
        <v>33</v>
      </c>
      <c r="D621">
        <v>1037753</v>
      </c>
      <c r="E621" t="s">
        <v>25</v>
      </c>
      <c r="F621">
        <v>362</v>
      </c>
      <c r="G621">
        <v>1172752</v>
      </c>
      <c r="H621">
        <v>12.19</v>
      </c>
      <c r="I621">
        <v>36</v>
      </c>
      <c r="J621">
        <v>315351</v>
      </c>
      <c r="K621" t="s">
        <v>18</v>
      </c>
      <c r="L621" t="s">
        <v>34</v>
      </c>
      <c r="M621" t="s">
        <v>27</v>
      </c>
      <c r="N621" t="s">
        <v>21</v>
      </c>
      <c r="O621">
        <v>0</v>
      </c>
    </row>
    <row r="622" spans="1:15">
      <c r="A622" t="s">
        <v>348</v>
      </c>
      <c r="B622">
        <v>45</v>
      </c>
      <c r="C622" t="s">
        <v>16</v>
      </c>
      <c r="D622">
        <v>1039964</v>
      </c>
      <c r="E622" t="s">
        <v>25</v>
      </c>
      <c r="F622">
        <v>676</v>
      </c>
      <c r="G622">
        <v>1173831</v>
      </c>
      <c r="H622">
        <v>15.25</v>
      </c>
      <c r="I622">
        <v>24</v>
      </c>
      <c r="J622">
        <v>315945</v>
      </c>
      <c r="K622" t="s">
        <v>18</v>
      </c>
      <c r="L622" t="s">
        <v>19</v>
      </c>
      <c r="M622" t="s">
        <v>20</v>
      </c>
      <c r="N622" t="s">
        <v>31</v>
      </c>
      <c r="O622">
        <v>0</v>
      </c>
    </row>
    <row r="623" spans="1:15">
      <c r="A623" t="s">
        <v>383</v>
      </c>
      <c r="B623">
        <v>45</v>
      </c>
      <c r="C623" t="s">
        <v>16</v>
      </c>
      <c r="D623">
        <v>1040093</v>
      </c>
      <c r="E623" t="s">
        <v>17</v>
      </c>
      <c r="F623">
        <v>531</v>
      </c>
      <c r="G623">
        <v>1174930</v>
      </c>
      <c r="H623">
        <v>15.62</v>
      </c>
      <c r="I623">
        <v>24</v>
      </c>
      <c r="J623">
        <v>316391</v>
      </c>
      <c r="K623" t="s">
        <v>11</v>
      </c>
      <c r="L623" t="s">
        <v>34</v>
      </c>
      <c r="M623" t="s">
        <v>20</v>
      </c>
      <c r="N623" t="s">
        <v>21</v>
      </c>
      <c r="O623">
        <v>1</v>
      </c>
    </row>
    <row r="624" spans="1:15">
      <c r="A624" t="s">
        <v>517</v>
      </c>
      <c r="B624">
        <v>45</v>
      </c>
      <c r="C624" t="s">
        <v>16</v>
      </c>
      <c r="D624">
        <v>1040526</v>
      </c>
      <c r="E624" t="s">
        <v>17</v>
      </c>
      <c r="G624">
        <v>1175959</v>
      </c>
      <c r="H624">
        <v>15.24</v>
      </c>
      <c r="I624">
        <v>24</v>
      </c>
      <c r="J624">
        <v>316742</v>
      </c>
      <c r="K624" t="s">
        <v>26</v>
      </c>
      <c r="L624" t="s">
        <v>34</v>
      </c>
      <c r="M624" t="s">
        <v>27</v>
      </c>
      <c r="N624" t="s">
        <v>21</v>
      </c>
      <c r="O624">
        <v>0</v>
      </c>
    </row>
    <row r="625" spans="1:15">
      <c r="A625" t="s">
        <v>523</v>
      </c>
      <c r="B625">
        <v>45</v>
      </c>
      <c r="C625" t="s">
        <v>33</v>
      </c>
      <c r="D625">
        <v>1042912</v>
      </c>
      <c r="E625" t="s">
        <v>25</v>
      </c>
      <c r="F625">
        <v>713</v>
      </c>
      <c r="G625">
        <v>1181878</v>
      </c>
      <c r="H625">
        <v>12.2</v>
      </c>
      <c r="I625">
        <v>48</v>
      </c>
      <c r="J625">
        <v>317389</v>
      </c>
      <c r="K625" t="s">
        <v>11</v>
      </c>
      <c r="L625" t="s">
        <v>34</v>
      </c>
      <c r="M625" t="s">
        <v>20</v>
      </c>
      <c r="N625" t="s">
        <v>21</v>
      </c>
      <c r="O625">
        <v>0</v>
      </c>
    </row>
    <row r="626" spans="1:15">
      <c r="A626" t="s">
        <v>547</v>
      </c>
      <c r="B626">
        <v>45</v>
      </c>
      <c r="C626" t="s">
        <v>33</v>
      </c>
      <c r="D626">
        <v>1046330</v>
      </c>
      <c r="E626" t="s">
        <v>25</v>
      </c>
      <c r="F626">
        <v>410</v>
      </c>
      <c r="G626">
        <v>1183865</v>
      </c>
      <c r="H626">
        <v>10.53</v>
      </c>
      <c r="I626">
        <v>24</v>
      </c>
      <c r="J626">
        <v>317765</v>
      </c>
      <c r="K626" t="s">
        <v>23</v>
      </c>
      <c r="L626" t="s">
        <v>34</v>
      </c>
      <c r="M626" t="s">
        <v>20</v>
      </c>
      <c r="N626" t="s">
        <v>21</v>
      </c>
      <c r="O626">
        <v>0</v>
      </c>
    </row>
    <row r="627" spans="1:15">
      <c r="A627" t="s">
        <v>582</v>
      </c>
      <c r="B627">
        <v>45</v>
      </c>
      <c r="C627" t="s">
        <v>33</v>
      </c>
      <c r="D627">
        <v>1046636</v>
      </c>
      <c r="E627" t="s">
        <v>25</v>
      </c>
      <c r="F627">
        <v>866</v>
      </c>
      <c r="G627">
        <v>1184087</v>
      </c>
      <c r="H627">
        <v>12.63</v>
      </c>
      <c r="I627">
        <v>48</v>
      </c>
      <c r="J627">
        <v>317888</v>
      </c>
      <c r="K627" t="s">
        <v>26</v>
      </c>
      <c r="L627" t="s">
        <v>19</v>
      </c>
      <c r="M627" t="s">
        <v>27</v>
      </c>
      <c r="N627" t="s">
        <v>31</v>
      </c>
      <c r="O627">
        <v>0</v>
      </c>
    </row>
    <row r="628" spans="1:15">
      <c r="A628" t="s">
        <v>608</v>
      </c>
      <c r="B628">
        <v>45</v>
      </c>
      <c r="C628" t="s">
        <v>33</v>
      </c>
      <c r="D628">
        <v>1047117</v>
      </c>
      <c r="E628" t="s">
        <v>17</v>
      </c>
      <c r="F628">
        <v>870</v>
      </c>
      <c r="G628">
        <v>1186707</v>
      </c>
      <c r="H628">
        <v>11.43</v>
      </c>
      <c r="I628">
        <v>24</v>
      </c>
      <c r="J628">
        <v>318028</v>
      </c>
      <c r="K628" t="s">
        <v>18</v>
      </c>
      <c r="L628" t="s">
        <v>19</v>
      </c>
      <c r="M628" t="s">
        <v>27</v>
      </c>
      <c r="N628" t="s">
        <v>28</v>
      </c>
      <c r="O628">
        <v>0</v>
      </c>
    </row>
    <row r="629" spans="1:15">
      <c r="A629" t="s">
        <v>638</v>
      </c>
      <c r="B629">
        <v>45</v>
      </c>
      <c r="C629" t="s">
        <v>16</v>
      </c>
      <c r="D629">
        <v>1048427</v>
      </c>
      <c r="E629" t="s">
        <v>25</v>
      </c>
      <c r="F629">
        <v>591</v>
      </c>
      <c r="G629">
        <v>1186771</v>
      </c>
      <c r="H629">
        <v>15.77</v>
      </c>
      <c r="I629">
        <v>60</v>
      </c>
      <c r="J629">
        <v>319630</v>
      </c>
      <c r="K629" t="s">
        <v>18</v>
      </c>
      <c r="L629" t="s">
        <v>34</v>
      </c>
      <c r="M629" t="s">
        <v>20</v>
      </c>
      <c r="N629" t="s">
        <v>21</v>
      </c>
      <c r="O629">
        <v>0</v>
      </c>
    </row>
    <row r="630" spans="1:15">
      <c r="A630" t="s">
        <v>676</v>
      </c>
      <c r="B630">
        <v>45</v>
      </c>
      <c r="C630" t="s">
        <v>33</v>
      </c>
      <c r="D630">
        <v>1049399</v>
      </c>
      <c r="E630" t="s">
        <v>17</v>
      </c>
      <c r="F630">
        <v>352</v>
      </c>
      <c r="G630">
        <v>1193752</v>
      </c>
      <c r="H630">
        <v>14.72</v>
      </c>
      <c r="I630">
        <v>48</v>
      </c>
      <c r="J630">
        <v>320063</v>
      </c>
      <c r="K630" t="s">
        <v>18</v>
      </c>
      <c r="L630" t="s">
        <v>34</v>
      </c>
      <c r="M630" t="s">
        <v>20</v>
      </c>
      <c r="N630" t="s">
        <v>28</v>
      </c>
      <c r="O630">
        <v>1</v>
      </c>
    </row>
    <row r="631" spans="1:15">
      <c r="A631" t="s">
        <v>707</v>
      </c>
      <c r="B631">
        <v>45</v>
      </c>
      <c r="C631" t="s">
        <v>33</v>
      </c>
      <c r="D631">
        <v>1049715</v>
      </c>
      <c r="E631" t="s">
        <v>17</v>
      </c>
      <c r="F631">
        <v>722</v>
      </c>
      <c r="G631">
        <v>1194826</v>
      </c>
      <c r="H631">
        <v>8.01</v>
      </c>
      <c r="I631">
        <v>36</v>
      </c>
      <c r="J631">
        <v>320663</v>
      </c>
      <c r="K631" t="s">
        <v>26</v>
      </c>
      <c r="L631" t="s">
        <v>34</v>
      </c>
      <c r="M631" t="s">
        <v>20</v>
      </c>
      <c r="N631" t="s">
        <v>21</v>
      </c>
      <c r="O631">
        <v>0</v>
      </c>
    </row>
    <row r="632" spans="1:15">
      <c r="A632" t="s">
        <v>763</v>
      </c>
      <c r="B632">
        <v>45</v>
      </c>
      <c r="C632" t="s">
        <v>16</v>
      </c>
      <c r="D632">
        <v>1050562</v>
      </c>
      <c r="E632" t="s">
        <v>25</v>
      </c>
      <c r="F632">
        <v>354</v>
      </c>
      <c r="G632">
        <v>1195603</v>
      </c>
      <c r="H632">
        <v>9.82</v>
      </c>
      <c r="I632">
        <v>12</v>
      </c>
      <c r="J632">
        <v>321293</v>
      </c>
      <c r="K632" t="s">
        <v>11</v>
      </c>
      <c r="L632" t="s">
        <v>34</v>
      </c>
      <c r="M632" t="s">
        <v>20</v>
      </c>
      <c r="N632" t="s">
        <v>28</v>
      </c>
      <c r="O632">
        <v>1</v>
      </c>
    </row>
    <row r="633" spans="1:15">
      <c r="A633" t="s">
        <v>832</v>
      </c>
      <c r="B633">
        <v>45</v>
      </c>
      <c r="C633" t="s">
        <v>33</v>
      </c>
      <c r="D633">
        <v>1057803</v>
      </c>
      <c r="E633" t="s">
        <v>17</v>
      </c>
      <c r="F633">
        <v>561</v>
      </c>
      <c r="G633">
        <v>1201959</v>
      </c>
      <c r="H633">
        <v>11.59</v>
      </c>
      <c r="I633">
        <v>12</v>
      </c>
      <c r="J633">
        <v>321729</v>
      </c>
      <c r="K633" t="s">
        <v>23</v>
      </c>
      <c r="L633" t="s">
        <v>34</v>
      </c>
      <c r="M633" t="s">
        <v>27</v>
      </c>
      <c r="N633" t="s">
        <v>31</v>
      </c>
      <c r="O633">
        <v>1</v>
      </c>
    </row>
    <row r="634" spans="1:15">
      <c r="A634" t="s">
        <v>882</v>
      </c>
      <c r="B634">
        <v>45</v>
      </c>
      <c r="C634" t="s">
        <v>33</v>
      </c>
      <c r="D634">
        <v>1058123</v>
      </c>
      <c r="E634" t="s">
        <v>25</v>
      </c>
      <c r="F634">
        <v>839</v>
      </c>
      <c r="G634">
        <v>1203469</v>
      </c>
      <c r="H634">
        <v>12.76</v>
      </c>
      <c r="I634">
        <v>24</v>
      </c>
      <c r="J634">
        <v>321883</v>
      </c>
      <c r="K634" t="s">
        <v>11</v>
      </c>
      <c r="L634" t="s">
        <v>19</v>
      </c>
      <c r="M634" t="s">
        <v>20</v>
      </c>
      <c r="N634" t="s">
        <v>31</v>
      </c>
      <c r="O634">
        <v>0</v>
      </c>
    </row>
    <row r="635" spans="1:15">
      <c r="A635" t="s">
        <v>946</v>
      </c>
      <c r="B635">
        <v>45</v>
      </c>
      <c r="C635" t="s">
        <v>16</v>
      </c>
      <c r="D635">
        <v>1058853</v>
      </c>
      <c r="E635" t="s">
        <v>25</v>
      </c>
      <c r="F635">
        <v>516</v>
      </c>
      <c r="G635">
        <v>1208136</v>
      </c>
      <c r="H635">
        <v>8.4600000000000009</v>
      </c>
      <c r="I635">
        <v>48</v>
      </c>
      <c r="J635">
        <v>322395</v>
      </c>
      <c r="K635" t="s">
        <v>18</v>
      </c>
      <c r="L635" t="s">
        <v>19</v>
      </c>
      <c r="M635" t="s">
        <v>20</v>
      </c>
      <c r="N635" t="s">
        <v>28</v>
      </c>
      <c r="O635">
        <v>1</v>
      </c>
    </row>
    <row r="636" spans="1:15">
      <c r="A636" t="s">
        <v>955</v>
      </c>
      <c r="B636">
        <v>45</v>
      </c>
      <c r="C636" t="s">
        <v>16</v>
      </c>
      <c r="D636">
        <v>1060119</v>
      </c>
      <c r="E636" t="s">
        <v>17</v>
      </c>
      <c r="F636">
        <v>312</v>
      </c>
      <c r="G636">
        <v>1208697</v>
      </c>
      <c r="H636">
        <v>8.35</v>
      </c>
      <c r="I636">
        <v>36</v>
      </c>
      <c r="J636">
        <v>322409</v>
      </c>
      <c r="K636" t="s">
        <v>18</v>
      </c>
      <c r="L636" t="s">
        <v>19</v>
      </c>
      <c r="M636" t="s">
        <v>27</v>
      </c>
      <c r="N636" t="s">
        <v>21</v>
      </c>
      <c r="O636">
        <v>0</v>
      </c>
    </row>
    <row r="637" spans="1:15">
      <c r="A637" t="s">
        <v>963</v>
      </c>
      <c r="B637">
        <v>45</v>
      </c>
      <c r="C637" t="s">
        <v>16</v>
      </c>
      <c r="D637">
        <v>1060887</v>
      </c>
      <c r="E637" t="s">
        <v>17</v>
      </c>
      <c r="F637">
        <v>729</v>
      </c>
      <c r="G637">
        <v>1210904</v>
      </c>
      <c r="H637">
        <v>15.07</v>
      </c>
      <c r="I637">
        <v>60</v>
      </c>
      <c r="J637">
        <v>323320</v>
      </c>
      <c r="K637" t="s">
        <v>23</v>
      </c>
      <c r="L637" t="s">
        <v>34</v>
      </c>
      <c r="M637" t="s">
        <v>20</v>
      </c>
      <c r="N637" t="s">
        <v>21</v>
      </c>
      <c r="O637">
        <v>0</v>
      </c>
    </row>
    <row r="638" spans="1:15">
      <c r="A638" t="s">
        <v>35</v>
      </c>
      <c r="B638">
        <v>45</v>
      </c>
      <c r="C638" t="s">
        <v>33</v>
      </c>
      <c r="D638">
        <v>1061888</v>
      </c>
      <c r="E638" t="s">
        <v>25</v>
      </c>
      <c r="F638">
        <v>551</v>
      </c>
      <c r="G638">
        <v>1214018</v>
      </c>
      <c r="H638">
        <v>12.19</v>
      </c>
      <c r="I638">
        <v>12</v>
      </c>
      <c r="J638">
        <v>324101</v>
      </c>
      <c r="K638" t="s">
        <v>26</v>
      </c>
      <c r="L638" t="s">
        <v>19</v>
      </c>
      <c r="M638" t="s">
        <v>20</v>
      </c>
      <c r="N638" t="s">
        <v>21</v>
      </c>
      <c r="O638">
        <v>0</v>
      </c>
    </row>
    <row r="639" spans="1:15">
      <c r="A639" t="s">
        <v>111</v>
      </c>
      <c r="B639">
        <v>46</v>
      </c>
      <c r="C639" t="s">
        <v>16</v>
      </c>
      <c r="D639">
        <v>1065795</v>
      </c>
      <c r="E639" t="s">
        <v>25</v>
      </c>
      <c r="F639">
        <v>355</v>
      </c>
      <c r="G639">
        <v>1218806</v>
      </c>
      <c r="H639">
        <v>13.52</v>
      </c>
      <c r="I639">
        <v>48</v>
      </c>
      <c r="J639">
        <v>324191</v>
      </c>
      <c r="K639" t="s">
        <v>11</v>
      </c>
      <c r="L639" t="s">
        <v>34</v>
      </c>
      <c r="M639" t="s">
        <v>27</v>
      </c>
      <c r="N639" t="s">
        <v>28</v>
      </c>
      <c r="O639">
        <v>0</v>
      </c>
    </row>
    <row r="640" spans="1:15">
      <c r="A640" t="s">
        <v>121</v>
      </c>
      <c r="B640">
        <v>46</v>
      </c>
      <c r="C640" t="s">
        <v>16</v>
      </c>
      <c r="D640">
        <v>1067194</v>
      </c>
      <c r="E640" t="s">
        <v>17</v>
      </c>
      <c r="F640">
        <v>326</v>
      </c>
      <c r="G640">
        <v>1219113</v>
      </c>
      <c r="H640">
        <v>14.11</v>
      </c>
      <c r="I640">
        <v>48</v>
      </c>
      <c r="J640">
        <v>324461</v>
      </c>
      <c r="K640" t="s">
        <v>23</v>
      </c>
      <c r="L640" t="s">
        <v>19</v>
      </c>
      <c r="M640" t="s">
        <v>27</v>
      </c>
      <c r="N640" t="s">
        <v>21</v>
      </c>
      <c r="O640">
        <v>0</v>
      </c>
    </row>
    <row r="641" spans="1:15">
      <c r="A641" t="s">
        <v>178</v>
      </c>
      <c r="B641">
        <v>46</v>
      </c>
      <c r="C641" t="s">
        <v>16</v>
      </c>
      <c r="D641">
        <v>1068080</v>
      </c>
      <c r="E641" t="s">
        <v>25</v>
      </c>
      <c r="F641">
        <v>367</v>
      </c>
      <c r="G641">
        <v>1219143</v>
      </c>
      <c r="H641">
        <v>13.6</v>
      </c>
      <c r="I641">
        <v>36</v>
      </c>
      <c r="J641">
        <v>325303</v>
      </c>
      <c r="K641" t="s">
        <v>18</v>
      </c>
      <c r="L641" t="s">
        <v>19</v>
      </c>
      <c r="M641" t="s">
        <v>20</v>
      </c>
      <c r="N641" t="s">
        <v>21</v>
      </c>
      <c r="O641">
        <v>0</v>
      </c>
    </row>
    <row r="642" spans="1:15">
      <c r="A642" t="s">
        <v>189</v>
      </c>
      <c r="B642">
        <v>46</v>
      </c>
      <c r="C642" t="s">
        <v>16</v>
      </c>
      <c r="D642">
        <v>1068164</v>
      </c>
      <c r="E642" t="s">
        <v>25</v>
      </c>
      <c r="F642">
        <v>477</v>
      </c>
      <c r="G642">
        <v>1220318</v>
      </c>
      <c r="H642">
        <v>10.92</v>
      </c>
      <c r="I642">
        <v>60</v>
      </c>
      <c r="J642">
        <v>325447</v>
      </c>
      <c r="K642" t="s">
        <v>11</v>
      </c>
      <c r="L642" t="s">
        <v>19</v>
      </c>
      <c r="M642" t="s">
        <v>20</v>
      </c>
      <c r="N642" t="s">
        <v>28</v>
      </c>
      <c r="O642">
        <v>1</v>
      </c>
    </row>
    <row r="643" spans="1:15">
      <c r="A643" t="s">
        <v>349</v>
      </c>
      <c r="B643">
        <v>46</v>
      </c>
      <c r="C643" t="s">
        <v>33</v>
      </c>
      <c r="D643">
        <v>1068368</v>
      </c>
      <c r="E643" t="s">
        <v>17</v>
      </c>
      <c r="F643">
        <v>619</v>
      </c>
      <c r="G643">
        <v>1220379</v>
      </c>
      <c r="H643">
        <v>8.14</v>
      </c>
      <c r="I643">
        <v>36</v>
      </c>
      <c r="J643">
        <v>325823</v>
      </c>
      <c r="K643" t="s">
        <v>26</v>
      </c>
      <c r="L643" t="s">
        <v>34</v>
      </c>
      <c r="M643" t="s">
        <v>20</v>
      </c>
      <c r="N643" t="s">
        <v>31</v>
      </c>
      <c r="O643">
        <v>0</v>
      </c>
    </row>
    <row r="644" spans="1:15">
      <c r="A644" t="s">
        <v>419</v>
      </c>
      <c r="B644">
        <v>46</v>
      </c>
      <c r="C644" t="s">
        <v>33</v>
      </c>
      <c r="D644">
        <v>1070689</v>
      </c>
      <c r="E644" t="s">
        <v>25</v>
      </c>
      <c r="F644">
        <v>746</v>
      </c>
      <c r="G644">
        <v>1221230</v>
      </c>
      <c r="H644">
        <v>9.8800000000000008</v>
      </c>
      <c r="I644">
        <v>48</v>
      </c>
      <c r="J644">
        <v>326557</v>
      </c>
      <c r="K644" t="s">
        <v>23</v>
      </c>
      <c r="L644" t="s">
        <v>19</v>
      </c>
      <c r="M644" t="s">
        <v>27</v>
      </c>
      <c r="N644" t="s">
        <v>21</v>
      </c>
      <c r="O644">
        <v>0</v>
      </c>
    </row>
    <row r="645" spans="1:15">
      <c r="A645" t="s">
        <v>502</v>
      </c>
      <c r="B645">
        <v>46</v>
      </c>
      <c r="C645" t="s">
        <v>16</v>
      </c>
      <c r="D645">
        <v>1070922</v>
      </c>
      <c r="E645" t="s">
        <v>17</v>
      </c>
      <c r="F645">
        <v>800</v>
      </c>
      <c r="G645">
        <v>1222219</v>
      </c>
      <c r="H645">
        <v>14.7</v>
      </c>
      <c r="I645">
        <v>12</v>
      </c>
      <c r="J645">
        <v>327978</v>
      </c>
      <c r="K645" t="s">
        <v>11</v>
      </c>
      <c r="L645" t="s">
        <v>19</v>
      </c>
      <c r="M645" t="s">
        <v>27</v>
      </c>
      <c r="N645" t="s">
        <v>31</v>
      </c>
      <c r="O645">
        <v>0</v>
      </c>
    </row>
    <row r="646" spans="1:15">
      <c r="A646" t="s">
        <v>530</v>
      </c>
      <c r="B646">
        <v>46</v>
      </c>
      <c r="C646" t="s">
        <v>33</v>
      </c>
      <c r="D646">
        <v>1071900</v>
      </c>
      <c r="E646" t="s">
        <v>17</v>
      </c>
      <c r="F646">
        <v>536</v>
      </c>
      <c r="G646">
        <v>1224632</v>
      </c>
      <c r="H646">
        <v>9.4600000000000009</v>
      </c>
      <c r="I646">
        <v>12</v>
      </c>
      <c r="J646">
        <v>327996</v>
      </c>
      <c r="K646" t="s">
        <v>30</v>
      </c>
      <c r="L646" t="s">
        <v>34</v>
      </c>
      <c r="M646" t="s">
        <v>27</v>
      </c>
      <c r="N646" t="s">
        <v>28</v>
      </c>
      <c r="O646">
        <v>1</v>
      </c>
    </row>
    <row r="647" spans="1:15">
      <c r="A647" t="s">
        <v>544</v>
      </c>
      <c r="B647">
        <v>46</v>
      </c>
      <c r="C647" t="s">
        <v>33</v>
      </c>
      <c r="D647">
        <v>1072070</v>
      </c>
      <c r="E647" t="s">
        <v>17</v>
      </c>
      <c r="F647">
        <v>359</v>
      </c>
      <c r="G647">
        <v>1225086</v>
      </c>
      <c r="H647">
        <v>13.37</v>
      </c>
      <c r="I647">
        <v>36</v>
      </c>
      <c r="J647">
        <v>328214</v>
      </c>
      <c r="K647" t="s">
        <v>26</v>
      </c>
      <c r="L647" t="s">
        <v>19</v>
      </c>
      <c r="M647" t="s">
        <v>27</v>
      </c>
      <c r="N647" t="s">
        <v>21</v>
      </c>
      <c r="O647">
        <v>0</v>
      </c>
    </row>
    <row r="648" spans="1:15">
      <c r="A648" t="s">
        <v>586</v>
      </c>
      <c r="B648">
        <v>46</v>
      </c>
      <c r="C648" t="s">
        <v>33</v>
      </c>
      <c r="D648">
        <v>1072224</v>
      </c>
      <c r="E648" t="s">
        <v>17</v>
      </c>
      <c r="F648">
        <v>384</v>
      </c>
      <c r="G648">
        <v>1225111</v>
      </c>
      <c r="H648">
        <v>11.02</v>
      </c>
      <c r="I648">
        <v>48</v>
      </c>
      <c r="J648">
        <v>328468</v>
      </c>
      <c r="K648" t="s">
        <v>26</v>
      </c>
      <c r="L648" t="s">
        <v>34</v>
      </c>
      <c r="M648" t="s">
        <v>27</v>
      </c>
      <c r="N648" t="s">
        <v>31</v>
      </c>
      <c r="O648">
        <v>1</v>
      </c>
    </row>
    <row r="649" spans="1:15">
      <c r="A649" t="s">
        <v>627</v>
      </c>
      <c r="B649">
        <v>46</v>
      </c>
      <c r="C649" t="s">
        <v>16</v>
      </c>
      <c r="D649">
        <v>1072698</v>
      </c>
      <c r="E649" t="s">
        <v>17</v>
      </c>
      <c r="F649">
        <v>582</v>
      </c>
      <c r="G649">
        <v>1227052</v>
      </c>
      <c r="H649">
        <v>14.74</v>
      </c>
      <c r="I649">
        <v>12</v>
      </c>
      <c r="J649">
        <v>328561</v>
      </c>
      <c r="K649" t="s">
        <v>30</v>
      </c>
      <c r="L649" t="s">
        <v>34</v>
      </c>
      <c r="M649" t="s">
        <v>27</v>
      </c>
      <c r="N649" t="s">
        <v>31</v>
      </c>
      <c r="O649">
        <v>0</v>
      </c>
    </row>
    <row r="650" spans="1:15">
      <c r="A650" t="s">
        <v>637</v>
      </c>
      <c r="B650">
        <v>46</v>
      </c>
      <c r="C650" t="s">
        <v>33</v>
      </c>
      <c r="D650">
        <v>1072698</v>
      </c>
      <c r="E650" t="s">
        <v>25</v>
      </c>
      <c r="F650">
        <v>397</v>
      </c>
      <c r="G650">
        <v>1227509</v>
      </c>
      <c r="H650">
        <v>12.95</v>
      </c>
      <c r="I650">
        <v>48</v>
      </c>
      <c r="J650">
        <v>328921</v>
      </c>
      <c r="K650" t="s">
        <v>18</v>
      </c>
      <c r="L650" t="s">
        <v>34</v>
      </c>
      <c r="M650" t="s">
        <v>27</v>
      </c>
      <c r="N650" t="s">
        <v>28</v>
      </c>
      <c r="O650">
        <v>1</v>
      </c>
    </row>
    <row r="651" spans="1:15">
      <c r="A651" t="s">
        <v>716</v>
      </c>
      <c r="B651">
        <v>46</v>
      </c>
      <c r="C651" t="s">
        <v>16</v>
      </c>
      <c r="D651">
        <v>1073258</v>
      </c>
      <c r="E651" t="s">
        <v>17</v>
      </c>
      <c r="F651">
        <v>609</v>
      </c>
      <c r="G651">
        <v>1227709</v>
      </c>
      <c r="H651">
        <v>8.61</v>
      </c>
      <c r="I651">
        <v>60</v>
      </c>
      <c r="J651">
        <v>329494</v>
      </c>
      <c r="K651" t="s">
        <v>11</v>
      </c>
      <c r="L651" t="s">
        <v>19</v>
      </c>
      <c r="M651" t="s">
        <v>20</v>
      </c>
      <c r="N651" t="s">
        <v>31</v>
      </c>
      <c r="O651">
        <v>0</v>
      </c>
    </row>
    <row r="652" spans="1:15">
      <c r="A652" t="s">
        <v>781</v>
      </c>
      <c r="B652">
        <v>46</v>
      </c>
      <c r="C652" t="s">
        <v>33</v>
      </c>
      <c r="D652">
        <v>1073703</v>
      </c>
      <c r="E652" t="s">
        <v>17</v>
      </c>
      <c r="F652">
        <v>839</v>
      </c>
      <c r="G652">
        <v>1233439</v>
      </c>
      <c r="H652">
        <v>14.26</v>
      </c>
      <c r="I652">
        <v>60</v>
      </c>
      <c r="J652">
        <v>330004</v>
      </c>
      <c r="K652" t="s">
        <v>26</v>
      </c>
      <c r="L652" t="s">
        <v>19</v>
      </c>
      <c r="M652" t="s">
        <v>20</v>
      </c>
      <c r="N652" t="s">
        <v>21</v>
      </c>
      <c r="O652">
        <v>0</v>
      </c>
    </row>
    <row r="653" spans="1:15">
      <c r="A653" t="s">
        <v>801</v>
      </c>
      <c r="B653">
        <v>46</v>
      </c>
      <c r="C653" t="s">
        <v>33</v>
      </c>
      <c r="D653">
        <v>1075896</v>
      </c>
      <c r="E653" t="s">
        <v>25</v>
      </c>
      <c r="F653">
        <v>488</v>
      </c>
      <c r="G653">
        <v>1236751</v>
      </c>
      <c r="H653">
        <v>10.67</v>
      </c>
      <c r="I653">
        <v>12</v>
      </c>
      <c r="J653">
        <v>330294</v>
      </c>
      <c r="K653" t="s">
        <v>30</v>
      </c>
      <c r="L653" t="s">
        <v>19</v>
      </c>
      <c r="M653" t="s">
        <v>27</v>
      </c>
      <c r="N653" t="s">
        <v>31</v>
      </c>
      <c r="O653">
        <v>1</v>
      </c>
    </row>
    <row r="654" spans="1:15">
      <c r="A654" t="s">
        <v>903</v>
      </c>
      <c r="B654">
        <v>46</v>
      </c>
      <c r="C654" t="s">
        <v>16</v>
      </c>
      <c r="D654">
        <v>1079196</v>
      </c>
      <c r="E654" t="s">
        <v>25</v>
      </c>
      <c r="F654">
        <v>840</v>
      </c>
      <c r="G654">
        <v>1236964</v>
      </c>
      <c r="H654">
        <v>7.84</v>
      </c>
      <c r="I654">
        <v>60</v>
      </c>
      <c r="J654">
        <v>330406</v>
      </c>
      <c r="K654" t="s">
        <v>11</v>
      </c>
      <c r="L654" t="s">
        <v>19</v>
      </c>
      <c r="M654" t="s">
        <v>27</v>
      </c>
      <c r="N654" t="s">
        <v>31</v>
      </c>
      <c r="O654">
        <v>0</v>
      </c>
    </row>
    <row r="655" spans="1:15">
      <c r="A655" t="s">
        <v>944</v>
      </c>
      <c r="B655">
        <v>46</v>
      </c>
      <c r="C655" t="s">
        <v>16</v>
      </c>
      <c r="D655">
        <v>1079494</v>
      </c>
      <c r="E655" t="s">
        <v>17</v>
      </c>
      <c r="F655">
        <v>484</v>
      </c>
      <c r="G655">
        <v>1246239</v>
      </c>
      <c r="H655">
        <v>9.7899999999999991</v>
      </c>
      <c r="I655">
        <v>24</v>
      </c>
      <c r="J655">
        <v>330525</v>
      </c>
      <c r="K655" t="s">
        <v>11</v>
      </c>
      <c r="L655" t="s">
        <v>34</v>
      </c>
      <c r="M655" t="s">
        <v>27</v>
      </c>
      <c r="N655" t="s">
        <v>31</v>
      </c>
      <c r="O655">
        <v>0</v>
      </c>
    </row>
    <row r="656" spans="1:15">
      <c r="A656" t="s">
        <v>981</v>
      </c>
      <c r="B656">
        <v>46</v>
      </c>
      <c r="C656" t="s">
        <v>33</v>
      </c>
      <c r="D656">
        <v>1080768</v>
      </c>
      <c r="E656" t="s">
        <v>17</v>
      </c>
      <c r="F656">
        <v>516</v>
      </c>
      <c r="G656">
        <v>1246939</v>
      </c>
      <c r="H656">
        <v>11.5</v>
      </c>
      <c r="I656">
        <v>60</v>
      </c>
      <c r="J656">
        <v>331408</v>
      </c>
      <c r="K656" t="s">
        <v>26</v>
      </c>
      <c r="L656" t="s">
        <v>19</v>
      </c>
      <c r="M656" t="s">
        <v>27</v>
      </c>
      <c r="N656" t="s">
        <v>31</v>
      </c>
      <c r="O656">
        <v>0</v>
      </c>
    </row>
    <row r="657" spans="1:15">
      <c r="A657" t="s">
        <v>15</v>
      </c>
      <c r="B657">
        <v>47</v>
      </c>
      <c r="C657" t="s">
        <v>16</v>
      </c>
      <c r="D657">
        <v>1080865</v>
      </c>
      <c r="E657" t="s">
        <v>17</v>
      </c>
      <c r="F657">
        <v>615</v>
      </c>
      <c r="G657">
        <v>1248952</v>
      </c>
      <c r="H657">
        <v>13.13</v>
      </c>
      <c r="I657">
        <v>24</v>
      </c>
      <c r="J657">
        <v>331600</v>
      </c>
      <c r="K657" t="s">
        <v>18</v>
      </c>
      <c r="L657" t="s">
        <v>19</v>
      </c>
      <c r="M657" t="s">
        <v>20</v>
      </c>
      <c r="N657" t="s">
        <v>21</v>
      </c>
      <c r="O657">
        <v>1</v>
      </c>
    </row>
    <row r="658" spans="1:15">
      <c r="A658" t="s">
        <v>53</v>
      </c>
      <c r="B658">
        <v>47</v>
      </c>
      <c r="C658" t="s">
        <v>33</v>
      </c>
      <c r="D658">
        <v>1083027</v>
      </c>
      <c r="E658" t="s">
        <v>25</v>
      </c>
      <c r="F658">
        <v>447</v>
      </c>
      <c r="G658">
        <v>1250979</v>
      </c>
      <c r="H658">
        <v>8.35</v>
      </c>
      <c r="I658">
        <v>12</v>
      </c>
      <c r="J658">
        <v>332449</v>
      </c>
      <c r="K658" t="s">
        <v>26</v>
      </c>
      <c r="L658" t="s">
        <v>19</v>
      </c>
      <c r="M658" t="s">
        <v>20</v>
      </c>
      <c r="N658" t="s">
        <v>21</v>
      </c>
      <c r="O658">
        <v>0</v>
      </c>
    </row>
    <row r="659" spans="1:15">
      <c r="A659" t="s">
        <v>123</v>
      </c>
      <c r="B659">
        <v>47</v>
      </c>
      <c r="C659" t="s">
        <v>33</v>
      </c>
      <c r="D659">
        <v>1083784</v>
      </c>
      <c r="E659" t="s">
        <v>17</v>
      </c>
      <c r="F659">
        <v>620</v>
      </c>
      <c r="G659">
        <v>1255009</v>
      </c>
      <c r="H659">
        <v>9.9</v>
      </c>
      <c r="I659">
        <v>60</v>
      </c>
      <c r="J659">
        <v>332537</v>
      </c>
      <c r="K659" t="s">
        <v>26</v>
      </c>
      <c r="L659" t="s">
        <v>19</v>
      </c>
      <c r="M659" t="s">
        <v>27</v>
      </c>
      <c r="N659" t="s">
        <v>28</v>
      </c>
      <c r="O659">
        <v>0</v>
      </c>
    </row>
    <row r="660" spans="1:15">
      <c r="A660" t="s">
        <v>139</v>
      </c>
      <c r="B660">
        <v>47</v>
      </c>
      <c r="C660" t="s">
        <v>33</v>
      </c>
      <c r="D660">
        <v>1085486</v>
      </c>
      <c r="E660" t="s">
        <v>17</v>
      </c>
      <c r="F660">
        <v>437</v>
      </c>
      <c r="G660">
        <v>1256151</v>
      </c>
      <c r="H660">
        <v>14.49</v>
      </c>
      <c r="I660">
        <v>36</v>
      </c>
      <c r="J660">
        <v>334985</v>
      </c>
      <c r="K660" t="s">
        <v>30</v>
      </c>
      <c r="L660" t="s">
        <v>34</v>
      </c>
      <c r="M660" t="s">
        <v>27</v>
      </c>
      <c r="N660" t="s">
        <v>31</v>
      </c>
      <c r="O660">
        <v>1</v>
      </c>
    </row>
    <row r="661" spans="1:15">
      <c r="A661" t="s">
        <v>144</v>
      </c>
      <c r="B661">
        <v>47</v>
      </c>
      <c r="C661" t="s">
        <v>33</v>
      </c>
      <c r="D661">
        <v>1087855</v>
      </c>
      <c r="E661" t="s">
        <v>25</v>
      </c>
      <c r="F661">
        <v>755</v>
      </c>
      <c r="G661">
        <v>1256863</v>
      </c>
      <c r="H661">
        <v>12.74</v>
      </c>
      <c r="I661">
        <v>12</v>
      </c>
      <c r="J661">
        <v>336270</v>
      </c>
      <c r="K661" t="s">
        <v>18</v>
      </c>
      <c r="L661" t="s">
        <v>34</v>
      </c>
      <c r="M661" t="s">
        <v>20</v>
      </c>
      <c r="N661" t="s">
        <v>31</v>
      </c>
      <c r="O661">
        <v>0</v>
      </c>
    </row>
    <row r="662" spans="1:15">
      <c r="A662" t="s">
        <v>157</v>
      </c>
      <c r="B662">
        <v>47</v>
      </c>
      <c r="C662" t="s">
        <v>16</v>
      </c>
      <c r="D662">
        <v>1088376</v>
      </c>
      <c r="E662" t="s">
        <v>25</v>
      </c>
      <c r="F662">
        <v>569</v>
      </c>
      <c r="G662">
        <v>1257310</v>
      </c>
      <c r="H662">
        <v>16.2</v>
      </c>
      <c r="I662">
        <v>48</v>
      </c>
      <c r="J662">
        <v>336312</v>
      </c>
      <c r="K662" t="s">
        <v>23</v>
      </c>
      <c r="L662" t="s">
        <v>34</v>
      </c>
      <c r="M662" t="s">
        <v>20</v>
      </c>
      <c r="N662" t="s">
        <v>21</v>
      </c>
      <c r="O662">
        <v>1</v>
      </c>
    </row>
    <row r="663" spans="1:15">
      <c r="A663" t="s">
        <v>173</v>
      </c>
      <c r="B663">
        <v>47</v>
      </c>
      <c r="C663" t="s">
        <v>16</v>
      </c>
      <c r="D663">
        <v>1089716</v>
      </c>
      <c r="E663" t="s">
        <v>17</v>
      </c>
      <c r="F663">
        <v>370</v>
      </c>
      <c r="G663">
        <v>1264656</v>
      </c>
      <c r="H663">
        <v>9.1999999999999993</v>
      </c>
      <c r="I663">
        <v>36</v>
      </c>
      <c r="J663">
        <v>337265</v>
      </c>
      <c r="K663" t="s">
        <v>26</v>
      </c>
      <c r="L663" t="s">
        <v>34</v>
      </c>
      <c r="M663" t="s">
        <v>20</v>
      </c>
      <c r="N663" t="s">
        <v>28</v>
      </c>
      <c r="O663">
        <v>0</v>
      </c>
    </row>
    <row r="664" spans="1:15">
      <c r="A664" t="s">
        <v>176</v>
      </c>
      <c r="B664">
        <v>47</v>
      </c>
      <c r="C664" t="s">
        <v>33</v>
      </c>
      <c r="D664">
        <v>1094988</v>
      </c>
      <c r="E664" t="s">
        <v>17</v>
      </c>
      <c r="F664">
        <v>413</v>
      </c>
      <c r="G664">
        <v>1273654</v>
      </c>
      <c r="H664">
        <v>16</v>
      </c>
      <c r="I664">
        <v>36</v>
      </c>
      <c r="J664">
        <v>337666</v>
      </c>
      <c r="K664" t="s">
        <v>11</v>
      </c>
      <c r="L664" t="s">
        <v>34</v>
      </c>
      <c r="M664" t="s">
        <v>20</v>
      </c>
      <c r="N664" t="s">
        <v>31</v>
      </c>
      <c r="O664">
        <v>0</v>
      </c>
    </row>
    <row r="665" spans="1:15">
      <c r="A665" t="s">
        <v>196</v>
      </c>
      <c r="B665">
        <v>47</v>
      </c>
      <c r="C665" t="s">
        <v>16</v>
      </c>
      <c r="D665">
        <v>1095576</v>
      </c>
      <c r="E665" t="s">
        <v>17</v>
      </c>
      <c r="F665">
        <v>863</v>
      </c>
      <c r="G665">
        <v>1278789</v>
      </c>
      <c r="H665">
        <v>14.16</v>
      </c>
      <c r="I665">
        <v>36</v>
      </c>
      <c r="J665">
        <v>337790</v>
      </c>
      <c r="K665" t="s">
        <v>18</v>
      </c>
      <c r="L665" t="s">
        <v>34</v>
      </c>
      <c r="M665" t="s">
        <v>20</v>
      </c>
      <c r="N665" t="s">
        <v>21</v>
      </c>
      <c r="O665">
        <v>0</v>
      </c>
    </row>
    <row r="666" spans="1:15">
      <c r="A666" t="s">
        <v>205</v>
      </c>
      <c r="B666">
        <v>47</v>
      </c>
      <c r="C666" t="s">
        <v>33</v>
      </c>
      <c r="D666">
        <v>1098547</v>
      </c>
      <c r="E666" t="s">
        <v>17</v>
      </c>
      <c r="F666">
        <v>379</v>
      </c>
      <c r="G666">
        <v>1279077</v>
      </c>
      <c r="H666">
        <v>11.11</v>
      </c>
      <c r="I666">
        <v>36</v>
      </c>
      <c r="J666">
        <v>338474</v>
      </c>
      <c r="K666" t="s">
        <v>26</v>
      </c>
      <c r="L666" t="s">
        <v>34</v>
      </c>
      <c r="M666" t="s">
        <v>20</v>
      </c>
      <c r="N666" t="s">
        <v>31</v>
      </c>
      <c r="O666">
        <v>0</v>
      </c>
    </row>
    <row r="667" spans="1:15">
      <c r="A667" t="s">
        <v>213</v>
      </c>
      <c r="B667">
        <v>47</v>
      </c>
      <c r="C667" t="s">
        <v>33</v>
      </c>
      <c r="D667">
        <v>1098783</v>
      </c>
      <c r="E667" t="s">
        <v>17</v>
      </c>
      <c r="F667">
        <v>558</v>
      </c>
      <c r="G667">
        <v>1283710</v>
      </c>
      <c r="H667">
        <v>9.5500000000000007</v>
      </c>
      <c r="I667">
        <v>48</v>
      </c>
      <c r="J667">
        <v>338480</v>
      </c>
      <c r="K667" t="s">
        <v>26</v>
      </c>
      <c r="L667" t="s">
        <v>19</v>
      </c>
      <c r="M667" t="s">
        <v>27</v>
      </c>
      <c r="N667" t="s">
        <v>21</v>
      </c>
      <c r="O667">
        <v>0</v>
      </c>
    </row>
    <row r="668" spans="1:15">
      <c r="A668" t="s">
        <v>235</v>
      </c>
      <c r="B668">
        <v>47</v>
      </c>
      <c r="C668" t="s">
        <v>33</v>
      </c>
      <c r="D668">
        <v>1102300</v>
      </c>
      <c r="E668" t="s">
        <v>25</v>
      </c>
      <c r="F668">
        <v>871</v>
      </c>
      <c r="G668">
        <v>1283968</v>
      </c>
      <c r="H668">
        <v>13.61</v>
      </c>
      <c r="I668">
        <v>48</v>
      </c>
      <c r="J668">
        <v>339043</v>
      </c>
      <c r="K668" t="s">
        <v>11</v>
      </c>
      <c r="L668" t="s">
        <v>19</v>
      </c>
      <c r="M668" t="s">
        <v>27</v>
      </c>
      <c r="N668" t="s">
        <v>28</v>
      </c>
      <c r="O668">
        <v>0</v>
      </c>
    </row>
    <row r="669" spans="1:15">
      <c r="A669" t="s">
        <v>298</v>
      </c>
      <c r="B669">
        <v>47</v>
      </c>
      <c r="C669" t="s">
        <v>33</v>
      </c>
      <c r="D669">
        <v>1104472</v>
      </c>
      <c r="E669" t="s">
        <v>17</v>
      </c>
      <c r="F669">
        <v>303</v>
      </c>
      <c r="G669">
        <v>1286632</v>
      </c>
      <c r="H669">
        <v>16.079999999999998</v>
      </c>
      <c r="I669">
        <v>12</v>
      </c>
      <c r="J669">
        <v>340353</v>
      </c>
      <c r="K669" t="s">
        <v>26</v>
      </c>
      <c r="L669" t="s">
        <v>19</v>
      </c>
      <c r="M669" t="s">
        <v>20</v>
      </c>
      <c r="N669" t="s">
        <v>31</v>
      </c>
      <c r="O669">
        <v>0</v>
      </c>
    </row>
    <row r="670" spans="1:15">
      <c r="A670" t="s">
        <v>344</v>
      </c>
      <c r="B670">
        <v>47</v>
      </c>
      <c r="C670" t="s">
        <v>33</v>
      </c>
      <c r="D670">
        <v>1104840</v>
      </c>
      <c r="E670" t="s">
        <v>17</v>
      </c>
      <c r="F670">
        <v>642</v>
      </c>
      <c r="G670">
        <v>1292014</v>
      </c>
      <c r="H670">
        <v>13.41</v>
      </c>
      <c r="I670">
        <v>36</v>
      </c>
      <c r="J670">
        <v>340897</v>
      </c>
      <c r="K670" t="s">
        <v>18</v>
      </c>
      <c r="L670" t="s">
        <v>19</v>
      </c>
      <c r="M670" t="s">
        <v>20</v>
      </c>
      <c r="N670" t="s">
        <v>21</v>
      </c>
      <c r="O670">
        <v>0</v>
      </c>
    </row>
    <row r="671" spans="1:15">
      <c r="A671" t="s">
        <v>370</v>
      </c>
      <c r="B671">
        <v>47</v>
      </c>
      <c r="C671" t="s">
        <v>33</v>
      </c>
      <c r="D671">
        <v>1105399</v>
      </c>
      <c r="E671" t="s">
        <v>17</v>
      </c>
      <c r="F671">
        <v>757</v>
      </c>
      <c r="G671">
        <v>1292041</v>
      </c>
      <c r="H671">
        <v>12.75</v>
      </c>
      <c r="I671">
        <v>36</v>
      </c>
      <c r="J671">
        <v>341150</v>
      </c>
      <c r="K671" t="s">
        <v>23</v>
      </c>
      <c r="L671" t="s">
        <v>34</v>
      </c>
      <c r="M671" t="s">
        <v>20</v>
      </c>
      <c r="N671" t="s">
        <v>28</v>
      </c>
      <c r="O671">
        <v>0</v>
      </c>
    </row>
    <row r="672" spans="1:15">
      <c r="A672" t="s">
        <v>422</v>
      </c>
      <c r="B672">
        <v>47</v>
      </c>
      <c r="C672" t="s">
        <v>33</v>
      </c>
      <c r="D672">
        <v>1105630</v>
      </c>
      <c r="E672" t="s">
        <v>17</v>
      </c>
      <c r="F672">
        <v>488</v>
      </c>
      <c r="G672">
        <v>1294388</v>
      </c>
      <c r="H672">
        <v>8.0299999999999994</v>
      </c>
      <c r="I672">
        <v>48</v>
      </c>
      <c r="J672">
        <v>341172</v>
      </c>
      <c r="K672" t="s">
        <v>30</v>
      </c>
      <c r="L672" t="s">
        <v>19</v>
      </c>
      <c r="M672" t="s">
        <v>27</v>
      </c>
      <c r="N672" t="s">
        <v>28</v>
      </c>
      <c r="O672">
        <v>1</v>
      </c>
    </row>
    <row r="673" spans="1:15">
      <c r="A673" t="s">
        <v>522</v>
      </c>
      <c r="B673">
        <v>47</v>
      </c>
      <c r="C673" t="s">
        <v>33</v>
      </c>
      <c r="D673">
        <v>1106535</v>
      </c>
      <c r="E673" t="s">
        <v>17</v>
      </c>
      <c r="F673">
        <v>895</v>
      </c>
      <c r="G673">
        <v>1295179</v>
      </c>
      <c r="H673">
        <v>13.91</v>
      </c>
      <c r="I673">
        <v>48</v>
      </c>
      <c r="J673">
        <v>341690</v>
      </c>
      <c r="K673" t="s">
        <v>18</v>
      </c>
      <c r="L673" t="s">
        <v>34</v>
      </c>
      <c r="M673" t="s">
        <v>27</v>
      </c>
      <c r="N673" t="s">
        <v>31</v>
      </c>
      <c r="O673">
        <v>0</v>
      </c>
    </row>
    <row r="674" spans="1:15">
      <c r="A674" t="s">
        <v>563</v>
      </c>
      <c r="B674">
        <v>47</v>
      </c>
      <c r="C674" t="s">
        <v>16</v>
      </c>
      <c r="D674">
        <v>1108243</v>
      </c>
      <c r="E674" t="s">
        <v>25</v>
      </c>
      <c r="F674">
        <v>737</v>
      </c>
      <c r="G674">
        <v>1297195</v>
      </c>
      <c r="H674">
        <v>8.9499999999999993</v>
      </c>
      <c r="I674">
        <v>60</v>
      </c>
      <c r="J674">
        <v>341741</v>
      </c>
      <c r="K674" t="s">
        <v>23</v>
      </c>
      <c r="L674" t="s">
        <v>34</v>
      </c>
      <c r="M674" t="s">
        <v>20</v>
      </c>
      <c r="N674" t="s">
        <v>28</v>
      </c>
      <c r="O674">
        <v>0</v>
      </c>
    </row>
    <row r="675" spans="1:15">
      <c r="A675" t="s">
        <v>609</v>
      </c>
      <c r="B675">
        <v>47</v>
      </c>
      <c r="C675" t="s">
        <v>16</v>
      </c>
      <c r="D675">
        <v>1108848</v>
      </c>
      <c r="E675" t="s">
        <v>25</v>
      </c>
      <c r="F675">
        <v>493</v>
      </c>
      <c r="G675">
        <v>1299571</v>
      </c>
      <c r="H675">
        <v>9.41</v>
      </c>
      <c r="I675">
        <v>48</v>
      </c>
      <c r="J675">
        <v>341764</v>
      </c>
      <c r="K675" t="s">
        <v>23</v>
      </c>
      <c r="L675" t="s">
        <v>34</v>
      </c>
      <c r="M675" t="s">
        <v>27</v>
      </c>
      <c r="N675" t="s">
        <v>21</v>
      </c>
      <c r="O675">
        <v>1</v>
      </c>
    </row>
    <row r="676" spans="1:15">
      <c r="A676" t="s">
        <v>641</v>
      </c>
      <c r="B676">
        <v>47</v>
      </c>
      <c r="C676" t="s">
        <v>33</v>
      </c>
      <c r="D676">
        <v>1111800</v>
      </c>
      <c r="E676" t="s">
        <v>17</v>
      </c>
      <c r="F676">
        <v>458</v>
      </c>
      <c r="G676">
        <v>1306279</v>
      </c>
      <c r="H676">
        <v>10.78</v>
      </c>
      <c r="I676">
        <v>60</v>
      </c>
      <c r="J676">
        <v>341791</v>
      </c>
      <c r="K676" t="s">
        <v>11</v>
      </c>
      <c r="L676" t="s">
        <v>19</v>
      </c>
      <c r="M676" t="s">
        <v>27</v>
      </c>
      <c r="N676" t="s">
        <v>31</v>
      </c>
      <c r="O676">
        <v>0</v>
      </c>
    </row>
    <row r="677" spans="1:15">
      <c r="A677" t="s">
        <v>668</v>
      </c>
      <c r="B677">
        <v>47</v>
      </c>
      <c r="C677" t="s">
        <v>16</v>
      </c>
      <c r="D677">
        <v>1111809</v>
      </c>
      <c r="E677" t="s">
        <v>17</v>
      </c>
      <c r="F677">
        <v>411</v>
      </c>
      <c r="G677">
        <v>1309799</v>
      </c>
      <c r="H677">
        <v>12.52</v>
      </c>
      <c r="I677">
        <v>36</v>
      </c>
      <c r="J677">
        <v>341906</v>
      </c>
      <c r="K677" t="s">
        <v>11</v>
      </c>
      <c r="L677" t="s">
        <v>34</v>
      </c>
      <c r="M677" t="s">
        <v>20</v>
      </c>
      <c r="N677" t="s">
        <v>28</v>
      </c>
      <c r="O677">
        <v>1</v>
      </c>
    </row>
    <row r="678" spans="1:15">
      <c r="A678" t="s">
        <v>715</v>
      </c>
      <c r="B678">
        <v>47</v>
      </c>
      <c r="C678" t="s">
        <v>33</v>
      </c>
      <c r="D678">
        <v>1112216</v>
      </c>
      <c r="E678" t="s">
        <v>25</v>
      </c>
      <c r="F678">
        <v>759</v>
      </c>
      <c r="G678">
        <v>1311670</v>
      </c>
      <c r="H678">
        <v>16.21</v>
      </c>
      <c r="I678">
        <v>24</v>
      </c>
      <c r="J678">
        <v>342311</v>
      </c>
      <c r="K678" t="s">
        <v>18</v>
      </c>
      <c r="L678" t="s">
        <v>34</v>
      </c>
      <c r="M678" t="s">
        <v>20</v>
      </c>
      <c r="N678" t="s">
        <v>28</v>
      </c>
      <c r="O678">
        <v>0</v>
      </c>
    </row>
    <row r="679" spans="1:15">
      <c r="A679" t="s">
        <v>732</v>
      </c>
      <c r="B679">
        <v>47</v>
      </c>
      <c r="C679" t="s">
        <v>16</v>
      </c>
      <c r="D679">
        <v>1112306</v>
      </c>
      <c r="E679" t="s">
        <v>25</v>
      </c>
      <c r="F679">
        <v>623</v>
      </c>
      <c r="G679">
        <v>1312219</v>
      </c>
      <c r="H679">
        <v>7.79</v>
      </c>
      <c r="I679">
        <v>12</v>
      </c>
      <c r="J679">
        <v>343608</v>
      </c>
      <c r="K679" t="s">
        <v>23</v>
      </c>
      <c r="L679" t="s">
        <v>34</v>
      </c>
      <c r="M679" t="s">
        <v>20</v>
      </c>
      <c r="N679" t="s">
        <v>21</v>
      </c>
      <c r="O679">
        <v>1</v>
      </c>
    </row>
    <row r="680" spans="1:15">
      <c r="A680" t="s">
        <v>807</v>
      </c>
      <c r="B680">
        <v>47</v>
      </c>
      <c r="C680" t="s">
        <v>33</v>
      </c>
      <c r="D680">
        <v>1112377</v>
      </c>
      <c r="E680" t="s">
        <v>17</v>
      </c>
      <c r="F680">
        <v>476</v>
      </c>
      <c r="G680">
        <v>1312428</v>
      </c>
      <c r="H680">
        <v>8.7899999999999991</v>
      </c>
      <c r="I680">
        <v>36</v>
      </c>
      <c r="J680">
        <v>343724</v>
      </c>
      <c r="K680" t="s">
        <v>23</v>
      </c>
      <c r="L680" t="s">
        <v>19</v>
      </c>
      <c r="M680" t="s">
        <v>20</v>
      </c>
      <c r="N680" t="s">
        <v>28</v>
      </c>
      <c r="O680">
        <v>0</v>
      </c>
    </row>
    <row r="681" spans="1:15">
      <c r="A681" t="s">
        <v>826</v>
      </c>
      <c r="B681">
        <v>47</v>
      </c>
      <c r="C681" t="s">
        <v>16</v>
      </c>
      <c r="D681">
        <v>1112644</v>
      </c>
      <c r="E681" t="s">
        <v>25</v>
      </c>
      <c r="F681">
        <v>481</v>
      </c>
      <c r="G681">
        <v>1312890</v>
      </c>
      <c r="H681">
        <v>9.92</v>
      </c>
      <c r="I681">
        <v>12</v>
      </c>
      <c r="J681">
        <v>343738</v>
      </c>
      <c r="K681" t="s">
        <v>26</v>
      </c>
      <c r="L681" t="s">
        <v>19</v>
      </c>
      <c r="M681" t="s">
        <v>20</v>
      </c>
      <c r="N681" t="s">
        <v>28</v>
      </c>
      <c r="O681">
        <v>1</v>
      </c>
    </row>
    <row r="682" spans="1:15">
      <c r="A682" t="s">
        <v>893</v>
      </c>
      <c r="B682">
        <v>47</v>
      </c>
      <c r="C682" t="s">
        <v>33</v>
      </c>
      <c r="D682">
        <v>1112766</v>
      </c>
      <c r="E682" t="s">
        <v>25</v>
      </c>
      <c r="F682">
        <v>589</v>
      </c>
      <c r="G682">
        <v>1315079</v>
      </c>
      <c r="H682">
        <v>11.85</v>
      </c>
      <c r="I682">
        <v>60</v>
      </c>
      <c r="J682">
        <v>344680</v>
      </c>
      <c r="K682" t="s">
        <v>11</v>
      </c>
      <c r="L682" t="s">
        <v>34</v>
      </c>
      <c r="M682" t="s">
        <v>20</v>
      </c>
      <c r="N682" t="s">
        <v>31</v>
      </c>
      <c r="O682">
        <v>0</v>
      </c>
    </row>
    <row r="683" spans="1:15">
      <c r="A683" t="s">
        <v>909</v>
      </c>
      <c r="B683">
        <v>47</v>
      </c>
      <c r="C683" t="s">
        <v>16</v>
      </c>
      <c r="D683">
        <v>1114224</v>
      </c>
      <c r="E683" t="s">
        <v>17</v>
      </c>
      <c r="F683">
        <v>877</v>
      </c>
      <c r="G683">
        <v>1317296</v>
      </c>
      <c r="H683">
        <v>11.53</v>
      </c>
      <c r="I683">
        <v>12</v>
      </c>
      <c r="J683">
        <v>345619</v>
      </c>
      <c r="K683" t="s">
        <v>30</v>
      </c>
      <c r="L683" t="s">
        <v>19</v>
      </c>
      <c r="M683" t="s">
        <v>20</v>
      </c>
      <c r="N683" t="s">
        <v>31</v>
      </c>
      <c r="O683">
        <v>0</v>
      </c>
    </row>
    <row r="684" spans="1:15">
      <c r="A684" t="s">
        <v>926</v>
      </c>
      <c r="B684">
        <v>47</v>
      </c>
      <c r="C684" t="s">
        <v>33</v>
      </c>
      <c r="D684">
        <v>1114744</v>
      </c>
      <c r="E684" t="s">
        <v>25</v>
      </c>
      <c r="F684">
        <v>518</v>
      </c>
      <c r="G684">
        <v>1318110</v>
      </c>
      <c r="H684">
        <v>16.440000000000001</v>
      </c>
      <c r="I684">
        <v>24</v>
      </c>
      <c r="J684">
        <v>345978</v>
      </c>
      <c r="K684" t="s">
        <v>11</v>
      </c>
      <c r="L684" t="s">
        <v>19</v>
      </c>
      <c r="M684" t="s">
        <v>27</v>
      </c>
      <c r="N684" t="s">
        <v>28</v>
      </c>
      <c r="O684">
        <v>0</v>
      </c>
    </row>
    <row r="685" spans="1:15">
      <c r="A685" t="s">
        <v>1000</v>
      </c>
      <c r="B685">
        <v>47</v>
      </c>
      <c r="C685" t="s">
        <v>33</v>
      </c>
      <c r="D685">
        <v>1115159</v>
      </c>
      <c r="E685" t="s">
        <v>17</v>
      </c>
      <c r="G685">
        <v>1320551</v>
      </c>
      <c r="H685">
        <v>9.1199999999999992</v>
      </c>
      <c r="I685">
        <v>60</v>
      </c>
      <c r="J685">
        <v>346154</v>
      </c>
      <c r="K685" t="s">
        <v>26</v>
      </c>
      <c r="L685" t="s">
        <v>34</v>
      </c>
      <c r="M685" t="s">
        <v>27</v>
      </c>
      <c r="N685" t="s">
        <v>21</v>
      </c>
      <c r="O685">
        <v>0</v>
      </c>
    </row>
    <row r="686" spans="1:15">
      <c r="A686" t="s">
        <v>1014</v>
      </c>
      <c r="B686">
        <v>47</v>
      </c>
      <c r="C686" t="s">
        <v>16</v>
      </c>
      <c r="D686">
        <v>1116209</v>
      </c>
      <c r="E686" t="s">
        <v>25</v>
      </c>
      <c r="F686">
        <v>527</v>
      </c>
      <c r="G686">
        <v>1323164</v>
      </c>
      <c r="H686">
        <v>9.89</v>
      </c>
      <c r="I686">
        <v>48</v>
      </c>
      <c r="J686">
        <v>346447</v>
      </c>
      <c r="K686" t="s">
        <v>18</v>
      </c>
      <c r="L686" t="s">
        <v>34</v>
      </c>
      <c r="M686" t="s">
        <v>20</v>
      </c>
      <c r="N686" t="s">
        <v>28</v>
      </c>
      <c r="O686">
        <v>1</v>
      </c>
    </row>
    <row r="687" spans="1:15">
      <c r="A687" t="s">
        <v>15</v>
      </c>
      <c r="B687">
        <v>47</v>
      </c>
      <c r="C687" t="s">
        <v>16</v>
      </c>
      <c r="D687">
        <v>1116497</v>
      </c>
      <c r="E687" t="s">
        <v>17</v>
      </c>
      <c r="F687">
        <v>615</v>
      </c>
      <c r="G687">
        <v>1324916</v>
      </c>
      <c r="H687">
        <v>13.13</v>
      </c>
      <c r="I687">
        <v>24</v>
      </c>
      <c r="J687">
        <v>346470</v>
      </c>
      <c r="K687" t="s">
        <v>18</v>
      </c>
      <c r="L687" t="s">
        <v>19</v>
      </c>
      <c r="M687" t="s">
        <v>20</v>
      </c>
      <c r="N687" t="s">
        <v>21</v>
      </c>
      <c r="O687">
        <v>1</v>
      </c>
    </row>
    <row r="688" spans="1:15">
      <c r="A688" t="s">
        <v>32</v>
      </c>
      <c r="B688">
        <v>48</v>
      </c>
      <c r="C688" t="s">
        <v>33</v>
      </c>
      <c r="D688">
        <v>1116509</v>
      </c>
      <c r="E688" t="s">
        <v>25</v>
      </c>
      <c r="F688">
        <v>327</v>
      </c>
      <c r="G688">
        <v>1326123</v>
      </c>
      <c r="H688">
        <v>9.69</v>
      </c>
      <c r="I688">
        <v>24</v>
      </c>
      <c r="J688">
        <v>347241</v>
      </c>
      <c r="K688" t="s">
        <v>26</v>
      </c>
      <c r="L688" t="s">
        <v>34</v>
      </c>
      <c r="M688" t="s">
        <v>20</v>
      </c>
      <c r="N688" t="s">
        <v>21</v>
      </c>
      <c r="O688">
        <v>0</v>
      </c>
    </row>
    <row r="689" spans="1:15">
      <c r="A689" t="s">
        <v>37</v>
      </c>
      <c r="B689">
        <v>48</v>
      </c>
      <c r="C689" t="s">
        <v>33</v>
      </c>
      <c r="D689">
        <v>1118456</v>
      </c>
      <c r="E689" t="s">
        <v>17</v>
      </c>
      <c r="G689">
        <v>1327043</v>
      </c>
      <c r="H689">
        <v>12.16</v>
      </c>
      <c r="I689">
        <v>12</v>
      </c>
      <c r="J689">
        <v>347838</v>
      </c>
      <c r="K689" t="s">
        <v>11</v>
      </c>
      <c r="L689" t="s">
        <v>34</v>
      </c>
      <c r="M689" t="s">
        <v>20</v>
      </c>
      <c r="N689" t="s">
        <v>21</v>
      </c>
      <c r="O689">
        <v>1</v>
      </c>
    </row>
    <row r="690" spans="1:15">
      <c r="A690" t="s">
        <v>48</v>
      </c>
      <c r="B690">
        <v>48</v>
      </c>
      <c r="C690" t="s">
        <v>33</v>
      </c>
      <c r="D690">
        <v>1120941</v>
      </c>
      <c r="E690" t="s">
        <v>17</v>
      </c>
      <c r="F690">
        <v>384</v>
      </c>
      <c r="G690">
        <v>1327154</v>
      </c>
      <c r="H690">
        <v>11.88</v>
      </c>
      <c r="I690">
        <v>24</v>
      </c>
      <c r="J690">
        <v>348384</v>
      </c>
      <c r="K690" t="s">
        <v>18</v>
      </c>
      <c r="L690" t="s">
        <v>34</v>
      </c>
      <c r="M690" t="s">
        <v>27</v>
      </c>
      <c r="N690" t="s">
        <v>21</v>
      </c>
      <c r="O690">
        <v>1</v>
      </c>
    </row>
    <row r="691" spans="1:15">
      <c r="A691" t="s">
        <v>68</v>
      </c>
      <c r="B691">
        <v>48</v>
      </c>
      <c r="C691" t="s">
        <v>33</v>
      </c>
      <c r="D691">
        <v>1122880</v>
      </c>
      <c r="E691" t="s">
        <v>17</v>
      </c>
      <c r="F691">
        <v>397</v>
      </c>
      <c r="G691">
        <v>1330803</v>
      </c>
      <c r="H691">
        <v>10.050000000000001</v>
      </c>
      <c r="I691">
        <v>24</v>
      </c>
      <c r="J691">
        <v>349795</v>
      </c>
      <c r="K691" t="s">
        <v>18</v>
      </c>
      <c r="L691" t="s">
        <v>34</v>
      </c>
      <c r="M691" t="s">
        <v>27</v>
      </c>
      <c r="N691" t="s">
        <v>28</v>
      </c>
      <c r="O691">
        <v>1</v>
      </c>
    </row>
    <row r="692" spans="1:15">
      <c r="A692" t="s">
        <v>91</v>
      </c>
      <c r="B692">
        <v>48</v>
      </c>
      <c r="C692" t="s">
        <v>16</v>
      </c>
      <c r="D692">
        <v>1123763</v>
      </c>
      <c r="E692" t="s">
        <v>25</v>
      </c>
      <c r="F692">
        <v>478</v>
      </c>
      <c r="G692">
        <v>1331344</v>
      </c>
      <c r="H692">
        <v>12.32</v>
      </c>
      <c r="I692">
        <v>48</v>
      </c>
      <c r="J692">
        <v>349924</v>
      </c>
      <c r="K692" t="s">
        <v>23</v>
      </c>
      <c r="L692" t="s">
        <v>19</v>
      </c>
      <c r="M692" t="s">
        <v>20</v>
      </c>
      <c r="N692" t="s">
        <v>31</v>
      </c>
      <c r="O692">
        <v>0</v>
      </c>
    </row>
    <row r="693" spans="1:15">
      <c r="A693" t="s">
        <v>92</v>
      </c>
      <c r="B693">
        <v>48</v>
      </c>
      <c r="C693" t="s">
        <v>16</v>
      </c>
      <c r="D693">
        <v>1125402</v>
      </c>
      <c r="E693" t="s">
        <v>17</v>
      </c>
      <c r="F693">
        <v>387</v>
      </c>
      <c r="G693">
        <v>1334927</v>
      </c>
      <c r="H693">
        <v>10.029999999999999</v>
      </c>
      <c r="I693">
        <v>48</v>
      </c>
      <c r="J693">
        <v>350323</v>
      </c>
      <c r="K693" t="s">
        <v>30</v>
      </c>
      <c r="L693" t="s">
        <v>19</v>
      </c>
      <c r="M693" t="s">
        <v>27</v>
      </c>
      <c r="N693" t="s">
        <v>31</v>
      </c>
      <c r="O693">
        <v>0</v>
      </c>
    </row>
    <row r="694" spans="1:15">
      <c r="A694" t="s">
        <v>143</v>
      </c>
      <c r="B694">
        <v>48</v>
      </c>
      <c r="C694" t="s">
        <v>16</v>
      </c>
      <c r="D694">
        <v>1125922</v>
      </c>
      <c r="E694" t="s">
        <v>25</v>
      </c>
      <c r="F694">
        <v>740</v>
      </c>
      <c r="G694">
        <v>1345671</v>
      </c>
      <c r="H694">
        <v>12.65</v>
      </c>
      <c r="I694">
        <v>60</v>
      </c>
      <c r="J694">
        <v>351011</v>
      </c>
      <c r="K694" t="s">
        <v>26</v>
      </c>
      <c r="L694" t="s">
        <v>34</v>
      </c>
      <c r="M694" t="s">
        <v>27</v>
      </c>
      <c r="N694" t="s">
        <v>31</v>
      </c>
      <c r="O694">
        <v>0</v>
      </c>
    </row>
    <row r="695" spans="1:15">
      <c r="A695" t="s">
        <v>163</v>
      </c>
      <c r="B695">
        <v>48</v>
      </c>
      <c r="C695" t="s">
        <v>33</v>
      </c>
      <c r="D695">
        <v>1125922</v>
      </c>
      <c r="E695" t="s">
        <v>17</v>
      </c>
      <c r="F695">
        <v>885</v>
      </c>
      <c r="G695">
        <v>1346920</v>
      </c>
      <c r="H695">
        <v>7.69</v>
      </c>
      <c r="I695">
        <v>48</v>
      </c>
      <c r="J695">
        <v>352195</v>
      </c>
      <c r="K695" t="s">
        <v>18</v>
      </c>
      <c r="L695" t="s">
        <v>34</v>
      </c>
      <c r="M695" t="s">
        <v>20</v>
      </c>
      <c r="N695" t="s">
        <v>31</v>
      </c>
      <c r="O695">
        <v>0</v>
      </c>
    </row>
    <row r="696" spans="1:15">
      <c r="A696" t="s">
        <v>236</v>
      </c>
      <c r="B696">
        <v>48</v>
      </c>
      <c r="C696" t="s">
        <v>33</v>
      </c>
      <c r="D696">
        <v>1127108</v>
      </c>
      <c r="E696" t="s">
        <v>17</v>
      </c>
      <c r="F696">
        <v>730</v>
      </c>
      <c r="G696">
        <v>1351433</v>
      </c>
      <c r="H696">
        <v>15.1</v>
      </c>
      <c r="I696">
        <v>12</v>
      </c>
      <c r="J696">
        <v>352439</v>
      </c>
      <c r="K696" t="s">
        <v>18</v>
      </c>
      <c r="L696" t="s">
        <v>34</v>
      </c>
      <c r="M696" t="s">
        <v>27</v>
      </c>
      <c r="N696" t="s">
        <v>21</v>
      </c>
      <c r="O696">
        <v>0</v>
      </c>
    </row>
    <row r="697" spans="1:15">
      <c r="A697" t="s">
        <v>244</v>
      </c>
      <c r="B697">
        <v>48</v>
      </c>
      <c r="C697" t="s">
        <v>16</v>
      </c>
      <c r="D697">
        <v>1128161</v>
      </c>
      <c r="E697" t="s">
        <v>17</v>
      </c>
      <c r="F697">
        <v>302</v>
      </c>
      <c r="G697">
        <v>1353542</v>
      </c>
      <c r="H697">
        <v>14.59</v>
      </c>
      <c r="I697">
        <v>60</v>
      </c>
      <c r="J697">
        <v>352606</v>
      </c>
      <c r="K697" t="s">
        <v>11</v>
      </c>
      <c r="L697" t="s">
        <v>19</v>
      </c>
      <c r="M697" t="s">
        <v>27</v>
      </c>
      <c r="N697" t="s">
        <v>28</v>
      </c>
      <c r="O697">
        <v>0</v>
      </c>
    </row>
    <row r="698" spans="1:15">
      <c r="A698" t="s">
        <v>312</v>
      </c>
      <c r="B698">
        <v>48</v>
      </c>
      <c r="C698" t="s">
        <v>33</v>
      </c>
      <c r="D698">
        <v>1128381</v>
      </c>
      <c r="E698" t="s">
        <v>17</v>
      </c>
      <c r="F698">
        <v>814</v>
      </c>
      <c r="G698">
        <v>1357281</v>
      </c>
      <c r="H698">
        <v>10.86</v>
      </c>
      <c r="I698">
        <v>24</v>
      </c>
      <c r="J698">
        <v>352791</v>
      </c>
      <c r="K698" t="s">
        <v>11</v>
      </c>
      <c r="L698" t="s">
        <v>19</v>
      </c>
      <c r="M698" t="s">
        <v>20</v>
      </c>
      <c r="N698" t="s">
        <v>31</v>
      </c>
      <c r="O698">
        <v>0</v>
      </c>
    </row>
    <row r="699" spans="1:15">
      <c r="A699" t="s">
        <v>424</v>
      </c>
      <c r="B699">
        <v>48</v>
      </c>
      <c r="C699" t="s">
        <v>33</v>
      </c>
      <c r="D699">
        <v>1128900</v>
      </c>
      <c r="E699" t="s">
        <v>17</v>
      </c>
      <c r="F699">
        <v>302</v>
      </c>
      <c r="G699">
        <v>1358497</v>
      </c>
      <c r="H699">
        <v>11.41</v>
      </c>
      <c r="I699">
        <v>36</v>
      </c>
      <c r="J699">
        <v>353812</v>
      </c>
      <c r="K699" t="s">
        <v>18</v>
      </c>
      <c r="L699" t="s">
        <v>19</v>
      </c>
      <c r="M699" t="s">
        <v>20</v>
      </c>
      <c r="N699" t="s">
        <v>21</v>
      </c>
      <c r="O699">
        <v>0</v>
      </c>
    </row>
    <row r="700" spans="1:15">
      <c r="A700" t="s">
        <v>474</v>
      </c>
      <c r="B700">
        <v>48</v>
      </c>
      <c r="C700" t="s">
        <v>16</v>
      </c>
      <c r="D700">
        <v>1131442</v>
      </c>
      <c r="E700" t="s">
        <v>25</v>
      </c>
      <c r="F700">
        <v>344</v>
      </c>
      <c r="G700">
        <v>1365149</v>
      </c>
      <c r="H700">
        <v>8.69</v>
      </c>
      <c r="I700">
        <v>12</v>
      </c>
      <c r="J700">
        <v>354222</v>
      </c>
      <c r="K700" t="s">
        <v>18</v>
      </c>
      <c r="L700" t="s">
        <v>34</v>
      </c>
      <c r="M700" t="s">
        <v>27</v>
      </c>
      <c r="N700" t="s">
        <v>31</v>
      </c>
      <c r="O700">
        <v>1</v>
      </c>
    </row>
    <row r="701" spans="1:15">
      <c r="A701" t="s">
        <v>488</v>
      </c>
      <c r="B701">
        <v>48</v>
      </c>
      <c r="C701" t="s">
        <v>16</v>
      </c>
      <c r="D701">
        <v>1132136</v>
      </c>
      <c r="E701" t="s">
        <v>17</v>
      </c>
      <c r="F701">
        <v>502</v>
      </c>
      <c r="G701">
        <v>1367205</v>
      </c>
      <c r="H701">
        <v>11.76</v>
      </c>
      <c r="I701">
        <v>24</v>
      </c>
      <c r="J701">
        <v>354319</v>
      </c>
      <c r="K701" t="s">
        <v>30</v>
      </c>
      <c r="L701" t="s">
        <v>34</v>
      </c>
      <c r="M701" t="s">
        <v>27</v>
      </c>
      <c r="N701" t="s">
        <v>28</v>
      </c>
      <c r="O701">
        <v>1</v>
      </c>
    </row>
    <row r="702" spans="1:15">
      <c r="A702" t="s">
        <v>545</v>
      </c>
      <c r="B702">
        <v>48</v>
      </c>
      <c r="C702" t="s">
        <v>33</v>
      </c>
      <c r="D702">
        <v>1132382</v>
      </c>
      <c r="E702" t="s">
        <v>17</v>
      </c>
      <c r="F702">
        <v>385</v>
      </c>
      <c r="G702">
        <v>1368128</v>
      </c>
      <c r="H702">
        <v>15.77</v>
      </c>
      <c r="I702">
        <v>60</v>
      </c>
      <c r="J702">
        <v>354340</v>
      </c>
      <c r="K702" t="s">
        <v>18</v>
      </c>
      <c r="L702" t="s">
        <v>34</v>
      </c>
      <c r="M702" t="s">
        <v>20</v>
      </c>
      <c r="N702" t="s">
        <v>21</v>
      </c>
      <c r="O702">
        <v>0</v>
      </c>
    </row>
    <row r="703" spans="1:15">
      <c r="A703" t="s">
        <v>699</v>
      </c>
      <c r="B703">
        <v>48</v>
      </c>
      <c r="C703" t="s">
        <v>16</v>
      </c>
      <c r="D703">
        <v>1136155</v>
      </c>
      <c r="E703" t="s">
        <v>17</v>
      </c>
      <c r="F703">
        <v>774</v>
      </c>
      <c r="G703">
        <v>1368310</v>
      </c>
      <c r="H703">
        <v>13.85</v>
      </c>
      <c r="I703">
        <v>36</v>
      </c>
      <c r="J703">
        <v>354536</v>
      </c>
      <c r="K703" t="s">
        <v>23</v>
      </c>
      <c r="L703" t="s">
        <v>19</v>
      </c>
      <c r="M703" t="s">
        <v>20</v>
      </c>
      <c r="N703" t="s">
        <v>21</v>
      </c>
      <c r="O703">
        <v>0</v>
      </c>
    </row>
    <row r="704" spans="1:15">
      <c r="A704" t="s">
        <v>717</v>
      </c>
      <c r="B704">
        <v>48</v>
      </c>
      <c r="C704" t="s">
        <v>33</v>
      </c>
      <c r="D704">
        <v>1137781</v>
      </c>
      <c r="E704" t="s">
        <v>25</v>
      </c>
      <c r="F704">
        <v>788</v>
      </c>
      <c r="G704">
        <v>1368567</v>
      </c>
      <c r="H704">
        <v>13.87</v>
      </c>
      <c r="I704">
        <v>24</v>
      </c>
      <c r="J704">
        <v>354676</v>
      </c>
      <c r="K704" t="s">
        <v>11</v>
      </c>
      <c r="L704" t="s">
        <v>19</v>
      </c>
      <c r="M704" t="s">
        <v>27</v>
      </c>
      <c r="N704" t="s">
        <v>21</v>
      </c>
      <c r="O704">
        <v>1</v>
      </c>
    </row>
    <row r="705" spans="1:15">
      <c r="A705" t="s">
        <v>719</v>
      </c>
      <c r="B705">
        <v>48</v>
      </c>
      <c r="C705" t="s">
        <v>16</v>
      </c>
      <c r="D705">
        <v>1139737</v>
      </c>
      <c r="E705" t="s">
        <v>17</v>
      </c>
      <c r="F705">
        <v>330</v>
      </c>
      <c r="G705">
        <v>1368696</v>
      </c>
      <c r="H705">
        <v>15.17</v>
      </c>
      <c r="I705">
        <v>48</v>
      </c>
      <c r="J705">
        <v>354703</v>
      </c>
      <c r="K705" t="s">
        <v>23</v>
      </c>
      <c r="L705" t="s">
        <v>19</v>
      </c>
      <c r="M705" t="s">
        <v>20</v>
      </c>
      <c r="N705" t="s">
        <v>28</v>
      </c>
      <c r="O705">
        <v>0</v>
      </c>
    </row>
    <row r="706" spans="1:15">
      <c r="A706" t="s">
        <v>804</v>
      </c>
      <c r="B706">
        <v>48</v>
      </c>
      <c r="C706" t="s">
        <v>33</v>
      </c>
      <c r="D706">
        <v>1139741</v>
      </c>
      <c r="E706" t="s">
        <v>25</v>
      </c>
      <c r="F706">
        <v>445</v>
      </c>
      <c r="G706">
        <v>1368885</v>
      </c>
      <c r="H706">
        <v>12.48</v>
      </c>
      <c r="I706">
        <v>60</v>
      </c>
      <c r="J706">
        <v>354714</v>
      </c>
      <c r="K706" t="s">
        <v>26</v>
      </c>
      <c r="L706" t="s">
        <v>34</v>
      </c>
      <c r="M706" t="s">
        <v>27</v>
      </c>
      <c r="N706" t="s">
        <v>31</v>
      </c>
      <c r="O706">
        <v>0</v>
      </c>
    </row>
    <row r="707" spans="1:15">
      <c r="A707" t="s">
        <v>841</v>
      </c>
      <c r="B707">
        <v>48</v>
      </c>
      <c r="C707" t="s">
        <v>16</v>
      </c>
      <c r="D707">
        <v>1140215</v>
      </c>
      <c r="E707" t="s">
        <v>17</v>
      </c>
      <c r="F707">
        <v>623</v>
      </c>
      <c r="G707">
        <v>1373973</v>
      </c>
      <c r="H707">
        <v>8.93</v>
      </c>
      <c r="I707">
        <v>36</v>
      </c>
      <c r="J707">
        <v>354854</v>
      </c>
      <c r="K707" t="s">
        <v>26</v>
      </c>
      <c r="L707" t="s">
        <v>19</v>
      </c>
      <c r="M707" t="s">
        <v>27</v>
      </c>
      <c r="N707" t="s">
        <v>31</v>
      </c>
      <c r="O707">
        <v>0</v>
      </c>
    </row>
    <row r="708" spans="1:15">
      <c r="A708" t="s">
        <v>976</v>
      </c>
      <c r="B708">
        <v>48</v>
      </c>
      <c r="C708" t="s">
        <v>16</v>
      </c>
      <c r="D708">
        <v>1141313</v>
      </c>
      <c r="E708" t="s">
        <v>25</v>
      </c>
      <c r="F708">
        <v>818</v>
      </c>
      <c r="G708">
        <v>1374594</v>
      </c>
      <c r="H708">
        <v>12.52</v>
      </c>
      <c r="I708">
        <v>12</v>
      </c>
      <c r="J708">
        <v>355535</v>
      </c>
      <c r="K708" t="s">
        <v>26</v>
      </c>
      <c r="L708" t="s">
        <v>19</v>
      </c>
      <c r="M708" t="s">
        <v>27</v>
      </c>
      <c r="N708" t="s">
        <v>31</v>
      </c>
      <c r="O708">
        <v>1</v>
      </c>
    </row>
    <row r="709" spans="1:15">
      <c r="A709" t="s">
        <v>985</v>
      </c>
      <c r="B709">
        <v>48</v>
      </c>
      <c r="C709" t="s">
        <v>16</v>
      </c>
      <c r="D709">
        <v>1142416</v>
      </c>
      <c r="E709" t="s">
        <v>25</v>
      </c>
      <c r="F709">
        <v>533</v>
      </c>
      <c r="G709">
        <v>1378526</v>
      </c>
      <c r="H709">
        <v>10.3</v>
      </c>
      <c r="I709">
        <v>60</v>
      </c>
      <c r="J709">
        <v>355734</v>
      </c>
      <c r="K709" t="s">
        <v>23</v>
      </c>
      <c r="L709" t="s">
        <v>34</v>
      </c>
      <c r="M709" t="s">
        <v>20</v>
      </c>
      <c r="N709" t="s">
        <v>28</v>
      </c>
      <c r="O709">
        <v>1</v>
      </c>
    </row>
    <row r="710" spans="1:15">
      <c r="A710" t="s">
        <v>1008</v>
      </c>
      <c r="B710">
        <v>48</v>
      </c>
      <c r="C710" t="s">
        <v>33</v>
      </c>
      <c r="D710">
        <v>1143066</v>
      </c>
      <c r="E710" t="s">
        <v>17</v>
      </c>
      <c r="F710">
        <v>855</v>
      </c>
      <c r="G710">
        <v>1383455</v>
      </c>
      <c r="H710">
        <v>11.68</v>
      </c>
      <c r="I710">
        <v>60</v>
      </c>
      <c r="J710">
        <v>355789</v>
      </c>
      <c r="K710" t="s">
        <v>26</v>
      </c>
      <c r="L710" t="s">
        <v>19</v>
      </c>
      <c r="M710" t="s">
        <v>20</v>
      </c>
      <c r="N710" t="s">
        <v>21</v>
      </c>
      <c r="O710">
        <v>0</v>
      </c>
    </row>
    <row r="711" spans="1:15">
      <c r="A711" t="s">
        <v>1012</v>
      </c>
      <c r="B711">
        <v>48</v>
      </c>
      <c r="C711" t="s">
        <v>16</v>
      </c>
      <c r="D711">
        <v>1147528</v>
      </c>
      <c r="E711" t="s">
        <v>17</v>
      </c>
      <c r="F711">
        <v>869</v>
      </c>
      <c r="G711">
        <v>1384440</v>
      </c>
      <c r="H711">
        <v>14.92</v>
      </c>
      <c r="I711">
        <v>12</v>
      </c>
      <c r="J711">
        <v>355892</v>
      </c>
      <c r="K711" t="s">
        <v>30</v>
      </c>
      <c r="L711" t="s">
        <v>19</v>
      </c>
      <c r="M711" t="s">
        <v>20</v>
      </c>
      <c r="N711" t="s">
        <v>21</v>
      </c>
      <c r="O711">
        <v>0</v>
      </c>
    </row>
    <row r="712" spans="1:15">
      <c r="A712" t="s">
        <v>32</v>
      </c>
      <c r="B712">
        <v>48</v>
      </c>
      <c r="C712" t="s">
        <v>33</v>
      </c>
      <c r="D712">
        <v>1148056</v>
      </c>
      <c r="E712" t="s">
        <v>25</v>
      </c>
      <c r="F712">
        <v>327</v>
      </c>
      <c r="G712">
        <v>1385457</v>
      </c>
      <c r="H712">
        <v>9.69</v>
      </c>
      <c r="I712">
        <v>24</v>
      </c>
      <c r="J712">
        <v>355914</v>
      </c>
      <c r="K712" t="s">
        <v>26</v>
      </c>
      <c r="L712" t="s">
        <v>34</v>
      </c>
      <c r="M712" t="s">
        <v>20</v>
      </c>
      <c r="N712" t="s">
        <v>21</v>
      </c>
      <c r="O712">
        <v>0</v>
      </c>
    </row>
    <row r="713" spans="1:15">
      <c r="A713" t="s">
        <v>37</v>
      </c>
      <c r="B713">
        <v>48</v>
      </c>
      <c r="C713" t="s">
        <v>33</v>
      </c>
      <c r="D713">
        <v>1148438</v>
      </c>
      <c r="E713" t="s">
        <v>17</v>
      </c>
      <c r="G713">
        <v>1386257</v>
      </c>
      <c r="H713">
        <v>12.16</v>
      </c>
      <c r="I713">
        <v>12</v>
      </c>
      <c r="J713">
        <v>356203</v>
      </c>
      <c r="K713" t="s">
        <v>11</v>
      </c>
      <c r="L713" t="s">
        <v>34</v>
      </c>
      <c r="M713" t="s">
        <v>20</v>
      </c>
      <c r="N713" t="s">
        <v>21</v>
      </c>
      <c r="O713">
        <v>1</v>
      </c>
    </row>
    <row r="714" spans="1:15">
      <c r="A714" t="s">
        <v>169</v>
      </c>
      <c r="B714">
        <v>49</v>
      </c>
      <c r="C714" t="s">
        <v>16</v>
      </c>
      <c r="D714">
        <v>1148993</v>
      </c>
      <c r="E714" t="s">
        <v>25</v>
      </c>
      <c r="F714">
        <v>803</v>
      </c>
      <c r="G714">
        <v>1387697</v>
      </c>
      <c r="H714">
        <v>14.04</v>
      </c>
      <c r="I714">
        <v>12</v>
      </c>
      <c r="J714">
        <v>356825</v>
      </c>
      <c r="K714" t="s">
        <v>11</v>
      </c>
      <c r="L714" t="s">
        <v>19</v>
      </c>
      <c r="M714" t="s">
        <v>20</v>
      </c>
      <c r="N714" t="s">
        <v>28</v>
      </c>
      <c r="O714">
        <v>0</v>
      </c>
    </row>
    <row r="715" spans="1:15">
      <c r="A715" t="s">
        <v>308</v>
      </c>
      <c r="B715">
        <v>49</v>
      </c>
      <c r="C715" t="s">
        <v>33</v>
      </c>
      <c r="D715">
        <v>1149368</v>
      </c>
      <c r="E715" t="s">
        <v>25</v>
      </c>
      <c r="F715">
        <v>708</v>
      </c>
      <c r="G715">
        <v>1390648</v>
      </c>
      <c r="H715">
        <v>16.12</v>
      </c>
      <c r="I715">
        <v>48</v>
      </c>
      <c r="J715">
        <v>358234</v>
      </c>
      <c r="K715" t="s">
        <v>26</v>
      </c>
      <c r="L715" t="s">
        <v>34</v>
      </c>
      <c r="M715" t="s">
        <v>20</v>
      </c>
      <c r="N715" t="s">
        <v>21</v>
      </c>
      <c r="O715">
        <v>1</v>
      </c>
    </row>
    <row r="716" spans="1:15">
      <c r="A716" t="s">
        <v>320</v>
      </c>
      <c r="B716">
        <v>49</v>
      </c>
      <c r="C716" t="s">
        <v>16</v>
      </c>
      <c r="D716">
        <v>1149549</v>
      </c>
      <c r="E716" t="s">
        <v>25</v>
      </c>
      <c r="F716">
        <v>662</v>
      </c>
      <c r="G716">
        <v>1393359</v>
      </c>
      <c r="H716">
        <v>16.2</v>
      </c>
      <c r="I716">
        <v>60</v>
      </c>
      <c r="J716">
        <v>359766</v>
      </c>
      <c r="K716" t="s">
        <v>26</v>
      </c>
      <c r="L716" t="s">
        <v>19</v>
      </c>
      <c r="M716" t="s">
        <v>27</v>
      </c>
      <c r="N716" t="s">
        <v>21</v>
      </c>
      <c r="O716">
        <v>0</v>
      </c>
    </row>
    <row r="717" spans="1:15">
      <c r="A717" t="s">
        <v>340</v>
      </c>
      <c r="B717">
        <v>49</v>
      </c>
      <c r="C717" t="s">
        <v>16</v>
      </c>
      <c r="D717">
        <v>1150426</v>
      </c>
      <c r="E717" t="s">
        <v>17</v>
      </c>
      <c r="F717">
        <v>577</v>
      </c>
      <c r="G717">
        <v>1394760</v>
      </c>
      <c r="H717">
        <v>11.21</v>
      </c>
      <c r="I717">
        <v>60</v>
      </c>
      <c r="J717">
        <v>359811</v>
      </c>
      <c r="K717" t="s">
        <v>11</v>
      </c>
      <c r="L717" t="s">
        <v>34</v>
      </c>
      <c r="M717" t="s">
        <v>27</v>
      </c>
      <c r="N717" t="s">
        <v>31</v>
      </c>
      <c r="O717">
        <v>1</v>
      </c>
    </row>
    <row r="718" spans="1:15">
      <c r="A718" t="s">
        <v>414</v>
      </c>
      <c r="B718">
        <v>49</v>
      </c>
      <c r="C718" t="s">
        <v>16</v>
      </c>
      <c r="D718">
        <v>1150671</v>
      </c>
      <c r="E718" t="s">
        <v>25</v>
      </c>
      <c r="F718">
        <v>677</v>
      </c>
      <c r="G718">
        <v>1395806</v>
      </c>
      <c r="H718">
        <v>15.19</v>
      </c>
      <c r="I718">
        <v>12</v>
      </c>
      <c r="J718">
        <v>360243</v>
      </c>
      <c r="K718" t="s">
        <v>11</v>
      </c>
      <c r="L718" t="s">
        <v>19</v>
      </c>
      <c r="M718" t="s">
        <v>20</v>
      </c>
      <c r="N718" t="s">
        <v>21</v>
      </c>
      <c r="O718">
        <v>0</v>
      </c>
    </row>
    <row r="719" spans="1:15">
      <c r="A719" t="s">
        <v>449</v>
      </c>
      <c r="B719">
        <v>49</v>
      </c>
      <c r="C719" t="s">
        <v>16</v>
      </c>
      <c r="D719">
        <v>1154569</v>
      </c>
      <c r="E719" t="s">
        <v>17</v>
      </c>
      <c r="F719">
        <v>531</v>
      </c>
      <c r="G719">
        <v>1395902</v>
      </c>
      <c r="H719">
        <v>11.18</v>
      </c>
      <c r="I719">
        <v>12</v>
      </c>
      <c r="J719">
        <v>361020</v>
      </c>
      <c r="K719" t="s">
        <v>18</v>
      </c>
      <c r="L719" t="s">
        <v>19</v>
      </c>
      <c r="M719" t="s">
        <v>20</v>
      </c>
      <c r="N719" t="s">
        <v>31</v>
      </c>
      <c r="O719">
        <v>0</v>
      </c>
    </row>
    <row r="720" spans="1:15">
      <c r="A720" t="s">
        <v>477</v>
      </c>
      <c r="B720">
        <v>49</v>
      </c>
      <c r="C720" t="s">
        <v>16</v>
      </c>
      <c r="D720">
        <v>1154825</v>
      </c>
      <c r="E720" t="s">
        <v>17</v>
      </c>
      <c r="F720">
        <v>715</v>
      </c>
      <c r="G720">
        <v>1397426</v>
      </c>
      <c r="H720">
        <v>14.4</v>
      </c>
      <c r="I720">
        <v>60</v>
      </c>
      <c r="J720">
        <v>361236</v>
      </c>
      <c r="K720" t="s">
        <v>26</v>
      </c>
      <c r="L720" t="s">
        <v>19</v>
      </c>
      <c r="M720" t="s">
        <v>20</v>
      </c>
      <c r="N720" t="s">
        <v>21</v>
      </c>
      <c r="O720">
        <v>0</v>
      </c>
    </row>
    <row r="721" spans="1:15">
      <c r="A721" t="s">
        <v>501</v>
      </c>
      <c r="B721">
        <v>49</v>
      </c>
      <c r="C721" t="s">
        <v>16</v>
      </c>
      <c r="D721">
        <v>1154876</v>
      </c>
      <c r="E721" t="s">
        <v>25</v>
      </c>
      <c r="F721">
        <v>417</v>
      </c>
      <c r="G721">
        <v>1398731</v>
      </c>
      <c r="H721">
        <v>10.64</v>
      </c>
      <c r="I721">
        <v>36</v>
      </c>
      <c r="J721">
        <v>362079</v>
      </c>
      <c r="K721" t="s">
        <v>26</v>
      </c>
      <c r="L721" t="s">
        <v>19</v>
      </c>
      <c r="M721" t="s">
        <v>20</v>
      </c>
      <c r="N721" t="s">
        <v>28</v>
      </c>
      <c r="O721">
        <v>0</v>
      </c>
    </row>
    <row r="722" spans="1:15">
      <c r="A722" t="s">
        <v>505</v>
      </c>
      <c r="B722">
        <v>49</v>
      </c>
      <c r="C722" t="s">
        <v>16</v>
      </c>
      <c r="D722">
        <v>1155010</v>
      </c>
      <c r="E722" t="s">
        <v>25</v>
      </c>
      <c r="F722">
        <v>414</v>
      </c>
      <c r="G722">
        <v>1410676</v>
      </c>
      <c r="H722">
        <v>10.5</v>
      </c>
      <c r="I722">
        <v>60</v>
      </c>
      <c r="J722">
        <v>362382</v>
      </c>
      <c r="K722" t="s">
        <v>23</v>
      </c>
      <c r="L722" t="s">
        <v>19</v>
      </c>
      <c r="M722" t="s">
        <v>20</v>
      </c>
      <c r="N722" t="s">
        <v>28</v>
      </c>
      <c r="O722">
        <v>0</v>
      </c>
    </row>
    <row r="723" spans="1:15">
      <c r="A723" t="s">
        <v>540</v>
      </c>
      <c r="B723">
        <v>49</v>
      </c>
      <c r="C723" t="s">
        <v>16</v>
      </c>
      <c r="D723">
        <v>1156520</v>
      </c>
      <c r="E723" t="s">
        <v>17</v>
      </c>
      <c r="F723">
        <v>739</v>
      </c>
      <c r="G723">
        <v>1414167</v>
      </c>
      <c r="H723">
        <v>16.23</v>
      </c>
      <c r="I723">
        <v>60</v>
      </c>
      <c r="J723">
        <v>362602</v>
      </c>
      <c r="K723" t="s">
        <v>30</v>
      </c>
      <c r="L723" t="s">
        <v>19</v>
      </c>
      <c r="M723" t="s">
        <v>27</v>
      </c>
      <c r="N723" t="s">
        <v>21</v>
      </c>
      <c r="O723">
        <v>0</v>
      </c>
    </row>
    <row r="724" spans="1:15">
      <c r="A724" t="s">
        <v>565</v>
      </c>
      <c r="B724">
        <v>49</v>
      </c>
      <c r="C724" t="s">
        <v>16</v>
      </c>
      <c r="D724">
        <v>1157395</v>
      </c>
      <c r="E724" t="s">
        <v>17</v>
      </c>
      <c r="F724">
        <v>806</v>
      </c>
      <c r="G724">
        <v>1414714</v>
      </c>
      <c r="H724">
        <v>11.56</v>
      </c>
      <c r="I724">
        <v>48</v>
      </c>
      <c r="J724">
        <v>362699</v>
      </c>
      <c r="K724" t="s">
        <v>26</v>
      </c>
      <c r="L724" t="s">
        <v>34</v>
      </c>
      <c r="M724" t="s">
        <v>20</v>
      </c>
      <c r="N724" t="s">
        <v>21</v>
      </c>
      <c r="O724">
        <v>1</v>
      </c>
    </row>
    <row r="725" spans="1:15">
      <c r="A725" t="s">
        <v>706</v>
      </c>
      <c r="B725">
        <v>49</v>
      </c>
      <c r="C725" t="s">
        <v>16</v>
      </c>
      <c r="D725">
        <v>1158612</v>
      </c>
      <c r="E725" t="s">
        <v>25</v>
      </c>
      <c r="F725">
        <v>443</v>
      </c>
      <c r="G725">
        <v>1415853</v>
      </c>
      <c r="H725">
        <v>8.99</v>
      </c>
      <c r="I725">
        <v>24</v>
      </c>
      <c r="J725">
        <v>363312</v>
      </c>
      <c r="K725" t="s">
        <v>26</v>
      </c>
      <c r="L725" t="s">
        <v>34</v>
      </c>
      <c r="M725" t="s">
        <v>20</v>
      </c>
      <c r="N725" t="s">
        <v>31</v>
      </c>
      <c r="O725">
        <v>1</v>
      </c>
    </row>
    <row r="726" spans="1:15">
      <c r="A726" t="s">
        <v>779</v>
      </c>
      <c r="B726">
        <v>49</v>
      </c>
      <c r="C726" t="s">
        <v>33</v>
      </c>
      <c r="D726">
        <v>1158748</v>
      </c>
      <c r="E726" t="s">
        <v>17</v>
      </c>
      <c r="F726">
        <v>597</v>
      </c>
      <c r="G726">
        <v>1416904</v>
      </c>
      <c r="H726">
        <v>15.25</v>
      </c>
      <c r="I726">
        <v>36</v>
      </c>
      <c r="J726">
        <v>363411</v>
      </c>
      <c r="K726" t="s">
        <v>23</v>
      </c>
      <c r="L726" t="s">
        <v>19</v>
      </c>
      <c r="M726" t="s">
        <v>27</v>
      </c>
      <c r="N726" t="s">
        <v>21</v>
      </c>
      <c r="O726">
        <v>0</v>
      </c>
    </row>
    <row r="727" spans="1:15">
      <c r="A727" t="s">
        <v>797</v>
      </c>
      <c r="B727">
        <v>49</v>
      </c>
      <c r="C727" t="s">
        <v>33</v>
      </c>
      <c r="D727">
        <v>1158802</v>
      </c>
      <c r="E727" t="s">
        <v>25</v>
      </c>
      <c r="F727">
        <v>793</v>
      </c>
      <c r="G727">
        <v>1417013</v>
      </c>
      <c r="H727">
        <v>13.43</v>
      </c>
      <c r="I727">
        <v>60</v>
      </c>
      <c r="J727">
        <v>363684</v>
      </c>
      <c r="K727" t="s">
        <v>18</v>
      </c>
      <c r="L727" t="s">
        <v>19</v>
      </c>
      <c r="M727" t="s">
        <v>20</v>
      </c>
      <c r="N727" t="s">
        <v>21</v>
      </c>
      <c r="O727">
        <v>0</v>
      </c>
    </row>
    <row r="728" spans="1:15">
      <c r="A728" t="s">
        <v>861</v>
      </c>
      <c r="B728">
        <v>49</v>
      </c>
      <c r="C728" t="s">
        <v>33</v>
      </c>
      <c r="D728">
        <v>1159117</v>
      </c>
      <c r="E728" t="s">
        <v>17</v>
      </c>
      <c r="F728">
        <v>876</v>
      </c>
      <c r="G728">
        <v>1417209</v>
      </c>
      <c r="H728">
        <v>8.8800000000000008</v>
      </c>
      <c r="I728">
        <v>36</v>
      </c>
      <c r="J728">
        <v>364027</v>
      </c>
      <c r="K728" t="s">
        <v>30</v>
      </c>
      <c r="L728" t="s">
        <v>34</v>
      </c>
      <c r="M728" t="s">
        <v>27</v>
      </c>
      <c r="N728" t="s">
        <v>21</v>
      </c>
      <c r="O728">
        <v>0</v>
      </c>
    </row>
    <row r="729" spans="1:15">
      <c r="A729" t="s">
        <v>908</v>
      </c>
      <c r="B729">
        <v>49</v>
      </c>
      <c r="C729" t="s">
        <v>16</v>
      </c>
      <c r="D729">
        <v>1161687</v>
      </c>
      <c r="E729" t="s">
        <v>17</v>
      </c>
      <c r="F729">
        <v>812</v>
      </c>
      <c r="G729">
        <v>1418310</v>
      </c>
      <c r="H729">
        <v>11.15</v>
      </c>
      <c r="I729">
        <v>48</v>
      </c>
      <c r="J729">
        <v>364402</v>
      </c>
      <c r="K729" t="s">
        <v>11</v>
      </c>
      <c r="L729" t="s">
        <v>34</v>
      </c>
      <c r="M729" t="s">
        <v>27</v>
      </c>
      <c r="N729" t="s">
        <v>28</v>
      </c>
      <c r="O729">
        <v>0</v>
      </c>
    </row>
    <row r="730" spans="1:15">
      <c r="A730" t="s">
        <v>936</v>
      </c>
      <c r="B730">
        <v>49</v>
      </c>
      <c r="C730" t="s">
        <v>33</v>
      </c>
      <c r="D730">
        <v>1164111</v>
      </c>
      <c r="E730" t="s">
        <v>25</v>
      </c>
      <c r="F730">
        <v>635</v>
      </c>
      <c r="G730">
        <v>1419994</v>
      </c>
      <c r="H730">
        <v>15.76</v>
      </c>
      <c r="I730">
        <v>60</v>
      </c>
      <c r="J730">
        <v>365273</v>
      </c>
      <c r="K730" t="s">
        <v>18</v>
      </c>
      <c r="L730" t="s">
        <v>19</v>
      </c>
      <c r="M730" t="s">
        <v>20</v>
      </c>
      <c r="N730" t="s">
        <v>21</v>
      </c>
      <c r="O730">
        <v>0</v>
      </c>
    </row>
    <row r="731" spans="1:15">
      <c r="A731" t="s">
        <v>986</v>
      </c>
      <c r="B731">
        <v>49</v>
      </c>
      <c r="C731" t="s">
        <v>16</v>
      </c>
      <c r="D731">
        <v>1166647</v>
      </c>
      <c r="E731" t="s">
        <v>17</v>
      </c>
      <c r="F731">
        <v>566</v>
      </c>
      <c r="G731">
        <v>1424819</v>
      </c>
      <c r="H731">
        <v>7.74</v>
      </c>
      <c r="I731">
        <v>36</v>
      </c>
      <c r="J731">
        <v>365341</v>
      </c>
      <c r="K731" t="s">
        <v>30</v>
      </c>
      <c r="L731" t="s">
        <v>34</v>
      </c>
      <c r="M731" t="s">
        <v>27</v>
      </c>
      <c r="N731" t="s">
        <v>21</v>
      </c>
      <c r="O731">
        <v>0</v>
      </c>
    </row>
    <row r="732" spans="1:15">
      <c r="A732" t="s">
        <v>1011</v>
      </c>
      <c r="B732">
        <v>49</v>
      </c>
      <c r="C732" t="s">
        <v>33</v>
      </c>
      <c r="D732">
        <v>1168362</v>
      </c>
      <c r="E732" t="s">
        <v>17</v>
      </c>
      <c r="F732">
        <v>813</v>
      </c>
      <c r="G732">
        <v>1426631</v>
      </c>
      <c r="H732">
        <v>8.2200000000000006</v>
      </c>
      <c r="I732">
        <v>48</v>
      </c>
      <c r="J732">
        <v>365391</v>
      </c>
      <c r="K732" t="s">
        <v>23</v>
      </c>
      <c r="L732" t="s">
        <v>34</v>
      </c>
      <c r="M732" t="s">
        <v>27</v>
      </c>
      <c r="N732" t="s">
        <v>21</v>
      </c>
      <c r="O732">
        <v>0</v>
      </c>
    </row>
    <row r="733" spans="1:15">
      <c r="A733" t="s">
        <v>114</v>
      </c>
      <c r="B733">
        <v>50</v>
      </c>
      <c r="C733" t="s">
        <v>33</v>
      </c>
      <c r="D733">
        <v>1168924</v>
      </c>
      <c r="E733" t="s">
        <v>17</v>
      </c>
      <c r="F733">
        <v>789</v>
      </c>
      <c r="G733">
        <v>1428886</v>
      </c>
      <c r="H733">
        <v>11.31</v>
      </c>
      <c r="I733">
        <v>36</v>
      </c>
      <c r="J733">
        <v>366148</v>
      </c>
      <c r="K733" t="s">
        <v>11</v>
      </c>
      <c r="L733" t="s">
        <v>19</v>
      </c>
      <c r="M733" t="s">
        <v>20</v>
      </c>
      <c r="N733" t="s">
        <v>21</v>
      </c>
      <c r="O733">
        <v>0</v>
      </c>
    </row>
    <row r="734" spans="1:15">
      <c r="A734" t="s">
        <v>162</v>
      </c>
      <c r="B734">
        <v>50</v>
      </c>
      <c r="C734" t="s">
        <v>16</v>
      </c>
      <c r="D734">
        <v>1170477</v>
      </c>
      <c r="E734" t="s">
        <v>25</v>
      </c>
      <c r="F734">
        <v>332</v>
      </c>
      <c r="G734">
        <v>1438114</v>
      </c>
      <c r="H734">
        <v>8.69</v>
      </c>
      <c r="I734">
        <v>60</v>
      </c>
      <c r="J734">
        <v>367257</v>
      </c>
      <c r="K734" t="s">
        <v>23</v>
      </c>
      <c r="L734" t="s">
        <v>19</v>
      </c>
      <c r="M734" t="s">
        <v>20</v>
      </c>
      <c r="N734" t="s">
        <v>31</v>
      </c>
      <c r="O734">
        <v>0</v>
      </c>
    </row>
    <row r="735" spans="1:15">
      <c r="A735" t="s">
        <v>197</v>
      </c>
      <c r="B735">
        <v>50</v>
      </c>
      <c r="C735" t="s">
        <v>1026</v>
      </c>
      <c r="D735">
        <v>1171622</v>
      </c>
      <c r="E735" t="s">
        <v>17</v>
      </c>
      <c r="F735">
        <v>800</v>
      </c>
      <c r="G735">
        <v>1438231</v>
      </c>
      <c r="H735">
        <v>11.86</v>
      </c>
      <c r="I735">
        <v>12</v>
      </c>
      <c r="J735">
        <v>367585</v>
      </c>
      <c r="K735" t="s">
        <v>30</v>
      </c>
      <c r="L735" t="s">
        <v>34</v>
      </c>
      <c r="M735" t="s">
        <v>20</v>
      </c>
      <c r="N735" t="s">
        <v>28</v>
      </c>
      <c r="O735">
        <v>0</v>
      </c>
    </row>
    <row r="736" spans="1:15">
      <c r="A736" t="s">
        <v>204</v>
      </c>
      <c r="B736">
        <v>50</v>
      </c>
      <c r="C736" t="s">
        <v>16</v>
      </c>
      <c r="D736">
        <v>1175703</v>
      </c>
      <c r="E736" t="s">
        <v>17</v>
      </c>
      <c r="F736">
        <v>315</v>
      </c>
      <c r="G736">
        <v>1440458</v>
      </c>
      <c r="H736">
        <v>9.5</v>
      </c>
      <c r="I736">
        <v>24</v>
      </c>
      <c r="J736">
        <v>367623</v>
      </c>
      <c r="K736" t="s">
        <v>30</v>
      </c>
      <c r="L736" t="s">
        <v>19</v>
      </c>
      <c r="M736" t="s">
        <v>27</v>
      </c>
      <c r="N736" t="s">
        <v>21</v>
      </c>
      <c r="O736">
        <v>1</v>
      </c>
    </row>
    <row r="737" spans="1:15">
      <c r="A737" t="s">
        <v>211</v>
      </c>
      <c r="B737">
        <v>50</v>
      </c>
      <c r="C737" t="s">
        <v>33</v>
      </c>
      <c r="D737">
        <v>1176119</v>
      </c>
      <c r="E737" t="s">
        <v>25</v>
      </c>
      <c r="F737">
        <v>781</v>
      </c>
      <c r="G737">
        <v>1442853</v>
      </c>
      <c r="H737">
        <v>15.27</v>
      </c>
      <c r="I737">
        <v>48</v>
      </c>
      <c r="J737">
        <v>368220</v>
      </c>
      <c r="K737" t="s">
        <v>18</v>
      </c>
      <c r="L737" t="s">
        <v>19</v>
      </c>
      <c r="M737" t="s">
        <v>20</v>
      </c>
      <c r="N737" t="s">
        <v>21</v>
      </c>
      <c r="O737">
        <v>0</v>
      </c>
    </row>
    <row r="738" spans="1:15">
      <c r="A738" t="s">
        <v>224</v>
      </c>
      <c r="B738">
        <v>50</v>
      </c>
      <c r="C738" t="s">
        <v>33</v>
      </c>
      <c r="D738">
        <v>1177092</v>
      </c>
      <c r="E738" t="s">
        <v>25</v>
      </c>
      <c r="F738">
        <v>730</v>
      </c>
      <c r="G738">
        <v>1446069</v>
      </c>
      <c r="H738">
        <v>15.81</v>
      </c>
      <c r="I738">
        <v>24</v>
      </c>
      <c r="J738">
        <v>369000</v>
      </c>
      <c r="K738" t="s">
        <v>18</v>
      </c>
      <c r="L738" t="s">
        <v>19</v>
      </c>
      <c r="M738" t="s">
        <v>27</v>
      </c>
      <c r="N738" t="s">
        <v>31</v>
      </c>
      <c r="O738">
        <v>0</v>
      </c>
    </row>
    <row r="739" spans="1:15">
      <c r="A739" t="s">
        <v>247</v>
      </c>
      <c r="B739">
        <v>50</v>
      </c>
      <c r="C739" t="s">
        <v>16</v>
      </c>
      <c r="D739">
        <v>1178214</v>
      </c>
      <c r="E739" t="s">
        <v>17</v>
      </c>
      <c r="F739">
        <v>752</v>
      </c>
      <c r="G739">
        <v>1449383</v>
      </c>
      <c r="H739">
        <v>15.48</v>
      </c>
      <c r="I739">
        <v>12</v>
      </c>
      <c r="J739">
        <v>369337</v>
      </c>
      <c r="K739" t="s">
        <v>26</v>
      </c>
      <c r="L739" t="s">
        <v>19</v>
      </c>
      <c r="M739" t="s">
        <v>20</v>
      </c>
      <c r="N739" t="s">
        <v>21</v>
      </c>
      <c r="O739">
        <v>1</v>
      </c>
    </row>
    <row r="740" spans="1:15">
      <c r="A740" t="s">
        <v>263</v>
      </c>
      <c r="B740">
        <v>50</v>
      </c>
      <c r="C740" t="s">
        <v>16</v>
      </c>
      <c r="D740">
        <v>1179852</v>
      </c>
      <c r="E740" t="s">
        <v>17</v>
      </c>
      <c r="F740">
        <v>362</v>
      </c>
      <c r="G740">
        <v>1450206</v>
      </c>
      <c r="H740">
        <v>14.41</v>
      </c>
      <c r="I740">
        <v>36</v>
      </c>
      <c r="J740">
        <v>370366</v>
      </c>
      <c r="K740" t="s">
        <v>18</v>
      </c>
      <c r="L740" t="s">
        <v>34</v>
      </c>
      <c r="M740" t="s">
        <v>20</v>
      </c>
      <c r="N740" t="s">
        <v>21</v>
      </c>
      <c r="O740">
        <v>0</v>
      </c>
    </row>
    <row r="741" spans="1:15">
      <c r="A741" t="s">
        <v>296</v>
      </c>
      <c r="B741">
        <v>50</v>
      </c>
      <c r="C741" t="s">
        <v>33</v>
      </c>
      <c r="D741">
        <v>1180681</v>
      </c>
      <c r="E741" t="s">
        <v>25</v>
      </c>
      <c r="F741">
        <v>415</v>
      </c>
      <c r="G741">
        <v>1450735</v>
      </c>
      <c r="H741">
        <v>12.55</v>
      </c>
      <c r="I741">
        <v>24</v>
      </c>
      <c r="J741">
        <v>370378</v>
      </c>
      <c r="K741" t="s">
        <v>18</v>
      </c>
      <c r="L741" t="s">
        <v>19</v>
      </c>
      <c r="M741" t="s">
        <v>20</v>
      </c>
      <c r="N741" t="s">
        <v>31</v>
      </c>
      <c r="O741">
        <v>0</v>
      </c>
    </row>
    <row r="742" spans="1:15">
      <c r="A742" t="s">
        <v>323</v>
      </c>
      <c r="B742">
        <v>50</v>
      </c>
      <c r="C742" t="s">
        <v>16</v>
      </c>
      <c r="D742">
        <v>1183710</v>
      </c>
      <c r="E742" t="s">
        <v>25</v>
      </c>
      <c r="F742">
        <v>534</v>
      </c>
      <c r="G742">
        <v>1452827</v>
      </c>
      <c r="H742">
        <v>14.42</v>
      </c>
      <c r="I742">
        <v>24</v>
      </c>
      <c r="J742">
        <v>370919</v>
      </c>
      <c r="K742" t="s">
        <v>26</v>
      </c>
      <c r="L742" t="s">
        <v>34</v>
      </c>
      <c r="M742" t="s">
        <v>27</v>
      </c>
      <c r="N742" t="s">
        <v>31</v>
      </c>
      <c r="O742">
        <v>0</v>
      </c>
    </row>
    <row r="743" spans="1:15">
      <c r="A743" t="s">
        <v>346</v>
      </c>
      <c r="B743">
        <v>50</v>
      </c>
      <c r="C743" t="s">
        <v>16</v>
      </c>
      <c r="D743">
        <v>1184485</v>
      </c>
      <c r="E743" t="s">
        <v>25</v>
      </c>
      <c r="F743">
        <v>497</v>
      </c>
      <c r="G743">
        <v>1454217</v>
      </c>
      <c r="H743">
        <v>13.03</v>
      </c>
      <c r="I743">
        <v>12</v>
      </c>
      <c r="J743">
        <v>371230</v>
      </c>
      <c r="K743" t="s">
        <v>18</v>
      </c>
      <c r="L743" t="s">
        <v>34</v>
      </c>
      <c r="M743" t="s">
        <v>27</v>
      </c>
      <c r="N743" t="s">
        <v>31</v>
      </c>
      <c r="O743">
        <v>0</v>
      </c>
    </row>
    <row r="744" spans="1:15">
      <c r="A744" t="s">
        <v>429</v>
      </c>
      <c r="B744">
        <v>50</v>
      </c>
      <c r="C744" t="s">
        <v>16</v>
      </c>
      <c r="D744">
        <v>1184570</v>
      </c>
      <c r="E744" t="s">
        <v>17</v>
      </c>
      <c r="F744">
        <v>563</v>
      </c>
      <c r="G744">
        <v>1454406</v>
      </c>
      <c r="H744">
        <v>11.4</v>
      </c>
      <c r="I744">
        <v>60</v>
      </c>
      <c r="J744">
        <v>371727</v>
      </c>
      <c r="K744" t="s">
        <v>30</v>
      </c>
      <c r="L744" t="s">
        <v>34</v>
      </c>
      <c r="M744" t="s">
        <v>27</v>
      </c>
      <c r="N744" t="s">
        <v>31</v>
      </c>
      <c r="O744">
        <v>1</v>
      </c>
    </row>
    <row r="745" spans="1:15">
      <c r="A745" t="s">
        <v>444</v>
      </c>
      <c r="B745">
        <v>50</v>
      </c>
      <c r="C745" t="s">
        <v>33</v>
      </c>
      <c r="D745">
        <v>1186251</v>
      </c>
      <c r="E745" t="s">
        <v>25</v>
      </c>
      <c r="F745">
        <v>481</v>
      </c>
      <c r="G745">
        <v>1454921</v>
      </c>
      <c r="H745">
        <v>11.32</v>
      </c>
      <c r="I745">
        <v>36</v>
      </c>
      <c r="J745">
        <v>371751</v>
      </c>
      <c r="K745" t="s">
        <v>26</v>
      </c>
      <c r="L745" t="s">
        <v>19</v>
      </c>
      <c r="M745" t="s">
        <v>27</v>
      </c>
      <c r="N745" t="s">
        <v>31</v>
      </c>
      <c r="O745">
        <v>1</v>
      </c>
    </row>
    <row r="746" spans="1:15">
      <c r="A746" t="s">
        <v>481</v>
      </c>
      <c r="B746">
        <v>50</v>
      </c>
      <c r="C746" t="s">
        <v>33</v>
      </c>
      <c r="D746">
        <v>1186289</v>
      </c>
      <c r="E746" t="s">
        <v>17</v>
      </c>
      <c r="F746">
        <v>570</v>
      </c>
      <c r="G746">
        <v>1458902</v>
      </c>
      <c r="H746">
        <v>13.24</v>
      </c>
      <c r="I746">
        <v>12</v>
      </c>
      <c r="J746">
        <v>372211</v>
      </c>
      <c r="K746" t="s">
        <v>11</v>
      </c>
      <c r="L746" t="s">
        <v>19</v>
      </c>
      <c r="M746" t="s">
        <v>27</v>
      </c>
      <c r="N746" t="s">
        <v>21</v>
      </c>
      <c r="O746">
        <v>1</v>
      </c>
    </row>
    <row r="747" spans="1:15">
      <c r="A747" t="s">
        <v>507</v>
      </c>
      <c r="B747">
        <v>50</v>
      </c>
      <c r="C747" t="s">
        <v>33</v>
      </c>
      <c r="D747">
        <v>1186771</v>
      </c>
      <c r="E747" t="s">
        <v>25</v>
      </c>
      <c r="F747">
        <v>872</v>
      </c>
      <c r="G747">
        <v>1459604</v>
      </c>
      <c r="H747">
        <v>16.34</v>
      </c>
      <c r="I747">
        <v>60</v>
      </c>
      <c r="J747">
        <v>373514</v>
      </c>
      <c r="K747" t="s">
        <v>30</v>
      </c>
      <c r="L747" t="s">
        <v>19</v>
      </c>
      <c r="M747" t="s">
        <v>27</v>
      </c>
      <c r="N747" t="s">
        <v>31</v>
      </c>
      <c r="O747">
        <v>0</v>
      </c>
    </row>
    <row r="748" spans="1:15">
      <c r="A748" t="s">
        <v>662</v>
      </c>
      <c r="B748">
        <v>50</v>
      </c>
      <c r="C748" t="s">
        <v>16</v>
      </c>
      <c r="D748">
        <v>1189051</v>
      </c>
      <c r="E748" t="s">
        <v>17</v>
      </c>
      <c r="F748">
        <v>586</v>
      </c>
      <c r="G748">
        <v>1460648</v>
      </c>
      <c r="H748">
        <v>11.79</v>
      </c>
      <c r="I748">
        <v>36</v>
      </c>
      <c r="J748">
        <v>373876</v>
      </c>
      <c r="K748" t="s">
        <v>26</v>
      </c>
      <c r="L748" t="s">
        <v>19</v>
      </c>
      <c r="M748" t="s">
        <v>27</v>
      </c>
      <c r="N748" t="s">
        <v>28</v>
      </c>
      <c r="O748">
        <v>0</v>
      </c>
    </row>
    <row r="749" spans="1:15">
      <c r="A749" t="s">
        <v>726</v>
      </c>
      <c r="B749">
        <v>50</v>
      </c>
      <c r="C749" t="s">
        <v>16</v>
      </c>
      <c r="D749">
        <v>1190235</v>
      </c>
      <c r="E749" t="s">
        <v>17</v>
      </c>
      <c r="F749">
        <v>526</v>
      </c>
      <c r="G749">
        <v>1461587</v>
      </c>
      <c r="H749">
        <v>14.77</v>
      </c>
      <c r="I749">
        <v>24</v>
      </c>
      <c r="J749">
        <v>375313</v>
      </c>
      <c r="K749" t="s">
        <v>11</v>
      </c>
      <c r="L749" t="s">
        <v>34</v>
      </c>
      <c r="M749" t="s">
        <v>20</v>
      </c>
      <c r="N749" t="s">
        <v>31</v>
      </c>
      <c r="O749">
        <v>0</v>
      </c>
    </row>
    <row r="750" spans="1:15">
      <c r="A750" t="s">
        <v>739</v>
      </c>
      <c r="B750">
        <v>50</v>
      </c>
      <c r="C750" t="s">
        <v>16</v>
      </c>
      <c r="D750">
        <v>1190404</v>
      </c>
      <c r="E750" t="s">
        <v>17</v>
      </c>
      <c r="F750">
        <v>867</v>
      </c>
      <c r="G750">
        <v>1462582</v>
      </c>
      <c r="H750">
        <v>9.19</v>
      </c>
      <c r="I750">
        <v>24</v>
      </c>
      <c r="J750">
        <v>375376</v>
      </c>
      <c r="K750" t="s">
        <v>11</v>
      </c>
      <c r="L750" t="s">
        <v>34</v>
      </c>
      <c r="M750" t="s">
        <v>27</v>
      </c>
      <c r="N750" t="s">
        <v>28</v>
      </c>
      <c r="O750">
        <v>0</v>
      </c>
    </row>
    <row r="751" spans="1:15">
      <c r="A751" t="s">
        <v>794</v>
      </c>
      <c r="B751">
        <v>50</v>
      </c>
      <c r="C751" t="s">
        <v>33</v>
      </c>
      <c r="D751">
        <v>1190418</v>
      </c>
      <c r="E751" t="s">
        <v>17</v>
      </c>
      <c r="F751">
        <v>887</v>
      </c>
      <c r="G751">
        <v>1463409</v>
      </c>
      <c r="H751">
        <v>16.440000000000001</v>
      </c>
      <c r="I751">
        <v>12</v>
      </c>
      <c r="J751">
        <v>375465</v>
      </c>
      <c r="K751" t="s">
        <v>23</v>
      </c>
      <c r="L751" t="s">
        <v>34</v>
      </c>
      <c r="M751" t="s">
        <v>20</v>
      </c>
      <c r="N751" t="s">
        <v>28</v>
      </c>
      <c r="O751">
        <v>0</v>
      </c>
    </row>
    <row r="752" spans="1:15">
      <c r="A752" t="s">
        <v>808</v>
      </c>
      <c r="B752">
        <v>50</v>
      </c>
      <c r="C752" t="s">
        <v>16</v>
      </c>
      <c r="D752">
        <v>1190533</v>
      </c>
      <c r="E752" t="s">
        <v>25</v>
      </c>
      <c r="F752">
        <v>900</v>
      </c>
      <c r="G752">
        <v>1465584</v>
      </c>
      <c r="H752">
        <v>7.78</v>
      </c>
      <c r="I752">
        <v>48</v>
      </c>
      <c r="J752">
        <v>375596</v>
      </c>
      <c r="K752" t="s">
        <v>23</v>
      </c>
      <c r="L752" t="s">
        <v>19</v>
      </c>
      <c r="M752" t="s">
        <v>20</v>
      </c>
      <c r="N752" t="s">
        <v>31</v>
      </c>
      <c r="O752">
        <v>0</v>
      </c>
    </row>
    <row r="753" spans="1:15">
      <c r="A753" t="s">
        <v>829</v>
      </c>
      <c r="B753">
        <v>50</v>
      </c>
      <c r="C753" t="s">
        <v>16</v>
      </c>
      <c r="D753">
        <v>1190545</v>
      </c>
      <c r="E753" t="s">
        <v>17</v>
      </c>
      <c r="F753">
        <v>604</v>
      </c>
      <c r="G753">
        <v>1466103</v>
      </c>
      <c r="H753">
        <v>8.69</v>
      </c>
      <c r="I753">
        <v>24</v>
      </c>
      <c r="J753">
        <v>376314</v>
      </c>
      <c r="K753" t="s">
        <v>18</v>
      </c>
      <c r="L753" t="s">
        <v>34</v>
      </c>
      <c r="M753" t="s">
        <v>20</v>
      </c>
      <c r="N753" t="s">
        <v>21</v>
      </c>
      <c r="O753">
        <v>1</v>
      </c>
    </row>
    <row r="754" spans="1:15">
      <c r="A754" t="s">
        <v>881</v>
      </c>
      <c r="B754">
        <v>50</v>
      </c>
      <c r="C754" t="s">
        <v>33</v>
      </c>
      <c r="D754">
        <v>1191639</v>
      </c>
      <c r="E754" t="s">
        <v>25</v>
      </c>
      <c r="F754">
        <v>707</v>
      </c>
      <c r="G754">
        <v>1466417</v>
      </c>
      <c r="H754">
        <v>13.32</v>
      </c>
      <c r="I754">
        <v>48</v>
      </c>
      <c r="J754">
        <v>377653</v>
      </c>
      <c r="K754" t="s">
        <v>18</v>
      </c>
      <c r="L754" t="s">
        <v>34</v>
      </c>
      <c r="M754" t="s">
        <v>20</v>
      </c>
      <c r="N754" t="s">
        <v>31</v>
      </c>
      <c r="O754">
        <v>0</v>
      </c>
    </row>
    <row r="755" spans="1:15">
      <c r="A755" t="s">
        <v>892</v>
      </c>
      <c r="B755">
        <v>50</v>
      </c>
      <c r="C755" t="s">
        <v>33</v>
      </c>
      <c r="D755">
        <v>1192940</v>
      </c>
      <c r="E755" t="s">
        <v>17</v>
      </c>
      <c r="F755">
        <v>771</v>
      </c>
      <c r="G755">
        <v>1469134</v>
      </c>
      <c r="H755">
        <v>12.78</v>
      </c>
      <c r="I755">
        <v>12</v>
      </c>
      <c r="J755">
        <v>377752</v>
      </c>
      <c r="K755" t="s">
        <v>26</v>
      </c>
      <c r="L755" t="s">
        <v>19</v>
      </c>
      <c r="M755" t="s">
        <v>27</v>
      </c>
      <c r="N755" t="s">
        <v>28</v>
      </c>
      <c r="O755">
        <v>0</v>
      </c>
    </row>
    <row r="756" spans="1:15">
      <c r="A756" t="s">
        <v>905</v>
      </c>
      <c r="B756">
        <v>50</v>
      </c>
      <c r="C756" t="s">
        <v>33</v>
      </c>
      <c r="D756">
        <v>1193203</v>
      </c>
      <c r="E756" t="s">
        <v>17</v>
      </c>
      <c r="F756">
        <v>766</v>
      </c>
      <c r="G756">
        <v>1470710</v>
      </c>
      <c r="H756">
        <v>9.16</v>
      </c>
      <c r="I756">
        <v>12</v>
      </c>
      <c r="J756">
        <v>378798</v>
      </c>
      <c r="K756" t="s">
        <v>18</v>
      </c>
      <c r="L756" t="s">
        <v>19</v>
      </c>
      <c r="M756" t="s">
        <v>20</v>
      </c>
      <c r="N756" t="s">
        <v>28</v>
      </c>
      <c r="O756">
        <v>0</v>
      </c>
    </row>
    <row r="757" spans="1:15">
      <c r="A757" t="s">
        <v>923</v>
      </c>
      <c r="B757">
        <v>50</v>
      </c>
      <c r="C757" t="s">
        <v>16</v>
      </c>
      <c r="D757">
        <v>1196144</v>
      </c>
      <c r="E757" t="s">
        <v>25</v>
      </c>
      <c r="F757">
        <v>579</v>
      </c>
      <c r="G757">
        <v>1470888</v>
      </c>
      <c r="H757">
        <v>15.92</v>
      </c>
      <c r="I757">
        <v>48</v>
      </c>
      <c r="J757">
        <v>378935</v>
      </c>
      <c r="K757" t="s">
        <v>26</v>
      </c>
      <c r="L757" t="s">
        <v>34</v>
      </c>
      <c r="M757" t="s">
        <v>20</v>
      </c>
      <c r="N757" t="s">
        <v>31</v>
      </c>
      <c r="O757">
        <v>1</v>
      </c>
    </row>
    <row r="758" spans="1:15">
      <c r="A758" t="s">
        <v>948</v>
      </c>
      <c r="B758">
        <v>50</v>
      </c>
      <c r="C758" t="s">
        <v>33</v>
      </c>
      <c r="D758">
        <v>1196489</v>
      </c>
      <c r="E758" t="s">
        <v>17</v>
      </c>
      <c r="F758">
        <v>407</v>
      </c>
      <c r="G758">
        <v>1471216</v>
      </c>
      <c r="H758">
        <v>16.239999999999998</v>
      </c>
      <c r="I758">
        <v>48</v>
      </c>
      <c r="J758">
        <v>379171</v>
      </c>
      <c r="K758" t="s">
        <v>30</v>
      </c>
      <c r="L758" t="s">
        <v>19</v>
      </c>
      <c r="M758" t="s">
        <v>27</v>
      </c>
      <c r="N758" t="s">
        <v>28</v>
      </c>
      <c r="O758">
        <v>0</v>
      </c>
    </row>
    <row r="759" spans="1:15">
      <c r="A759" t="s">
        <v>954</v>
      </c>
      <c r="B759">
        <v>50</v>
      </c>
      <c r="C759" t="s">
        <v>33</v>
      </c>
      <c r="D759">
        <v>1197047</v>
      </c>
      <c r="E759" t="s">
        <v>25</v>
      </c>
      <c r="F759">
        <v>586</v>
      </c>
      <c r="G759">
        <v>1471902</v>
      </c>
      <c r="H759">
        <v>9</v>
      </c>
      <c r="I759">
        <v>36</v>
      </c>
      <c r="J759">
        <v>379912</v>
      </c>
      <c r="K759" t="s">
        <v>26</v>
      </c>
      <c r="L759" t="s">
        <v>34</v>
      </c>
      <c r="M759" t="s">
        <v>27</v>
      </c>
      <c r="N759" t="s">
        <v>31</v>
      </c>
      <c r="O759">
        <v>0</v>
      </c>
    </row>
    <row r="760" spans="1:15">
      <c r="A760" t="s">
        <v>957</v>
      </c>
      <c r="B760">
        <v>50</v>
      </c>
      <c r="C760" t="s">
        <v>33</v>
      </c>
      <c r="D760">
        <v>1198974</v>
      </c>
      <c r="E760" t="s">
        <v>25</v>
      </c>
      <c r="F760">
        <v>709</v>
      </c>
      <c r="G760">
        <v>1474556</v>
      </c>
      <c r="H760">
        <v>10.66</v>
      </c>
      <c r="I760">
        <v>36</v>
      </c>
      <c r="J760">
        <v>379947</v>
      </c>
      <c r="K760" t="s">
        <v>23</v>
      </c>
      <c r="L760" t="s">
        <v>34</v>
      </c>
      <c r="M760" t="s">
        <v>20</v>
      </c>
      <c r="N760" t="s">
        <v>28</v>
      </c>
      <c r="O760">
        <v>0</v>
      </c>
    </row>
    <row r="761" spans="1:15">
      <c r="A761" t="s">
        <v>989</v>
      </c>
      <c r="B761">
        <v>50</v>
      </c>
      <c r="C761" t="s">
        <v>33</v>
      </c>
      <c r="D761">
        <v>1204028</v>
      </c>
      <c r="E761" t="s">
        <v>25</v>
      </c>
      <c r="F761">
        <v>617</v>
      </c>
      <c r="G761">
        <v>1476713</v>
      </c>
      <c r="H761">
        <v>11.34</v>
      </c>
      <c r="I761">
        <v>48</v>
      </c>
      <c r="J761">
        <v>380113</v>
      </c>
      <c r="K761" t="s">
        <v>23</v>
      </c>
      <c r="L761" t="s">
        <v>34</v>
      </c>
      <c r="M761" t="s">
        <v>20</v>
      </c>
      <c r="N761" t="s">
        <v>31</v>
      </c>
      <c r="O761">
        <v>0</v>
      </c>
    </row>
    <row r="762" spans="1:15">
      <c r="A762" t="s">
        <v>56</v>
      </c>
      <c r="B762">
        <v>51</v>
      </c>
      <c r="C762" t="s">
        <v>16</v>
      </c>
      <c r="D762">
        <v>1206278</v>
      </c>
      <c r="E762" t="s">
        <v>17</v>
      </c>
      <c r="F762">
        <v>525</v>
      </c>
      <c r="G762">
        <v>1477611</v>
      </c>
      <c r="H762">
        <v>13.05</v>
      </c>
      <c r="I762">
        <v>48</v>
      </c>
      <c r="J762">
        <v>380468</v>
      </c>
      <c r="K762" t="s">
        <v>26</v>
      </c>
      <c r="L762" t="s">
        <v>34</v>
      </c>
      <c r="M762" t="s">
        <v>27</v>
      </c>
      <c r="N762" t="s">
        <v>28</v>
      </c>
      <c r="O762">
        <v>0</v>
      </c>
    </row>
    <row r="763" spans="1:15">
      <c r="A763" t="s">
        <v>150</v>
      </c>
      <c r="B763">
        <v>51</v>
      </c>
      <c r="C763" t="s">
        <v>33</v>
      </c>
      <c r="D763">
        <v>1206336</v>
      </c>
      <c r="E763" t="s">
        <v>25</v>
      </c>
      <c r="F763">
        <v>717</v>
      </c>
      <c r="G763">
        <v>1478245</v>
      </c>
      <c r="H763">
        <v>15.24</v>
      </c>
      <c r="I763">
        <v>36</v>
      </c>
      <c r="J763">
        <v>381525</v>
      </c>
      <c r="K763" t="s">
        <v>11</v>
      </c>
      <c r="L763" t="s">
        <v>34</v>
      </c>
      <c r="M763" t="s">
        <v>20</v>
      </c>
      <c r="N763" t="s">
        <v>21</v>
      </c>
      <c r="O763">
        <v>0</v>
      </c>
    </row>
    <row r="764" spans="1:15">
      <c r="A764" t="s">
        <v>223</v>
      </c>
      <c r="B764">
        <v>51</v>
      </c>
      <c r="C764" t="s">
        <v>16</v>
      </c>
      <c r="D764">
        <v>1206701</v>
      </c>
      <c r="E764" t="s">
        <v>17</v>
      </c>
      <c r="F764">
        <v>323</v>
      </c>
      <c r="G764">
        <v>1480528</v>
      </c>
      <c r="H764">
        <v>13.77</v>
      </c>
      <c r="I764">
        <v>36</v>
      </c>
      <c r="J764">
        <v>381811</v>
      </c>
      <c r="K764" t="s">
        <v>30</v>
      </c>
      <c r="L764" t="s">
        <v>34</v>
      </c>
      <c r="M764" t="s">
        <v>27</v>
      </c>
      <c r="N764" t="s">
        <v>31</v>
      </c>
      <c r="O764">
        <v>0</v>
      </c>
    </row>
    <row r="765" spans="1:15">
      <c r="A765" t="s">
        <v>243</v>
      </c>
      <c r="B765">
        <v>51</v>
      </c>
      <c r="C765" t="s">
        <v>33</v>
      </c>
      <c r="D765">
        <v>1206713</v>
      </c>
      <c r="E765" t="s">
        <v>25</v>
      </c>
      <c r="F765">
        <v>711</v>
      </c>
      <c r="G765">
        <v>1481323</v>
      </c>
      <c r="H765">
        <v>13.83</v>
      </c>
      <c r="I765">
        <v>12</v>
      </c>
      <c r="J765">
        <v>382048</v>
      </c>
      <c r="K765" t="s">
        <v>26</v>
      </c>
      <c r="L765" t="s">
        <v>34</v>
      </c>
      <c r="M765" t="s">
        <v>27</v>
      </c>
      <c r="N765" t="s">
        <v>21</v>
      </c>
      <c r="O765">
        <v>0</v>
      </c>
    </row>
    <row r="766" spans="1:15">
      <c r="A766" t="s">
        <v>285</v>
      </c>
      <c r="B766">
        <v>51</v>
      </c>
      <c r="C766" t="s">
        <v>33</v>
      </c>
      <c r="D766">
        <v>1206741</v>
      </c>
      <c r="E766" t="s">
        <v>25</v>
      </c>
      <c r="F766">
        <v>658</v>
      </c>
      <c r="G766">
        <v>1484418</v>
      </c>
      <c r="H766">
        <v>13.09</v>
      </c>
      <c r="I766">
        <v>60</v>
      </c>
      <c r="J766">
        <v>382606</v>
      </c>
      <c r="K766" t="s">
        <v>30</v>
      </c>
      <c r="L766" t="s">
        <v>19</v>
      </c>
      <c r="M766" t="s">
        <v>27</v>
      </c>
      <c r="N766" t="s">
        <v>28</v>
      </c>
      <c r="O766">
        <v>0</v>
      </c>
    </row>
    <row r="767" spans="1:15">
      <c r="A767" t="s">
        <v>315</v>
      </c>
      <c r="B767">
        <v>51</v>
      </c>
      <c r="C767" t="s">
        <v>16</v>
      </c>
      <c r="D767">
        <v>1207095</v>
      </c>
      <c r="E767" t="s">
        <v>25</v>
      </c>
      <c r="F767">
        <v>472</v>
      </c>
      <c r="G767">
        <v>1496334</v>
      </c>
      <c r="H767">
        <v>11.04</v>
      </c>
      <c r="I767">
        <v>60</v>
      </c>
      <c r="J767">
        <v>383090</v>
      </c>
      <c r="K767" t="s">
        <v>26</v>
      </c>
      <c r="L767" t="s">
        <v>34</v>
      </c>
      <c r="M767" t="s">
        <v>27</v>
      </c>
      <c r="N767" t="s">
        <v>31</v>
      </c>
      <c r="O767">
        <v>0</v>
      </c>
    </row>
    <row r="768" spans="1:15">
      <c r="A768" t="s">
        <v>404</v>
      </c>
      <c r="B768">
        <v>51</v>
      </c>
      <c r="C768" t="s">
        <v>16</v>
      </c>
      <c r="D768">
        <v>1207284</v>
      </c>
      <c r="E768" t="s">
        <v>25</v>
      </c>
      <c r="F768">
        <v>745</v>
      </c>
      <c r="G768">
        <v>1496958</v>
      </c>
      <c r="H768">
        <v>11.32</v>
      </c>
      <c r="I768">
        <v>36</v>
      </c>
      <c r="J768">
        <v>383580</v>
      </c>
      <c r="K768" t="s">
        <v>23</v>
      </c>
      <c r="L768" t="s">
        <v>34</v>
      </c>
      <c r="M768" t="s">
        <v>20</v>
      </c>
      <c r="N768" t="s">
        <v>21</v>
      </c>
      <c r="O768">
        <v>0</v>
      </c>
    </row>
    <row r="769" spans="1:15">
      <c r="A769" t="s">
        <v>448</v>
      </c>
      <c r="B769">
        <v>51</v>
      </c>
      <c r="C769" t="s">
        <v>16</v>
      </c>
      <c r="D769">
        <v>1207668</v>
      </c>
      <c r="E769" t="s">
        <v>25</v>
      </c>
      <c r="F769">
        <v>688</v>
      </c>
      <c r="G769">
        <v>1501141</v>
      </c>
      <c r="H769">
        <v>12.7</v>
      </c>
      <c r="I769">
        <v>48</v>
      </c>
      <c r="J769">
        <v>383667</v>
      </c>
      <c r="K769" t="s">
        <v>18</v>
      </c>
      <c r="L769" t="s">
        <v>34</v>
      </c>
      <c r="M769" t="s">
        <v>27</v>
      </c>
      <c r="N769" t="s">
        <v>21</v>
      </c>
      <c r="O769">
        <v>0</v>
      </c>
    </row>
    <row r="770" spans="1:15">
      <c r="A770" t="s">
        <v>469</v>
      </c>
      <c r="B770">
        <v>51</v>
      </c>
      <c r="C770" t="s">
        <v>33</v>
      </c>
      <c r="D770">
        <v>1207790</v>
      </c>
      <c r="E770" t="s">
        <v>17</v>
      </c>
      <c r="F770">
        <v>785</v>
      </c>
      <c r="G770">
        <v>1506173</v>
      </c>
      <c r="H770">
        <v>13.39</v>
      </c>
      <c r="I770">
        <v>24</v>
      </c>
      <c r="J770">
        <v>384101</v>
      </c>
      <c r="K770" t="s">
        <v>18</v>
      </c>
      <c r="L770" t="s">
        <v>34</v>
      </c>
      <c r="M770" t="s">
        <v>20</v>
      </c>
      <c r="N770" t="s">
        <v>28</v>
      </c>
      <c r="O770">
        <v>1</v>
      </c>
    </row>
    <row r="771" spans="1:15">
      <c r="A771" t="s">
        <v>510</v>
      </c>
      <c r="B771">
        <v>51</v>
      </c>
      <c r="C771" t="s">
        <v>16</v>
      </c>
      <c r="D771">
        <v>1208177</v>
      </c>
      <c r="E771" t="s">
        <v>17</v>
      </c>
      <c r="F771">
        <v>382</v>
      </c>
      <c r="G771">
        <v>1507520</v>
      </c>
      <c r="H771">
        <v>15.99</v>
      </c>
      <c r="I771">
        <v>36</v>
      </c>
      <c r="J771">
        <v>385893</v>
      </c>
      <c r="K771" t="s">
        <v>30</v>
      </c>
      <c r="L771" t="s">
        <v>19</v>
      </c>
      <c r="M771" t="s">
        <v>27</v>
      </c>
      <c r="N771" t="s">
        <v>28</v>
      </c>
      <c r="O771">
        <v>0</v>
      </c>
    </row>
    <row r="772" spans="1:15">
      <c r="A772" t="s">
        <v>588</v>
      </c>
      <c r="B772">
        <v>51</v>
      </c>
      <c r="C772" t="s">
        <v>16</v>
      </c>
      <c r="D772">
        <v>1208303</v>
      </c>
      <c r="E772" t="s">
        <v>25</v>
      </c>
      <c r="F772">
        <v>810</v>
      </c>
      <c r="G772">
        <v>1507910</v>
      </c>
      <c r="H772">
        <v>14.73</v>
      </c>
      <c r="I772">
        <v>24</v>
      </c>
      <c r="J772">
        <v>387204</v>
      </c>
      <c r="K772" t="s">
        <v>26</v>
      </c>
      <c r="L772" t="s">
        <v>34</v>
      </c>
      <c r="M772" t="s">
        <v>27</v>
      </c>
      <c r="N772" t="s">
        <v>28</v>
      </c>
      <c r="O772">
        <v>0</v>
      </c>
    </row>
    <row r="773" spans="1:15">
      <c r="A773" t="s">
        <v>626</v>
      </c>
      <c r="B773">
        <v>51</v>
      </c>
      <c r="C773" t="s">
        <v>33</v>
      </c>
      <c r="D773">
        <v>1210400</v>
      </c>
      <c r="E773" t="s">
        <v>25</v>
      </c>
      <c r="F773">
        <v>695</v>
      </c>
      <c r="G773">
        <v>1508884</v>
      </c>
      <c r="H773">
        <v>15.28</v>
      </c>
      <c r="I773">
        <v>36</v>
      </c>
      <c r="J773">
        <v>388088</v>
      </c>
      <c r="K773" t="s">
        <v>23</v>
      </c>
      <c r="L773" t="s">
        <v>19</v>
      </c>
      <c r="M773" t="s">
        <v>27</v>
      </c>
      <c r="N773" t="s">
        <v>31</v>
      </c>
      <c r="O773">
        <v>0</v>
      </c>
    </row>
    <row r="774" spans="1:15">
      <c r="A774" t="s">
        <v>663</v>
      </c>
      <c r="B774">
        <v>51</v>
      </c>
      <c r="C774" t="s">
        <v>16</v>
      </c>
      <c r="D774">
        <v>1212138</v>
      </c>
      <c r="E774" t="s">
        <v>25</v>
      </c>
      <c r="F774">
        <v>432</v>
      </c>
      <c r="G774">
        <v>1510692</v>
      </c>
      <c r="H774">
        <v>15.31</v>
      </c>
      <c r="I774">
        <v>24</v>
      </c>
      <c r="J774">
        <v>388109</v>
      </c>
      <c r="K774" t="s">
        <v>30</v>
      </c>
      <c r="L774" t="s">
        <v>34</v>
      </c>
      <c r="M774" t="s">
        <v>27</v>
      </c>
      <c r="N774" t="s">
        <v>28</v>
      </c>
      <c r="O774">
        <v>0</v>
      </c>
    </row>
    <row r="775" spans="1:15">
      <c r="A775" t="s">
        <v>696</v>
      </c>
      <c r="B775">
        <v>51</v>
      </c>
      <c r="C775" t="s">
        <v>16</v>
      </c>
      <c r="D775">
        <v>1212157</v>
      </c>
      <c r="E775" t="s">
        <v>17</v>
      </c>
      <c r="F775">
        <v>581</v>
      </c>
      <c r="G775">
        <v>1512746</v>
      </c>
      <c r="H775">
        <v>8.4</v>
      </c>
      <c r="I775">
        <v>12</v>
      </c>
      <c r="J775">
        <v>388571</v>
      </c>
      <c r="K775" t="s">
        <v>26</v>
      </c>
      <c r="L775" t="s">
        <v>34</v>
      </c>
      <c r="M775" t="s">
        <v>20</v>
      </c>
      <c r="N775" t="s">
        <v>28</v>
      </c>
      <c r="O775">
        <v>0</v>
      </c>
    </row>
    <row r="776" spans="1:15">
      <c r="A776" t="s">
        <v>701</v>
      </c>
      <c r="B776">
        <v>51</v>
      </c>
      <c r="C776" t="s">
        <v>1026</v>
      </c>
      <c r="D776">
        <v>1212519</v>
      </c>
      <c r="E776" t="s">
        <v>17</v>
      </c>
      <c r="F776">
        <v>640</v>
      </c>
      <c r="G776">
        <v>1513080</v>
      </c>
      <c r="H776">
        <v>8.59</v>
      </c>
      <c r="I776">
        <v>48</v>
      </c>
      <c r="J776">
        <v>388639</v>
      </c>
      <c r="K776" t="s">
        <v>26</v>
      </c>
      <c r="L776" t="s">
        <v>19</v>
      </c>
      <c r="M776" t="s">
        <v>27</v>
      </c>
      <c r="N776" t="s">
        <v>28</v>
      </c>
      <c r="O776">
        <v>0</v>
      </c>
    </row>
    <row r="777" spans="1:15">
      <c r="A777" t="s">
        <v>718</v>
      </c>
      <c r="B777">
        <v>51</v>
      </c>
      <c r="C777" t="s">
        <v>16</v>
      </c>
      <c r="D777">
        <v>1212539</v>
      </c>
      <c r="E777" t="s">
        <v>17</v>
      </c>
      <c r="F777">
        <v>575</v>
      </c>
      <c r="G777">
        <v>1513416</v>
      </c>
      <c r="H777">
        <v>11.97</v>
      </c>
      <c r="I777">
        <v>36</v>
      </c>
      <c r="J777">
        <v>388972</v>
      </c>
      <c r="K777" t="s">
        <v>11</v>
      </c>
      <c r="L777" t="s">
        <v>34</v>
      </c>
      <c r="M777" t="s">
        <v>27</v>
      </c>
      <c r="N777" t="s">
        <v>31</v>
      </c>
      <c r="O777">
        <v>0</v>
      </c>
    </row>
    <row r="778" spans="1:15">
      <c r="A778" t="s">
        <v>836</v>
      </c>
      <c r="B778">
        <v>51</v>
      </c>
      <c r="C778" t="s">
        <v>16</v>
      </c>
      <c r="D778">
        <v>1215374</v>
      </c>
      <c r="E778" t="s">
        <v>17</v>
      </c>
      <c r="F778">
        <v>300</v>
      </c>
      <c r="G778">
        <v>1514745</v>
      </c>
      <c r="H778">
        <v>11.4</v>
      </c>
      <c r="I778">
        <v>36</v>
      </c>
      <c r="J778">
        <v>389461</v>
      </c>
      <c r="K778" t="s">
        <v>18</v>
      </c>
      <c r="L778" t="s">
        <v>19</v>
      </c>
      <c r="M778" t="s">
        <v>20</v>
      </c>
      <c r="N778" t="s">
        <v>28</v>
      </c>
      <c r="O778">
        <v>0</v>
      </c>
    </row>
    <row r="779" spans="1:15">
      <c r="A779" t="s">
        <v>855</v>
      </c>
      <c r="B779">
        <v>51</v>
      </c>
      <c r="C779" t="s">
        <v>16</v>
      </c>
      <c r="D779">
        <v>1216119</v>
      </c>
      <c r="E779" t="s">
        <v>25</v>
      </c>
      <c r="F779">
        <v>802</v>
      </c>
      <c r="G779">
        <v>1518902</v>
      </c>
      <c r="H779">
        <v>13.9</v>
      </c>
      <c r="I779">
        <v>24</v>
      </c>
      <c r="J779">
        <v>389461</v>
      </c>
      <c r="K779" t="s">
        <v>30</v>
      </c>
      <c r="L779" t="s">
        <v>34</v>
      </c>
      <c r="M779" t="s">
        <v>27</v>
      </c>
      <c r="N779" t="s">
        <v>28</v>
      </c>
      <c r="O779">
        <v>0</v>
      </c>
    </row>
    <row r="780" spans="1:15">
      <c r="A780" t="s">
        <v>866</v>
      </c>
      <c r="B780">
        <v>51</v>
      </c>
      <c r="C780" t="s">
        <v>16</v>
      </c>
      <c r="D780">
        <v>1217018</v>
      </c>
      <c r="E780" t="s">
        <v>25</v>
      </c>
      <c r="F780">
        <v>784</v>
      </c>
      <c r="G780">
        <v>1521841</v>
      </c>
      <c r="H780">
        <v>10.119999999999999</v>
      </c>
      <c r="I780">
        <v>60</v>
      </c>
      <c r="J780">
        <v>390038</v>
      </c>
      <c r="K780" t="s">
        <v>30</v>
      </c>
      <c r="L780" t="s">
        <v>34</v>
      </c>
      <c r="M780" t="s">
        <v>27</v>
      </c>
      <c r="N780" t="s">
        <v>28</v>
      </c>
      <c r="O780">
        <v>0</v>
      </c>
    </row>
    <row r="781" spans="1:15">
      <c r="A781" t="s">
        <v>925</v>
      </c>
      <c r="B781">
        <v>51</v>
      </c>
      <c r="C781" t="s">
        <v>33</v>
      </c>
      <c r="D781">
        <v>1220766</v>
      </c>
      <c r="E781" t="s">
        <v>17</v>
      </c>
      <c r="F781">
        <v>395</v>
      </c>
      <c r="G781">
        <v>1522289</v>
      </c>
      <c r="H781">
        <v>13.86</v>
      </c>
      <c r="I781">
        <v>48</v>
      </c>
      <c r="J781">
        <v>390758</v>
      </c>
      <c r="K781" t="s">
        <v>26</v>
      </c>
      <c r="L781" t="s">
        <v>19</v>
      </c>
      <c r="M781" t="s">
        <v>20</v>
      </c>
      <c r="N781" t="s">
        <v>21</v>
      </c>
      <c r="O781">
        <v>1</v>
      </c>
    </row>
    <row r="782" spans="1:15">
      <c r="A782" t="s">
        <v>978</v>
      </c>
      <c r="B782">
        <v>51</v>
      </c>
      <c r="C782" t="s">
        <v>16</v>
      </c>
      <c r="D782">
        <v>1221366</v>
      </c>
      <c r="E782" t="s">
        <v>17</v>
      </c>
      <c r="F782">
        <v>648</v>
      </c>
      <c r="G782">
        <v>1522401</v>
      </c>
      <c r="H782">
        <v>13.71</v>
      </c>
      <c r="I782">
        <v>36</v>
      </c>
      <c r="J782">
        <v>390786</v>
      </c>
      <c r="K782" t="s">
        <v>30</v>
      </c>
      <c r="L782" t="s">
        <v>19</v>
      </c>
      <c r="M782" t="s">
        <v>27</v>
      </c>
      <c r="N782" t="s">
        <v>31</v>
      </c>
      <c r="O782">
        <v>0</v>
      </c>
    </row>
    <row r="783" spans="1:15">
      <c r="A783" t="s">
        <v>1017</v>
      </c>
      <c r="B783">
        <v>51</v>
      </c>
      <c r="C783" t="s">
        <v>16</v>
      </c>
      <c r="D783">
        <v>1222965</v>
      </c>
      <c r="E783" t="s">
        <v>25</v>
      </c>
      <c r="F783">
        <v>812</v>
      </c>
      <c r="G783">
        <v>1526748</v>
      </c>
      <c r="H783">
        <v>9.94</v>
      </c>
      <c r="I783">
        <v>48</v>
      </c>
      <c r="J783">
        <v>390966</v>
      </c>
      <c r="K783" t="s">
        <v>18</v>
      </c>
      <c r="L783" t="s">
        <v>34</v>
      </c>
      <c r="M783" t="s">
        <v>20</v>
      </c>
      <c r="N783" t="s">
        <v>31</v>
      </c>
      <c r="O783">
        <v>0</v>
      </c>
    </row>
    <row r="784" spans="1:15">
      <c r="A784" t="s">
        <v>90</v>
      </c>
      <c r="B784">
        <v>52</v>
      </c>
      <c r="C784" t="s">
        <v>16</v>
      </c>
      <c r="D784">
        <v>1225357</v>
      </c>
      <c r="E784" t="s">
        <v>25</v>
      </c>
      <c r="F784">
        <v>396</v>
      </c>
      <c r="G784">
        <v>1526867</v>
      </c>
      <c r="H784">
        <v>9</v>
      </c>
      <c r="I784">
        <v>12</v>
      </c>
      <c r="J784">
        <v>390982</v>
      </c>
      <c r="K784" t="s">
        <v>26</v>
      </c>
      <c r="L784" t="s">
        <v>34</v>
      </c>
      <c r="M784" t="s">
        <v>20</v>
      </c>
      <c r="N784" t="s">
        <v>31</v>
      </c>
      <c r="O784">
        <v>0</v>
      </c>
    </row>
    <row r="785" spans="1:15">
      <c r="A785" t="s">
        <v>117</v>
      </c>
      <c r="B785">
        <v>52</v>
      </c>
      <c r="C785" t="s">
        <v>16</v>
      </c>
      <c r="D785">
        <v>1226237</v>
      </c>
      <c r="E785" t="s">
        <v>25</v>
      </c>
      <c r="F785">
        <v>714</v>
      </c>
      <c r="G785">
        <v>1530071</v>
      </c>
      <c r="H785">
        <v>15.34</v>
      </c>
      <c r="I785">
        <v>48</v>
      </c>
      <c r="J785">
        <v>391062</v>
      </c>
      <c r="K785" t="s">
        <v>11</v>
      </c>
      <c r="L785" t="s">
        <v>19</v>
      </c>
      <c r="M785" t="s">
        <v>27</v>
      </c>
      <c r="N785" t="s">
        <v>28</v>
      </c>
      <c r="O785">
        <v>0</v>
      </c>
    </row>
    <row r="786" spans="1:15">
      <c r="A786" t="s">
        <v>166</v>
      </c>
      <c r="B786">
        <v>52</v>
      </c>
      <c r="C786" t="s">
        <v>16</v>
      </c>
      <c r="D786">
        <v>1227145</v>
      </c>
      <c r="E786" t="s">
        <v>17</v>
      </c>
      <c r="F786">
        <v>657</v>
      </c>
      <c r="G786">
        <v>1534082</v>
      </c>
      <c r="H786">
        <v>16.190000000000001</v>
      </c>
      <c r="I786">
        <v>12</v>
      </c>
      <c r="J786">
        <v>391352</v>
      </c>
      <c r="K786" t="s">
        <v>18</v>
      </c>
      <c r="L786" t="s">
        <v>19</v>
      </c>
      <c r="M786" t="s">
        <v>20</v>
      </c>
      <c r="N786" t="s">
        <v>31</v>
      </c>
      <c r="O786">
        <v>0</v>
      </c>
    </row>
    <row r="787" spans="1:15">
      <c r="A787" t="s">
        <v>299</v>
      </c>
      <c r="B787">
        <v>52</v>
      </c>
      <c r="C787" t="s">
        <v>16</v>
      </c>
      <c r="D787">
        <v>1228460</v>
      </c>
      <c r="E787" t="s">
        <v>17</v>
      </c>
      <c r="F787">
        <v>465</v>
      </c>
      <c r="G787">
        <v>1534556</v>
      </c>
      <c r="H787">
        <v>15.84</v>
      </c>
      <c r="I787">
        <v>48</v>
      </c>
      <c r="J787">
        <v>391852</v>
      </c>
      <c r="K787" t="s">
        <v>30</v>
      </c>
      <c r="L787" t="s">
        <v>34</v>
      </c>
      <c r="M787" t="s">
        <v>20</v>
      </c>
      <c r="N787" t="s">
        <v>31</v>
      </c>
      <c r="O787">
        <v>1</v>
      </c>
    </row>
    <row r="788" spans="1:15">
      <c r="A788" t="s">
        <v>388</v>
      </c>
      <c r="B788">
        <v>52</v>
      </c>
      <c r="C788" t="s">
        <v>16</v>
      </c>
      <c r="D788">
        <v>1228604</v>
      </c>
      <c r="E788" t="s">
        <v>17</v>
      </c>
      <c r="F788">
        <v>641</v>
      </c>
      <c r="G788">
        <v>1535068</v>
      </c>
      <c r="H788">
        <v>10.210000000000001</v>
      </c>
      <c r="I788">
        <v>36</v>
      </c>
      <c r="J788">
        <v>392897</v>
      </c>
      <c r="K788" t="s">
        <v>18</v>
      </c>
      <c r="L788" t="s">
        <v>34</v>
      </c>
      <c r="M788" t="s">
        <v>20</v>
      </c>
      <c r="N788" t="s">
        <v>21</v>
      </c>
      <c r="O788">
        <v>0</v>
      </c>
    </row>
    <row r="789" spans="1:15">
      <c r="A789" t="s">
        <v>401</v>
      </c>
      <c r="B789">
        <v>52</v>
      </c>
      <c r="C789" t="s">
        <v>16</v>
      </c>
      <c r="D789">
        <v>1228785</v>
      </c>
      <c r="E789" t="s">
        <v>25</v>
      </c>
      <c r="F789">
        <v>645</v>
      </c>
      <c r="G789">
        <v>1536793</v>
      </c>
      <c r="H789">
        <v>13.65</v>
      </c>
      <c r="I789">
        <v>36</v>
      </c>
      <c r="J789">
        <v>394148</v>
      </c>
      <c r="K789" t="s">
        <v>30</v>
      </c>
      <c r="L789" t="s">
        <v>19</v>
      </c>
      <c r="M789" t="s">
        <v>20</v>
      </c>
      <c r="N789" t="s">
        <v>31</v>
      </c>
      <c r="O789">
        <v>0</v>
      </c>
    </row>
    <row r="790" spans="1:15">
      <c r="A790" t="s">
        <v>431</v>
      </c>
      <c r="B790">
        <v>52</v>
      </c>
      <c r="C790" t="s">
        <v>33</v>
      </c>
      <c r="D790">
        <v>1231063</v>
      </c>
      <c r="E790" t="s">
        <v>25</v>
      </c>
      <c r="F790">
        <v>333</v>
      </c>
      <c r="G790">
        <v>1538580</v>
      </c>
      <c r="H790">
        <v>11.43</v>
      </c>
      <c r="I790">
        <v>12</v>
      </c>
      <c r="J790">
        <v>394273</v>
      </c>
      <c r="K790" t="s">
        <v>18</v>
      </c>
      <c r="L790" t="s">
        <v>34</v>
      </c>
      <c r="M790" t="s">
        <v>27</v>
      </c>
      <c r="N790" t="s">
        <v>28</v>
      </c>
      <c r="O790">
        <v>0</v>
      </c>
    </row>
    <row r="791" spans="1:15">
      <c r="A791" t="s">
        <v>438</v>
      </c>
      <c r="B791">
        <v>52</v>
      </c>
      <c r="C791" t="s">
        <v>33</v>
      </c>
      <c r="D791">
        <v>1231640</v>
      </c>
      <c r="E791" t="s">
        <v>17</v>
      </c>
      <c r="F791">
        <v>390</v>
      </c>
      <c r="G791">
        <v>1541305</v>
      </c>
      <c r="H791">
        <v>9.89</v>
      </c>
      <c r="I791">
        <v>36</v>
      </c>
      <c r="J791">
        <v>394420</v>
      </c>
      <c r="K791" t="s">
        <v>26</v>
      </c>
      <c r="L791" t="s">
        <v>19</v>
      </c>
      <c r="M791" t="s">
        <v>27</v>
      </c>
      <c r="N791" t="s">
        <v>28</v>
      </c>
      <c r="O791">
        <v>1</v>
      </c>
    </row>
    <row r="792" spans="1:15">
      <c r="A792" t="s">
        <v>441</v>
      </c>
      <c r="B792">
        <v>52</v>
      </c>
      <c r="C792" t="s">
        <v>1026</v>
      </c>
      <c r="D792">
        <v>1234225</v>
      </c>
      <c r="E792" t="s">
        <v>17</v>
      </c>
      <c r="F792">
        <v>663</v>
      </c>
      <c r="G792">
        <v>1543156</v>
      </c>
      <c r="H792">
        <v>11.75</v>
      </c>
      <c r="I792">
        <v>12</v>
      </c>
      <c r="J792">
        <v>394601</v>
      </c>
      <c r="K792" t="s">
        <v>11</v>
      </c>
      <c r="L792" t="s">
        <v>19</v>
      </c>
      <c r="M792" t="s">
        <v>20</v>
      </c>
      <c r="N792" t="s">
        <v>31</v>
      </c>
      <c r="O792">
        <v>0</v>
      </c>
    </row>
    <row r="793" spans="1:15">
      <c r="A793" t="s">
        <v>575</v>
      </c>
      <c r="B793">
        <v>52</v>
      </c>
      <c r="C793" t="s">
        <v>16</v>
      </c>
      <c r="D793">
        <v>1234326</v>
      </c>
      <c r="E793" t="s">
        <v>25</v>
      </c>
      <c r="F793">
        <v>453</v>
      </c>
      <c r="G793">
        <v>1544247</v>
      </c>
      <c r="H793">
        <v>14.34</v>
      </c>
      <c r="I793">
        <v>24</v>
      </c>
      <c r="J793">
        <v>394662</v>
      </c>
      <c r="K793" t="s">
        <v>18</v>
      </c>
      <c r="L793" t="s">
        <v>34</v>
      </c>
      <c r="M793" t="s">
        <v>20</v>
      </c>
      <c r="N793" t="s">
        <v>21</v>
      </c>
      <c r="O793">
        <v>0</v>
      </c>
    </row>
    <row r="794" spans="1:15">
      <c r="A794" t="s">
        <v>589</v>
      </c>
      <c r="B794">
        <v>52</v>
      </c>
      <c r="C794" t="s">
        <v>33</v>
      </c>
      <c r="D794">
        <v>1234339</v>
      </c>
      <c r="E794" t="s">
        <v>17</v>
      </c>
      <c r="F794">
        <v>350</v>
      </c>
      <c r="G794">
        <v>1545004</v>
      </c>
      <c r="H794">
        <v>9.92</v>
      </c>
      <c r="I794">
        <v>60</v>
      </c>
      <c r="J794">
        <v>395033</v>
      </c>
      <c r="K794" t="s">
        <v>26</v>
      </c>
      <c r="L794" t="s">
        <v>19</v>
      </c>
      <c r="M794" t="s">
        <v>27</v>
      </c>
      <c r="N794" t="s">
        <v>21</v>
      </c>
      <c r="O794">
        <v>0</v>
      </c>
    </row>
    <row r="795" spans="1:15">
      <c r="A795" t="s">
        <v>592</v>
      </c>
      <c r="B795">
        <v>52</v>
      </c>
      <c r="C795" t="s">
        <v>33</v>
      </c>
      <c r="D795">
        <v>1235797</v>
      </c>
      <c r="E795" t="s">
        <v>25</v>
      </c>
      <c r="F795">
        <v>648</v>
      </c>
      <c r="G795">
        <v>1545633</v>
      </c>
      <c r="H795">
        <v>13.16</v>
      </c>
      <c r="I795">
        <v>36</v>
      </c>
      <c r="J795">
        <v>396392</v>
      </c>
      <c r="K795" t="s">
        <v>23</v>
      </c>
      <c r="L795" t="s">
        <v>19</v>
      </c>
      <c r="M795" t="s">
        <v>27</v>
      </c>
      <c r="N795" t="s">
        <v>21</v>
      </c>
      <c r="O795">
        <v>0</v>
      </c>
    </row>
    <row r="796" spans="1:15">
      <c r="A796" t="s">
        <v>598</v>
      </c>
      <c r="B796">
        <v>52</v>
      </c>
      <c r="C796" t="s">
        <v>33</v>
      </c>
      <c r="D796">
        <v>1237733</v>
      </c>
      <c r="E796" t="s">
        <v>25</v>
      </c>
      <c r="F796">
        <v>711</v>
      </c>
      <c r="G796">
        <v>1553450</v>
      </c>
      <c r="H796">
        <v>8.11</v>
      </c>
      <c r="I796">
        <v>48</v>
      </c>
      <c r="J796">
        <v>396392</v>
      </c>
      <c r="K796" t="s">
        <v>30</v>
      </c>
      <c r="L796" t="s">
        <v>19</v>
      </c>
      <c r="M796" t="s">
        <v>20</v>
      </c>
      <c r="N796" t="s">
        <v>28</v>
      </c>
      <c r="O796">
        <v>0</v>
      </c>
    </row>
    <row r="797" spans="1:15">
      <c r="A797" t="s">
        <v>803</v>
      </c>
      <c r="B797">
        <v>52</v>
      </c>
      <c r="C797" t="s">
        <v>33</v>
      </c>
      <c r="D797">
        <v>1238239</v>
      </c>
      <c r="E797" t="s">
        <v>17</v>
      </c>
      <c r="F797">
        <v>471</v>
      </c>
      <c r="G797">
        <v>1555219</v>
      </c>
      <c r="H797">
        <v>14.94</v>
      </c>
      <c r="I797">
        <v>48</v>
      </c>
      <c r="J797">
        <v>398777</v>
      </c>
      <c r="K797" t="s">
        <v>11</v>
      </c>
      <c r="L797" t="s">
        <v>19</v>
      </c>
      <c r="M797" t="s">
        <v>27</v>
      </c>
      <c r="N797" t="s">
        <v>28</v>
      </c>
      <c r="O797">
        <v>0</v>
      </c>
    </row>
    <row r="798" spans="1:15">
      <c r="A798" t="s">
        <v>974</v>
      </c>
      <c r="B798">
        <v>52</v>
      </c>
      <c r="C798" t="s">
        <v>33</v>
      </c>
      <c r="D798">
        <v>1238402</v>
      </c>
      <c r="E798" t="s">
        <v>17</v>
      </c>
      <c r="F798">
        <v>505</v>
      </c>
      <c r="G798">
        <v>1557956</v>
      </c>
      <c r="H798">
        <v>10.8</v>
      </c>
      <c r="I798">
        <v>24</v>
      </c>
      <c r="J798">
        <v>398779</v>
      </c>
      <c r="K798" t="s">
        <v>18</v>
      </c>
      <c r="L798" t="s">
        <v>34</v>
      </c>
      <c r="M798" t="s">
        <v>27</v>
      </c>
      <c r="N798" t="s">
        <v>31</v>
      </c>
      <c r="O798">
        <v>1</v>
      </c>
    </row>
    <row r="799" spans="1:15">
      <c r="A799" t="s">
        <v>80</v>
      </c>
      <c r="B799">
        <v>53</v>
      </c>
      <c r="C799" t="s">
        <v>33</v>
      </c>
      <c r="D799">
        <v>1243198</v>
      </c>
      <c r="E799" t="s">
        <v>17</v>
      </c>
      <c r="F799">
        <v>843</v>
      </c>
      <c r="G799">
        <v>1564472</v>
      </c>
      <c r="H799">
        <v>14.45</v>
      </c>
      <c r="I799">
        <v>60</v>
      </c>
      <c r="J799">
        <v>398850</v>
      </c>
      <c r="K799" t="s">
        <v>26</v>
      </c>
      <c r="L799" t="s">
        <v>34</v>
      </c>
      <c r="M799" t="s">
        <v>27</v>
      </c>
      <c r="N799" t="s">
        <v>31</v>
      </c>
      <c r="O799">
        <v>0</v>
      </c>
    </row>
    <row r="800" spans="1:15">
      <c r="A800" t="s">
        <v>192</v>
      </c>
      <c r="B800">
        <v>53</v>
      </c>
      <c r="C800" t="s">
        <v>33</v>
      </c>
      <c r="D800">
        <v>1248463</v>
      </c>
      <c r="E800" t="s">
        <v>17</v>
      </c>
      <c r="F800">
        <v>856</v>
      </c>
      <c r="G800">
        <v>1566278</v>
      </c>
      <c r="H800">
        <v>10.7</v>
      </c>
      <c r="I800">
        <v>12</v>
      </c>
      <c r="J800">
        <v>399212</v>
      </c>
      <c r="K800" t="s">
        <v>18</v>
      </c>
      <c r="L800" t="s">
        <v>19</v>
      </c>
      <c r="M800" t="s">
        <v>27</v>
      </c>
      <c r="N800" t="s">
        <v>28</v>
      </c>
      <c r="O800">
        <v>0</v>
      </c>
    </row>
    <row r="801" spans="1:15">
      <c r="A801" t="s">
        <v>215</v>
      </c>
      <c r="B801">
        <v>53</v>
      </c>
      <c r="C801" t="s">
        <v>33</v>
      </c>
      <c r="D801">
        <v>1249700</v>
      </c>
      <c r="E801" t="s">
        <v>17</v>
      </c>
      <c r="F801">
        <v>858</v>
      </c>
      <c r="G801">
        <v>1568204</v>
      </c>
      <c r="H801">
        <v>11.37</v>
      </c>
      <c r="I801">
        <v>48</v>
      </c>
      <c r="J801">
        <v>399543</v>
      </c>
      <c r="K801" t="s">
        <v>30</v>
      </c>
      <c r="L801" t="s">
        <v>34</v>
      </c>
      <c r="M801" t="s">
        <v>20</v>
      </c>
      <c r="N801" t="s">
        <v>28</v>
      </c>
      <c r="O801">
        <v>0</v>
      </c>
    </row>
    <row r="802" spans="1:15">
      <c r="A802" t="s">
        <v>358</v>
      </c>
      <c r="B802">
        <v>53</v>
      </c>
      <c r="C802" t="s">
        <v>16</v>
      </c>
      <c r="D802">
        <v>1251098</v>
      </c>
      <c r="E802" t="s">
        <v>25</v>
      </c>
      <c r="F802">
        <v>824</v>
      </c>
      <c r="G802">
        <v>1569337</v>
      </c>
      <c r="H802">
        <v>8.7799999999999994</v>
      </c>
      <c r="I802">
        <v>24</v>
      </c>
      <c r="J802">
        <v>399664</v>
      </c>
      <c r="K802" t="s">
        <v>11</v>
      </c>
      <c r="L802" t="s">
        <v>19</v>
      </c>
      <c r="M802" t="s">
        <v>27</v>
      </c>
      <c r="N802" t="s">
        <v>28</v>
      </c>
      <c r="O802">
        <v>0</v>
      </c>
    </row>
    <row r="803" spans="1:15">
      <c r="A803" t="s">
        <v>384</v>
      </c>
      <c r="B803">
        <v>53</v>
      </c>
      <c r="C803" t="s">
        <v>1026</v>
      </c>
      <c r="D803">
        <v>1252463</v>
      </c>
      <c r="E803" t="s">
        <v>17</v>
      </c>
      <c r="F803">
        <v>752</v>
      </c>
      <c r="G803">
        <v>1575790</v>
      </c>
      <c r="H803">
        <v>14.83</v>
      </c>
      <c r="I803">
        <v>60</v>
      </c>
      <c r="J803">
        <v>399871</v>
      </c>
      <c r="K803" t="s">
        <v>26</v>
      </c>
      <c r="L803" t="s">
        <v>34</v>
      </c>
      <c r="M803" t="s">
        <v>20</v>
      </c>
      <c r="N803" t="s">
        <v>21</v>
      </c>
      <c r="O803">
        <v>1</v>
      </c>
    </row>
    <row r="804" spans="1:15">
      <c r="A804" t="s">
        <v>445</v>
      </c>
      <c r="B804">
        <v>53</v>
      </c>
      <c r="C804" t="s">
        <v>16</v>
      </c>
      <c r="D804">
        <v>1253101</v>
      </c>
      <c r="E804" t="s">
        <v>25</v>
      </c>
      <c r="F804">
        <v>851</v>
      </c>
      <c r="G804">
        <v>1585838</v>
      </c>
      <c r="H804">
        <v>9.92</v>
      </c>
      <c r="I804">
        <v>24</v>
      </c>
      <c r="J804">
        <v>401785</v>
      </c>
      <c r="K804" t="s">
        <v>26</v>
      </c>
      <c r="L804" t="s">
        <v>19</v>
      </c>
      <c r="M804" t="s">
        <v>27</v>
      </c>
      <c r="N804" t="s">
        <v>31</v>
      </c>
      <c r="O804">
        <v>0</v>
      </c>
    </row>
    <row r="805" spans="1:15">
      <c r="A805" t="s">
        <v>447</v>
      </c>
      <c r="B805">
        <v>53</v>
      </c>
      <c r="C805" t="s">
        <v>16</v>
      </c>
      <c r="D805">
        <v>1253110</v>
      </c>
      <c r="E805" t="s">
        <v>17</v>
      </c>
      <c r="F805">
        <v>361</v>
      </c>
      <c r="G805">
        <v>1591812</v>
      </c>
      <c r="H805">
        <v>15.46</v>
      </c>
      <c r="I805">
        <v>60</v>
      </c>
      <c r="J805">
        <v>402219</v>
      </c>
      <c r="K805" t="s">
        <v>30</v>
      </c>
      <c r="L805" t="s">
        <v>34</v>
      </c>
      <c r="M805" t="s">
        <v>27</v>
      </c>
      <c r="N805" t="s">
        <v>28</v>
      </c>
      <c r="O805">
        <v>0</v>
      </c>
    </row>
    <row r="806" spans="1:15">
      <c r="A806" t="s">
        <v>498</v>
      </c>
      <c r="B806">
        <v>53</v>
      </c>
      <c r="C806" t="s">
        <v>33</v>
      </c>
      <c r="D806">
        <v>1255392</v>
      </c>
      <c r="E806" t="s">
        <v>17</v>
      </c>
      <c r="F806">
        <v>628</v>
      </c>
      <c r="G806">
        <v>1591943</v>
      </c>
      <c r="H806">
        <v>9.91</v>
      </c>
      <c r="I806">
        <v>24</v>
      </c>
      <c r="J806">
        <v>402429</v>
      </c>
      <c r="K806" t="s">
        <v>30</v>
      </c>
      <c r="L806" t="s">
        <v>19</v>
      </c>
      <c r="M806" t="s">
        <v>27</v>
      </c>
      <c r="N806" t="s">
        <v>28</v>
      </c>
      <c r="O806">
        <v>0</v>
      </c>
    </row>
    <row r="807" spans="1:15">
      <c r="A807" t="s">
        <v>513</v>
      </c>
      <c r="B807">
        <v>53</v>
      </c>
      <c r="C807" t="s">
        <v>16</v>
      </c>
      <c r="D807">
        <v>1255532</v>
      </c>
      <c r="E807" t="s">
        <v>25</v>
      </c>
      <c r="F807">
        <v>511</v>
      </c>
      <c r="G807">
        <v>1593237</v>
      </c>
      <c r="H807">
        <v>16.43</v>
      </c>
      <c r="I807">
        <v>60</v>
      </c>
      <c r="J807">
        <v>402988</v>
      </c>
      <c r="K807" t="s">
        <v>23</v>
      </c>
      <c r="L807" t="s">
        <v>19</v>
      </c>
      <c r="M807" t="s">
        <v>20</v>
      </c>
      <c r="N807" t="s">
        <v>31</v>
      </c>
      <c r="O807">
        <v>1</v>
      </c>
    </row>
    <row r="808" spans="1:15">
      <c r="A808" t="s">
        <v>529</v>
      </c>
      <c r="B808">
        <v>53</v>
      </c>
      <c r="C808" t="s">
        <v>33</v>
      </c>
      <c r="D808">
        <v>1255580</v>
      </c>
      <c r="E808" t="s">
        <v>17</v>
      </c>
      <c r="F808">
        <v>623</v>
      </c>
      <c r="G808">
        <v>1593810</v>
      </c>
      <c r="H808">
        <v>8.15</v>
      </c>
      <c r="I808">
        <v>60</v>
      </c>
      <c r="J808">
        <v>403883</v>
      </c>
      <c r="K808" t="s">
        <v>11</v>
      </c>
      <c r="L808" t="s">
        <v>19</v>
      </c>
      <c r="M808" t="s">
        <v>20</v>
      </c>
      <c r="N808" t="s">
        <v>31</v>
      </c>
      <c r="O808">
        <v>0</v>
      </c>
    </row>
    <row r="809" spans="1:15">
      <c r="A809" t="s">
        <v>549</v>
      </c>
      <c r="B809">
        <v>53</v>
      </c>
      <c r="C809" t="s">
        <v>33</v>
      </c>
      <c r="D809">
        <v>1256154</v>
      </c>
      <c r="E809" t="s">
        <v>25</v>
      </c>
      <c r="F809">
        <v>371</v>
      </c>
      <c r="G809">
        <v>1594958</v>
      </c>
      <c r="H809">
        <v>14.49</v>
      </c>
      <c r="I809">
        <v>24</v>
      </c>
      <c r="J809">
        <v>404759</v>
      </c>
      <c r="K809" t="s">
        <v>18</v>
      </c>
      <c r="L809" t="s">
        <v>34</v>
      </c>
      <c r="M809" t="s">
        <v>20</v>
      </c>
      <c r="N809" t="s">
        <v>28</v>
      </c>
      <c r="O809">
        <v>0</v>
      </c>
    </row>
    <row r="810" spans="1:15">
      <c r="A810" t="s">
        <v>568</v>
      </c>
      <c r="B810">
        <v>53</v>
      </c>
      <c r="C810" t="s">
        <v>33</v>
      </c>
      <c r="D810">
        <v>1256421</v>
      </c>
      <c r="E810" t="s">
        <v>17</v>
      </c>
      <c r="F810">
        <v>618</v>
      </c>
      <c r="G810">
        <v>1601331</v>
      </c>
      <c r="H810">
        <v>12.8</v>
      </c>
      <c r="I810">
        <v>48</v>
      </c>
      <c r="J810">
        <v>405319</v>
      </c>
      <c r="K810" t="s">
        <v>30</v>
      </c>
      <c r="L810" t="s">
        <v>34</v>
      </c>
      <c r="M810" t="s">
        <v>20</v>
      </c>
      <c r="N810" t="s">
        <v>28</v>
      </c>
      <c r="O810">
        <v>0</v>
      </c>
    </row>
    <row r="811" spans="1:15">
      <c r="A811" t="s">
        <v>579</v>
      </c>
      <c r="B811">
        <v>53</v>
      </c>
      <c r="C811" t="s">
        <v>16</v>
      </c>
      <c r="D811">
        <v>1257381</v>
      </c>
      <c r="E811" t="s">
        <v>17</v>
      </c>
      <c r="F811">
        <v>895</v>
      </c>
      <c r="G811">
        <v>1604057</v>
      </c>
      <c r="H811">
        <v>14.61</v>
      </c>
      <c r="I811">
        <v>60</v>
      </c>
      <c r="J811">
        <v>406316</v>
      </c>
      <c r="K811" t="s">
        <v>30</v>
      </c>
      <c r="L811" t="s">
        <v>34</v>
      </c>
      <c r="M811" t="s">
        <v>20</v>
      </c>
      <c r="N811" t="s">
        <v>31</v>
      </c>
      <c r="O811">
        <v>0</v>
      </c>
    </row>
    <row r="812" spans="1:15">
      <c r="A812" t="s">
        <v>721</v>
      </c>
      <c r="B812">
        <v>53</v>
      </c>
      <c r="C812" t="s">
        <v>16</v>
      </c>
      <c r="D812">
        <v>1259537</v>
      </c>
      <c r="E812" t="s">
        <v>25</v>
      </c>
      <c r="F812">
        <v>320</v>
      </c>
      <c r="G812">
        <v>1605652</v>
      </c>
      <c r="H812">
        <v>13.73</v>
      </c>
      <c r="I812">
        <v>12</v>
      </c>
      <c r="J812">
        <v>407357</v>
      </c>
      <c r="K812" t="s">
        <v>23</v>
      </c>
      <c r="L812" t="s">
        <v>19</v>
      </c>
      <c r="M812" t="s">
        <v>27</v>
      </c>
      <c r="N812" t="s">
        <v>28</v>
      </c>
      <c r="O812">
        <v>0</v>
      </c>
    </row>
    <row r="813" spans="1:15">
      <c r="A813" t="s">
        <v>877</v>
      </c>
      <c r="B813">
        <v>53</v>
      </c>
      <c r="C813" t="s">
        <v>16</v>
      </c>
      <c r="D813">
        <v>1259631</v>
      </c>
      <c r="E813" t="s">
        <v>25</v>
      </c>
      <c r="F813">
        <v>757</v>
      </c>
      <c r="G813">
        <v>1607135</v>
      </c>
      <c r="H813">
        <v>8.57</v>
      </c>
      <c r="I813">
        <v>24</v>
      </c>
      <c r="J813">
        <v>407494</v>
      </c>
      <c r="K813" t="s">
        <v>11</v>
      </c>
      <c r="L813" t="s">
        <v>34</v>
      </c>
      <c r="M813" t="s">
        <v>27</v>
      </c>
      <c r="N813" t="s">
        <v>21</v>
      </c>
      <c r="O813">
        <v>1</v>
      </c>
    </row>
    <row r="814" spans="1:15">
      <c r="A814" t="s">
        <v>904</v>
      </c>
      <c r="B814">
        <v>53</v>
      </c>
      <c r="C814" t="s">
        <v>33</v>
      </c>
      <c r="D814">
        <v>1259652</v>
      </c>
      <c r="E814" t="s">
        <v>17</v>
      </c>
      <c r="F814">
        <v>564</v>
      </c>
      <c r="G814">
        <v>1608765</v>
      </c>
      <c r="H814">
        <v>13.43</v>
      </c>
      <c r="I814">
        <v>12</v>
      </c>
      <c r="J814">
        <v>407688</v>
      </c>
      <c r="K814" t="s">
        <v>26</v>
      </c>
      <c r="L814" t="s">
        <v>19</v>
      </c>
      <c r="M814" t="s">
        <v>27</v>
      </c>
      <c r="N814" t="s">
        <v>31</v>
      </c>
      <c r="O814">
        <v>0</v>
      </c>
    </row>
    <row r="815" spans="1:15">
      <c r="A815" t="s">
        <v>911</v>
      </c>
      <c r="B815">
        <v>53</v>
      </c>
      <c r="C815" t="s">
        <v>33</v>
      </c>
      <c r="D815">
        <v>1259692</v>
      </c>
      <c r="E815" t="s">
        <v>25</v>
      </c>
      <c r="F815">
        <v>857</v>
      </c>
      <c r="G815">
        <v>1610229</v>
      </c>
      <c r="H815">
        <v>8.89</v>
      </c>
      <c r="I815">
        <v>24</v>
      </c>
      <c r="J815">
        <v>408353</v>
      </c>
      <c r="K815" t="s">
        <v>26</v>
      </c>
      <c r="L815" t="s">
        <v>19</v>
      </c>
      <c r="M815" t="s">
        <v>27</v>
      </c>
      <c r="N815" t="s">
        <v>28</v>
      </c>
      <c r="O815">
        <v>0</v>
      </c>
    </row>
    <row r="816" spans="1:15">
      <c r="A816" t="s">
        <v>916</v>
      </c>
      <c r="B816">
        <v>53</v>
      </c>
      <c r="C816" t="s">
        <v>16</v>
      </c>
      <c r="D816">
        <v>1261011</v>
      </c>
      <c r="E816" t="s">
        <v>17</v>
      </c>
      <c r="F816">
        <v>438</v>
      </c>
      <c r="G816">
        <v>1611809</v>
      </c>
      <c r="H816">
        <v>10.97</v>
      </c>
      <c r="I816">
        <v>24</v>
      </c>
      <c r="J816">
        <v>408420</v>
      </c>
      <c r="K816" t="s">
        <v>18</v>
      </c>
      <c r="L816" t="s">
        <v>34</v>
      </c>
      <c r="M816" t="s">
        <v>27</v>
      </c>
      <c r="N816" t="s">
        <v>28</v>
      </c>
      <c r="O816">
        <v>1</v>
      </c>
    </row>
    <row r="817" spans="1:15">
      <c r="A817" t="s">
        <v>950</v>
      </c>
      <c r="B817">
        <v>53</v>
      </c>
      <c r="C817" t="s">
        <v>33</v>
      </c>
      <c r="D817">
        <v>1262699</v>
      </c>
      <c r="E817" t="s">
        <v>17</v>
      </c>
      <c r="F817">
        <v>346</v>
      </c>
      <c r="G817">
        <v>1611870</v>
      </c>
      <c r="H817">
        <v>7.73</v>
      </c>
      <c r="I817">
        <v>12</v>
      </c>
      <c r="J817">
        <v>408837</v>
      </c>
      <c r="K817" t="s">
        <v>23</v>
      </c>
      <c r="L817" t="s">
        <v>19</v>
      </c>
      <c r="M817" t="s">
        <v>27</v>
      </c>
      <c r="N817" t="s">
        <v>28</v>
      </c>
      <c r="O817">
        <v>1</v>
      </c>
    </row>
    <row r="818" spans="1:15">
      <c r="A818" t="s">
        <v>958</v>
      </c>
      <c r="B818">
        <v>53</v>
      </c>
      <c r="C818" t="s">
        <v>33</v>
      </c>
      <c r="D818">
        <v>1262759</v>
      </c>
      <c r="E818" t="s">
        <v>25</v>
      </c>
      <c r="F818">
        <v>530</v>
      </c>
      <c r="G818">
        <v>1612033</v>
      </c>
      <c r="H818">
        <v>12.15</v>
      </c>
      <c r="I818">
        <v>48</v>
      </c>
      <c r="J818">
        <v>409232</v>
      </c>
      <c r="K818" t="s">
        <v>11</v>
      </c>
      <c r="L818" t="s">
        <v>34</v>
      </c>
      <c r="M818" t="s">
        <v>20</v>
      </c>
      <c r="N818" t="s">
        <v>21</v>
      </c>
      <c r="O818">
        <v>0</v>
      </c>
    </row>
    <row r="819" spans="1:15">
      <c r="A819" t="s">
        <v>983</v>
      </c>
      <c r="B819">
        <v>53</v>
      </c>
      <c r="C819" t="s">
        <v>16</v>
      </c>
      <c r="D819">
        <v>1264782</v>
      </c>
      <c r="E819" t="s">
        <v>25</v>
      </c>
      <c r="F819">
        <v>878</v>
      </c>
      <c r="G819">
        <v>1612890</v>
      </c>
      <c r="H819">
        <v>13.66</v>
      </c>
      <c r="I819">
        <v>48</v>
      </c>
      <c r="J819">
        <v>409626</v>
      </c>
      <c r="K819" t="s">
        <v>11</v>
      </c>
      <c r="L819" t="s">
        <v>19</v>
      </c>
      <c r="M819" t="s">
        <v>27</v>
      </c>
      <c r="N819" t="s">
        <v>21</v>
      </c>
      <c r="O819">
        <v>1</v>
      </c>
    </row>
    <row r="820" spans="1:15">
      <c r="A820" t="s">
        <v>1002</v>
      </c>
      <c r="B820">
        <v>53</v>
      </c>
      <c r="C820" t="s">
        <v>33</v>
      </c>
      <c r="D820">
        <v>1266709</v>
      </c>
      <c r="E820" t="s">
        <v>25</v>
      </c>
      <c r="F820">
        <v>380</v>
      </c>
      <c r="G820">
        <v>1614680</v>
      </c>
      <c r="H820">
        <v>8.59</v>
      </c>
      <c r="I820">
        <v>24</v>
      </c>
      <c r="J820">
        <v>409644</v>
      </c>
      <c r="K820" t="s">
        <v>18</v>
      </c>
      <c r="L820" t="s">
        <v>34</v>
      </c>
      <c r="M820" t="s">
        <v>20</v>
      </c>
      <c r="N820" t="s">
        <v>28</v>
      </c>
      <c r="O820">
        <v>0</v>
      </c>
    </row>
    <row r="821" spans="1:15">
      <c r="A821" t="s">
        <v>94</v>
      </c>
      <c r="B821">
        <v>54</v>
      </c>
      <c r="C821" t="s">
        <v>16</v>
      </c>
      <c r="D821">
        <v>1267262</v>
      </c>
      <c r="E821" t="s">
        <v>17</v>
      </c>
      <c r="F821">
        <v>514</v>
      </c>
      <c r="G821">
        <v>1617672</v>
      </c>
      <c r="H821">
        <v>16.05</v>
      </c>
      <c r="I821">
        <v>60</v>
      </c>
      <c r="J821">
        <v>409983</v>
      </c>
      <c r="K821" t="s">
        <v>11</v>
      </c>
      <c r="L821" t="s">
        <v>19</v>
      </c>
      <c r="M821" t="s">
        <v>27</v>
      </c>
      <c r="N821" t="s">
        <v>28</v>
      </c>
      <c r="O821">
        <v>0</v>
      </c>
    </row>
    <row r="822" spans="1:15">
      <c r="A822" t="s">
        <v>120</v>
      </c>
      <c r="B822">
        <v>54</v>
      </c>
      <c r="C822" t="s">
        <v>33</v>
      </c>
      <c r="D822">
        <v>1268680</v>
      </c>
      <c r="E822" t="s">
        <v>17</v>
      </c>
      <c r="F822">
        <v>836</v>
      </c>
      <c r="G822">
        <v>1619007</v>
      </c>
      <c r="H822">
        <v>11.71</v>
      </c>
      <c r="I822">
        <v>24</v>
      </c>
      <c r="J822">
        <v>410793</v>
      </c>
      <c r="K822" t="s">
        <v>23</v>
      </c>
      <c r="L822" t="s">
        <v>19</v>
      </c>
      <c r="M822" t="s">
        <v>20</v>
      </c>
      <c r="N822" t="s">
        <v>28</v>
      </c>
      <c r="O822">
        <v>0</v>
      </c>
    </row>
    <row r="823" spans="1:15">
      <c r="A823" t="s">
        <v>149</v>
      </c>
      <c r="B823">
        <v>54</v>
      </c>
      <c r="C823" t="s">
        <v>33</v>
      </c>
      <c r="D823">
        <v>1269418</v>
      </c>
      <c r="E823" t="s">
        <v>25</v>
      </c>
      <c r="F823">
        <v>563</v>
      </c>
      <c r="G823">
        <v>1621651</v>
      </c>
      <c r="H823">
        <v>14.93</v>
      </c>
      <c r="I823">
        <v>48</v>
      </c>
      <c r="J823">
        <v>411391</v>
      </c>
      <c r="K823" t="s">
        <v>23</v>
      </c>
      <c r="L823" t="s">
        <v>19</v>
      </c>
      <c r="M823" t="s">
        <v>20</v>
      </c>
      <c r="N823" t="s">
        <v>28</v>
      </c>
      <c r="O823">
        <v>0</v>
      </c>
    </row>
    <row r="824" spans="1:15">
      <c r="A824" t="s">
        <v>225</v>
      </c>
      <c r="B824">
        <v>54</v>
      </c>
      <c r="C824" t="s">
        <v>33</v>
      </c>
      <c r="D824">
        <v>1272193</v>
      </c>
      <c r="E824" t="s">
        <v>17</v>
      </c>
      <c r="G824">
        <v>1623821</v>
      </c>
      <c r="H824">
        <v>13.45</v>
      </c>
      <c r="I824">
        <v>60</v>
      </c>
      <c r="J824">
        <v>412492</v>
      </c>
      <c r="K824" t="s">
        <v>23</v>
      </c>
      <c r="L824" t="s">
        <v>34</v>
      </c>
      <c r="M824" t="s">
        <v>20</v>
      </c>
      <c r="N824" t="s">
        <v>31</v>
      </c>
      <c r="O824">
        <v>0</v>
      </c>
    </row>
    <row r="825" spans="1:15">
      <c r="A825" t="s">
        <v>234</v>
      </c>
      <c r="B825">
        <v>54</v>
      </c>
      <c r="C825" t="s">
        <v>33</v>
      </c>
      <c r="D825">
        <v>1272237</v>
      </c>
      <c r="E825" t="s">
        <v>25</v>
      </c>
      <c r="F825">
        <v>425</v>
      </c>
      <c r="G825">
        <v>1626191</v>
      </c>
      <c r="H825">
        <v>14.03</v>
      </c>
      <c r="I825">
        <v>24</v>
      </c>
      <c r="J825">
        <v>412820</v>
      </c>
      <c r="K825" t="s">
        <v>30</v>
      </c>
      <c r="L825" t="s">
        <v>34</v>
      </c>
      <c r="M825" t="s">
        <v>20</v>
      </c>
      <c r="N825" t="s">
        <v>21</v>
      </c>
      <c r="O825">
        <v>0</v>
      </c>
    </row>
    <row r="826" spans="1:15">
      <c r="A826" t="s">
        <v>287</v>
      </c>
      <c r="B826">
        <v>54</v>
      </c>
      <c r="C826" t="s">
        <v>16</v>
      </c>
      <c r="D826">
        <v>1273886</v>
      </c>
      <c r="E826" t="s">
        <v>25</v>
      </c>
      <c r="F826">
        <v>789</v>
      </c>
      <c r="G826">
        <v>1629077</v>
      </c>
      <c r="H826">
        <v>11.03</v>
      </c>
      <c r="I826">
        <v>48</v>
      </c>
      <c r="J826">
        <v>413232</v>
      </c>
      <c r="K826" t="s">
        <v>23</v>
      </c>
      <c r="L826" t="s">
        <v>34</v>
      </c>
      <c r="M826" t="s">
        <v>27</v>
      </c>
      <c r="N826" t="s">
        <v>31</v>
      </c>
      <c r="O826">
        <v>0</v>
      </c>
    </row>
    <row r="827" spans="1:15">
      <c r="A827" t="s">
        <v>317</v>
      </c>
      <c r="B827">
        <v>54</v>
      </c>
      <c r="C827" t="s">
        <v>33</v>
      </c>
      <c r="D827">
        <v>1275133</v>
      </c>
      <c r="E827" t="s">
        <v>25</v>
      </c>
      <c r="F827">
        <v>330</v>
      </c>
      <c r="G827">
        <v>1630438</v>
      </c>
      <c r="H827">
        <v>11.88</v>
      </c>
      <c r="I827">
        <v>60</v>
      </c>
      <c r="J827">
        <v>413324</v>
      </c>
      <c r="K827" t="s">
        <v>11</v>
      </c>
      <c r="L827" t="s">
        <v>34</v>
      </c>
      <c r="M827" t="s">
        <v>20</v>
      </c>
      <c r="N827" t="s">
        <v>21</v>
      </c>
      <c r="O827">
        <v>1</v>
      </c>
    </row>
    <row r="828" spans="1:15">
      <c r="A828" t="s">
        <v>478</v>
      </c>
      <c r="B828">
        <v>54</v>
      </c>
      <c r="C828" t="s">
        <v>33</v>
      </c>
      <c r="D828">
        <v>1276527</v>
      </c>
      <c r="E828" t="s">
        <v>25</v>
      </c>
      <c r="F828">
        <v>388</v>
      </c>
      <c r="G828">
        <v>1630699</v>
      </c>
      <c r="H828">
        <v>15.09</v>
      </c>
      <c r="I828">
        <v>36</v>
      </c>
      <c r="J828">
        <v>413879</v>
      </c>
      <c r="K828" t="s">
        <v>18</v>
      </c>
      <c r="L828" t="s">
        <v>19</v>
      </c>
      <c r="M828" t="s">
        <v>27</v>
      </c>
      <c r="N828" t="s">
        <v>31</v>
      </c>
      <c r="O828">
        <v>0</v>
      </c>
    </row>
    <row r="829" spans="1:15">
      <c r="A829" t="s">
        <v>497</v>
      </c>
      <c r="B829">
        <v>54</v>
      </c>
      <c r="C829" t="s">
        <v>16</v>
      </c>
      <c r="D829">
        <v>1276763</v>
      </c>
      <c r="E829" t="s">
        <v>17</v>
      </c>
      <c r="F829">
        <v>620</v>
      </c>
      <c r="G829">
        <v>1634902</v>
      </c>
      <c r="H829">
        <v>11.2</v>
      </c>
      <c r="I829">
        <v>12</v>
      </c>
      <c r="J829">
        <v>414170</v>
      </c>
      <c r="K829" t="s">
        <v>23</v>
      </c>
      <c r="L829" t="s">
        <v>34</v>
      </c>
      <c r="M829" t="s">
        <v>27</v>
      </c>
      <c r="N829" t="s">
        <v>21</v>
      </c>
      <c r="O829">
        <v>0</v>
      </c>
    </row>
    <row r="830" spans="1:15">
      <c r="A830" t="s">
        <v>551</v>
      </c>
      <c r="B830">
        <v>54</v>
      </c>
      <c r="C830" t="s">
        <v>16</v>
      </c>
      <c r="D830">
        <v>1278158</v>
      </c>
      <c r="E830" t="s">
        <v>17</v>
      </c>
      <c r="F830">
        <v>808</v>
      </c>
      <c r="G830">
        <v>1635765</v>
      </c>
      <c r="H830">
        <v>8.4</v>
      </c>
      <c r="I830">
        <v>48</v>
      </c>
      <c r="J830">
        <v>414475</v>
      </c>
      <c r="K830" t="s">
        <v>26</v>
      </c>
      <c r="L830" t="s">
        <v>19</v>
      </c>
      <c r="M830" t="s">
        <v>27</v>
      </c>
      <c r="N830" t="s">
        <v>31</v>
      </c>
      <c r="O830">
        <v>0</v>
      </c>
    </row>
    <row r="831" spans="1:15">
      <c r="A831" t="s">
        <v>576</v>
      </c>
      <c r="B831">
        <v>54</v>
      </c>
      <c r="C831" t="s">
        <v>33</v>
      </c>
      <c r="D831">
        <v>1279284</v>
      </c>
      <c r="E831" t="s">
        <v>25</v>
      </c>
      <c r="F831">
        <v>344</v>
      </c>
      <c r="G831">
        <v>1636091</v>
      </c>
      <c r="H831">
        <v>11.94</v>
      </c>
      <c r="I831">
        <v>36</v>
      </c>
      <c r="J831">
        <v>414530</v>
      </c>
      <c r="K831" t="s">
        <v>30</v>
      </c>
      <c r="L831" t="s">
        <v>34</v>
      </c>
      <c r="M831" t="s">
        <v>20</v>
      </c>
      <c r="N831" t="s">
        <v>28</v>
      </c>
      <c r="O831">
        <v>0</v>
      </c>
    </row>
    <row r="832" spans="1:15">
      <c r="A832" t="s">
        <v>593</v>
      </c>
      <c r="B832">
        <v>54</v>
      </c>
      <c r="C832" t="s">
        <v>16</v>
      </c>
      <c r="D832">
        <v>1282567</v>
      </c>
      <c r="E832" t="s">
        <v>17</v>
      </c>
      <c r="F832">
        <v>503</v>
      </c>
      <c r="G832">
        <v>1637986</v>
      </c>
      <c r="H832">
        <v>11.83</v>
      </c>
      <c r="I832">
        <v>48</v>
      </c>
      <c r="J832">
        <v>414863</v>
      </c>
      <c r="K832" t="s">
        <v>23</v>
      </c>
      <c r="L832" t="s">
        <v>19</v>
      </c>
      <c r="M832" t="s">
        <v>27</v>
      </c>
      <c r="N832" t="s">
        <v>28</v>
      </c>
      <c r="O832">
        <v>1</v>
      </c>
    </row>
    <row r="833" spans="1:15">
      <c r="A833" t="s">
        <v>595</v>
      </c>
      <c r="B833">
        <v>54</v>
      </c>
      <c r="C833" t="s">
        <v>16</v>
      </c>
      <c r="D833">
        <v>1283959</v>
      </c>
      <c r="E833" t="s">
        <v>17</v>
      </c>
      <c r="F833">
        <v>617</v>
      </c>
      <c r="G833">
        <v>1638283</v>
      </c>
      <c r="H833">
        <v>12.17</v>
      </c>
      <c r="I833">
        <v>24</v>
      </c>
      <c r="J833">
        <v>414944</v>
      </c>
      <c r="K833" t="s">
        <v>11</v>
      </c>
      <c r="L833" t="s">
        <v>19</v>
      </c>
      <c r="M833" t="s">
        <v>20</v>
      </c>
      <c r="N833" t="s">
        <v>21</v>
      </c>
      <c r="O833">
        <v>0</v>
      </c>
    </row>
    <row r="834" spans="1:15">
      <c r="A834" t="s">
        <v>597</v>
      </c>
      <c r="B834">
        <v>54</v>
      </c>
      <c r="C834" t="s">
        <v>16</v>
      </c>
      <c r="D834">
        <v>1285079</v>
      </c>
      <c r="E834" t="s">
        <v>25</v>
      </c>
      <c r="F834">
        <v>352</v>
      </c>
      <c r="G834">
        <v>1639451</v>
      </c>
      <c r="H834">
        <v>15.09</v>
      </c>
      <c r="I834">
        <v>60</v>
      </c>
      <c r="J834">
        <v>415712</v>
      </c>
      <c r="K834" t="s">
        <v>30</v>
      </c>
      <c r="L834" t="s">
        <v>19</v>
      </c>
      <c r="M834" t="s">
        <v>20</v>
      </c>
      <c r="N834" t="s">
        <v>28</v>
      </c>
      <c r="O834">
        <v>1</v>
      </c>
    </row>
    <row r="835" spans="1:15">
      <c r="A835" t="s">
        <v>602</v>
      </c>
      <c r="B835">
        <v>54</v>
      </c>
      <c r="C835" t="s">
        <v>16</v>
      </c>
      <c r="D835">
        <v>1287564</v>
      </c>
      <c r="E835" t="s">
        <v>17</v>
      </c>
      <c r="F835">
        <v>549</v>
      </c>
      <c r="G835">
        <v>1643333</v>
      </c>
      <c r="H835">
        <v>8.7100000000000009</v>
      </c>
      <c r="I835">
        <v>12</v>
      </c>
      <c r="J835">
        <v>416655</v>
      </c>
      <c r="K835" t="s">
        <v>30</v>
      </c>
      <c r="L835" t="s">
        <v>34</v>
      </c>
      <c r="M835" t="s">
        <v>20</v>
      </c>
      <c r="N835" t="s">
        <v>21</v>
      </c>
      <c r="O835">
        <v>0</v>
      </c>
    </row>
    <row r="836" spans="1:15">
      <c r="A836" t="s">
        <v>603</v>
      </c>
      <c r="B836">
        <v>54</v>
      </c>
      <c r="C836" t="s">
        <v>33</v>
      </c>
      <c r="D836">
        <v>1287648</v>
      </c>
      <c r="E836" t="s">
        <v>17</v>
      </c>
      <c r="F836">
        <v>327</v>
      </c>
      <c r="G836">
        <v>1644640</v>
      </c>
      <c r="H836">
        <v>12.6</v>
      </c>
      <c r="I836">
        <v>12</v>
      </c>
      <c r="J836">
        <v>417263</v>
      </c>
      <c r="K836" t="s">
        <v>30</v>
      </c>
      <c r="L836" t="s">
        <v>34</v>
      </c>
      <c r="M836" t="s">
        <v>20</v>
      </c>
      <c r="N836" t="s">
        <v>21</v>
      </c>
      <c r="O836">
        <v>0</v>
      </c>
    </row>
    <row r="837" spans="1:15">
      <c r="A837" t="s">
        <v>623</v>
      </c>
      <c r="B837">
        <v>54</v>
      </c>
      <c r="C837" t="s">
        <v>16</v>
      </c>
      <c r="D837">
        <v>1287658</v>
      </c>
      <c r="E837" t="s">
        <v>25</v>
      </c>
      <c r="F837">
        <v>477</v>
      </c>
      <c r="G837">
        <v>1644859</v>
      </c>
      <c r="H837">
        <v>10.78</v>
      </c>
      <c r="I837">
        <v>12</v>
      </c>
      <c r="J837">
        <v>417642</v>
      </c>
      <c r="K837" t="s">
        <v>26</v>
      </c>
      <c r="L837" t="s">
        <v>34</v>
      </c>
      <c r="M837" t="s">
        <v>20</v>
      </c>
      <c r="N837" t="s">
        <v>31</v>
      </c>
      <c r="O837">
        <v>0</v>
      </c>
    </row>
    <row r="838" spans="1:15">
      <c r="A838" t="s">
        <v>675</v>
      </c>
      <c r="B838">
        <v>54</v>
      </c>
      <c r="C838" t="s">
        <v>33</v>
      </c>
      <c r="D838">
        <v>1288480</v>
      </c>
      <c r="E838" t="s">
        <v>17</v>
      </c>
      <c r="F838">
        <v>665</v>
      </c>
      <c r="G838">
        <v>1645660</v>
      </c>
      <c r="H838">
        <v>11.46</v>
      </c>
      <c r="I838">
        <v>24</v>
      </c>
      <c r="J838">
        <v>418327</v>
      </c>
      <c r="K838" t="s">
        <v>18</v>
      </c>
      <c r="L838" t="s">
        <v>34</v>
      </c>
      <c r="M838" t="s">
        <v>20</v>
      </c>
      <c r="N838" t="s">
        <v>21</v>
      </c>
      <c r="O838">
        <v>0</v>
      </c>
    </row>
    <row r="839" spans="1:15">
      <c r="A839" t="s">
        <v>689</v>
      </c>
      <c r="B839">
        <v>54</v>
      </c>
      <c r="C839" t="s">
        <v>33</v>
      </c>
      <c r="D839">
        <v>1288832</v>
      </c>
      <c r="E839" t="s">
        <v>17</v>
      </c>
      <c r="F839">
        <v>428</v>
      </c>
      <c r="G839">
        <v>1646999</v>
      </c>
      <c r="H839">
        <v>9.5399999999999991</v>
      </c>
      <c r="I839">
        <v>60</v>
      </c>
      <c r="J839">
        <v>418349</v>
      </c>
      <c r="K839" t="s">
        <v>30</v>
      </c>
      <c r="L839" t="s">
        <v>19</v>
      </c>
      <c r="M839" t="s">
        <v>20</v>
      </c>
      <c r="N839" t="s">
        <v>31</v>
      </c>
      <c r="O839">
        <v>0</v>
      </c>
    </row>
    <row r="840" spans="1:15">
      <c r="A840" t="s">
        <v>727</v>
      </c>
      <c r="B840">
        <v>54</v>
      </c>
      <c r="C840" t="s">
        <v>33</v>
      </c>
      <c r="D840">
        <v>1292886</v>
      </c>
      <c r="E840" t="s">
        <v>25</v>
      </c>
      <c r="F840">
        <v>410</v>
      </c>
      <c r="G840">
        <v>1652645</v>
      </c>
      <c r="H840">
        <v>7.9</v>
      </c>
      <c r="I840">
        <v>12</v>
      </c>
      <c r="J840">
        <v>419344</v>
      </c>
      <c r="K840" t="s">
        <v>11</v>
      </c>
      <c r="L840" t="s">
        <v>19</v>
      </c>
      <c r="M840" t="s">
        <v>27</v>
      </c>
      <c r="N840" t="s">
        <v>31</v>
      </c>
      <c r="O840">
        <v>0</v>
      </c>
    </row>
    <row r="841" spans="1:15">
      <c r="A841" t="s">
        <v>795</v>
      </c>
      <c r="B841">
        <v>54</v>
      </c>
      <c r="C841" t="s">
        <v>33</v>
      </c>
      <c r="D841">
        <v>1293147</v>
      </c>
      <c r="E841" t="s">
        <v>17</v>
      </c>
      <c r="F841">
        <v>782</v>
      </c>
      <c r="G841">
        <v>1657350</v>
      </c>
      <c r="H841">
        <v>15.19</v>
      </c>
      <c r="I841">
        <v>60</v>
      </c>
      <c r="J841">
        <v>419936</v>
      </c>
      <c r="K841" t="s">
        <v>23</v>
      </c>
      <c r="L841" t="s">
        <v>19</v>
      </c>
      <c r="M841" t="s">
        <v>27</v>
      </c>
      <c r="N841" t="s">
        <v>31</v>
      </c>
      <c r="O841">
        <v>0</v>
      </c>
    </row>
    <row r="842" spans="1:15">
      <c r="A842" t="s">
        <v>810</v>
      </c>
      <c r="B842">
        <v>54</v>
      </c>
      <c r="C842" t="s">
        <v>16</v>
      </c>
      <c r="D842">
        <v>1295021</v>
      </c>
      <c r="E842" t="s">
        <v>25</v>
      </c>
      <c r="F842">
        <v>620</v>
      </c>
      <c r="G842">
        <v>1660491</v>
      </c>
      <c r="H842">
        <v>12.25</v>
      </c>
      <c r="I842">
        <v>12</v>
      </c>
      <c r="J842">
        <v>420321</v>
      </c>
      <c r="K842" t="s">
        <v>18</v>
      </c>
      <c r="L842" t="s">
        <v>34</v>
      </c>
      <c r="M842" t="s">
        <v>20</v>
      </c>
      <c r="N842" t="s">
        <v>28</v>
      </c>
      <c r="O842">
        <v>0</v>
      </c>
    </row>
    <row r="843" spans="1:15">
      <c r="A843" t="s">
        <v>813</v>
      </c>
      <c r="B843">
        <v>54</v>
      </c>
      <c r="C843" t="s">
        <v>33</v>
      </c>
      <c r="D843">
        <v>1296504</v>
      </c>
      <c r="E843" t="s">
        <v>17</v>
      </c>
      <c r="F843">
        <v>304</v>
      </c>
      <c r="G843">
        <v>1661968</v>
      </c>
      <c r="H843">
        <v>8.0399999999999991</v>
      </c>
      <c r="I843">
        <v>12</v>
      </c>
      <c r="J843">
        <v>420573</v>
      </c>
      <c r="K843" t="s">
        <v>23</v>
      </c>
      <c r="L843" t="s">
        <v>19</v>
      </c>
      <c r="M843" t="s">
        <v>27</v>
      </c>
      <c r="N843" t="s">
        <v>21</v>
      </c>
      <c r="O843">
        <v>0</v>
      </c>
    </row>
    <row r="844" spans="1:15">
      <c r="A844" t="s">
        <v>838</v>
      </c>
      <c r="B844">
        <v>54</v>
      </c>
      <c r="C844" t="s">
        <v>1026</v>
      </c>
      <c r="D844">
        <v>1297348</v>
      </c>
      <c r="E844" t="s">
        <v>17</v>
      </c>
      <c r="F844">
        <v>684</v>
      </c>
      <c r="G844">
        <v>1663158</v>
      </c>
      <c r="H844">
        <v>15</v>
      </c>
      <c r="I844">
        <v>24</v>
      </c>
      <c r="J844">
        <v>421031</v>
      </c>
      <c r="K844" t="s">
        <v>23</v>
      </c>
      <c r="L844" t="s">
        <v>19</v>
      </c>
      <c r="M844" t="s">
        <v>20</v>
      </c>
      <c r="N844" t="s">
        <v>21</v>
      </c>
      <c r="O844">
        <v>0</v>
      </c>
    </row>
    <row r="845" spans="1:15">
      <c r="A845" t="s">
        <v>862</v>
      </c>
      <c r="B845">
        <v>54</v>
      </c>
      <c r="C845" t="s">
        <v>1026</v>
      </c>
      <c r="D845">
        <v>1299574</v>
      </c>
      <c r="E845" t="s">
        <v>17</v>
      </c>
      <c r="F845">
        <v>335</v>
      </c>
      <c r="G845">
        <v>1665276</v>
      </c>
      <c r="H845">
        <v>11.28</v>
      </c>
      <c r="I845">
        <v>36</v>
      </c>
      <c r="J845">
        <v>421946</v>
      </c>
      <c r="K845" t="s">
        <v>26</v>
      </c>
      <c r="L845" t="s">
        <v>19</v>
      </c>
      <c r="M845" t="s">
        <v>27</v>
      </c>
      <c r="N845" t="s">
        <v>31</v>
      </c>
      <c r="O845">
        <v>0</v>
      </c>
    </row>
    <row r="846" spans="1:15">
      <c r="A846" t="s">
        <v>880</v>
      </c>
      <c r="B846">
        <v>54</v>
      </c>
      <c r="C846" t="s">
        <v>16</v>
      </c>
      <c r="D846">
        <v>1300184</v>
      </c>
      <c r="E846" t="s">
        <v>17</v>
      </c>
      <c r="F846">
        <v>841</v>
      </c>
      <c r="G846">
        <v>1670601</v>
      </c>
      <c r="H846">
        <v>7.93</v>
      </c>
      <c r="I846">
        <v>48</v>
      </c>
      <c r="J846">
        <v>422087</v>
      </c>
      <c r="K846" t="s">
        <v>26</v>
      </c>
      <c r="L846" t="s">
        <v>34</v>
      </c>
      <c r="M846" t="s">
        <v>20</v>
      </c>
      <c r="N846" t="s">
        <v>28</v>
      </c>
      <c r="O846">
        <v>0</v>
      </c>
    </row>
    <row r="847" spans="1:15">
      <c r="A847" t="s">
        <v>973</v>
      </c>
      <c r="B847">
        <v>54</v>
      </c>
      <c r="C847" t="s">
        <v>33</v>
      </c>
      <c r="D847">
        <v>1300918</v>
      </c>
      <c r="E847" t="s">
        <v>25</v>
      </c>
      <c r="F847">
        <v>555</v>
      </c>
      <c r="G847">
        <v>1672484</v>
      </c>
      <c r="H847">
        <v>14.05</v>
      </c>
      <c r="I847">
        <v>12</v>
      </c>
      <c r="J847">
        <v>423199</v>
      </c>
      <c r="K847" t="s">
        <v>26</v>
      </c>
      <c r="L847" t="s">
        <v>34</v>
      </c>
      <c r="M847" t="s">
        <v>20</v>
      </c>
      <c r="N847" t="s">
        <v>21</v>
      </c>
      <c r="O847">
        <v>0</v>
      </c>
    </row>
    <row r="848" spans="1:15">
      <c r="A848" t="s">
        <v>992</v>
      </c>
      <c r="B848">
        <v>54</v>
      </c>
      <c r="C848" t="s">
        <v>16</v>
      </c>
      <c r="D848">
        <v>1302951</v>
      </c>
      <c r="E848" t="s">
        <v>25</v>
      </c>
      <c r="F848">
        <v>320</v>
      </c>
      <c r="G848">
        <v>1672544</v>
      </c>
      <c r="H848">
        <v>8.8699999999999992</v>
      </c>
      <c r="I848">
        <v>12</v>
      </c>
      <c r="J848">
        <v>423342</v>
      </c>
      <c r="K848" t="s">
        <v>26</v>
      </c>
      <c r="L848" t="s">
        <v>19</v>
      </c>
      <c r="M848" t="s">
        <v>27</v>
      </c>
      <c r="N848" t="s">
        <v>31</v>
      </c>
      <c r="O848">
        <v>1</v>
      </c>
    </row>
    <row r="849" spans="1:15">
      <c r="A849" t="s">
        <v>998</v>
      </c>
      <c r="B849">
        <v>54</v>
      </c>
      <c r="C849" t="s">
        <v>33</v>
      </c>
      <c r="D849">
        <v>1302977</v>
      </c>
      <c r="E849" t="s">
        <v>17</v>
      </c>
      <c r="F849">
        <v>338</v>
      </c>
      <c r="G849">
        <v>1674017</v>
      </c>
      <c r="H849">
        <v>14.7</v>
      </c>
      <c r="I849">
        <v>36</v>
      </c>
      <c r="J849">
        <v>423798</v>
      </c>
      <c r="K849" t="s">
        <v>18</v>
      </c>
      <c r="L849" t="s">
        <v>34</v>
      </c>
      <c r="M849" t="s">
        <v>20</v>
      </c>
      <c r="N849" t="s">
        <v>28</v>
      </c>
      <c r="O849">
        <v>0</v>
      </c>
    </row>
    <row r="850" spans="1:15">
      <c r="A850" t="s">
        <v>107</v>
      </c>
      <c r="B850">
        <v>55</v>
      </c>
      <c r="C850" t="s">
        <v>16</v>
      </c>
      <c r="D850">
        <v>1304418</v>
      </c>
      <c r="E850" t="s">
        <v>17</v>
      </c>
      <c r="F850">
        <v>688</v>
      </c>
      <c r="G850">
        <v>1675223</v>
      </c>
      <c r="H850">
        <v>8.69</v>
      </c>
      <c r="I850">
        <v>48</v>
      </c>
      <c r="J850">
        <v>425305</v>
      </c>
      <c r="K850" t="s">
        <v>18</v>
      </c>
      <c r="L850" t="s">
        <v>34</v>
      </c>
      <c r="M850" t="s">
        <v>20</v>
      </c>
      <c r="N850" t="s">
        <v>28</v>
      </c>
      <c r="O850">
        <v>1</v>
      </c>
    </row>
    <row r="851" spans="1:15">
      <c r="A851" t="s">
        <v>135</v>
      </c>
      <c r="B851">
        <v>55</v>
      </c>
      <c r="C851" t="s">
        <v>33</v>
      </c>
      <c r="D851">
        <v>1304989</v>
      </c>
      <c r="E851" t="s">
        <v>25</v>
      </c>
      <c r="F851">
        <v>319</v>
      </c>
      <c r="G851">
        <v>1675943</v>
      </c>
      <c r="H851">
        <v>10.02</v>
      </c>
      <c r="I851">
        <v>36</v>
      </c>
      <c r="J851">
        <v>425714</v>
      </c>
      <c r="K851" t="s">
        <v>23</v>
      </c>
      <c r="L851" t="s">
        <v>19</v>
      </c>
      <c r="M851" t="s">
        <v>20</v>
      </c>
      <c r="N851" t="s">
        <v>31</v>
      </c>
      <c r="O851">
        <v>1</v>
      </c>
    </row>
    <row r="852" spans="1:15">
      <c r="A852" t="s">
        <v>145</v>
      </c>
      <c r="B852">
        <v>55</v>
      </c>
      <c r="C852" t="s">
        <v>16</v>
      </c>
      <c r="D852">
        <v>1308478</v>
      </c>
      <c r="E852" t="s">
        <v>17</v>
      </c>
      <c r="F852">
        <v>824</v>
      </c>
      <c r="G852">
        <v>1678270</v>
      </c>
      <c r="H852">
        <v>11.47</v>
      </c>
      <c r="I852">
        <v>24</v>
      </c>
      <c r="J852">
        <v>425725</v>
      </c>
      <c r="K852" t="s">
        <v>11</v>
      </c>
      <c r="L852" t="s">
        <v>34</v>
      </c>
      <c r="M852" t="s">
        <v>20</v>
      </c>
      <c r="N852" t="s">
        <v>21</v>
      </c>
      <c r="O852">
        <v>0</v>
      </c>
    </row>
    <row r="853" spans="1:15">
      <c r="A853" t="s">
        <v>201</v>
      </c>
      <c r="B853">
        <v>55</v>
      </c>
      <c r="C853" t="s">
        <v>33</v>
      </c>
      <c r="D853">
        <v>1309593</v>
      </c>
      <c r="E853" t="s">
        <v>25</v>
      </c>
      <c r="F853">
        <v>380</v>
      </c>
      <c r="G853">
        <v>1679260</v>
      </c>
      <c r="H853">
        <v>7.95</v>
      </c>
      <c r="I853">
        <v>12</v>
      </c>
      <c r="J853">
        <v>426951</v>
      </c>
      <c r="K853" t="s">
        <v>18</v>
      </c>
      <c r="L853" t="s">
        <v>19</v>
      </c>
      <c r="M853" t="s">
        <v>27</v>
      </c>
      <c r="N853" t="s">
        <v>21</v>
      </c>
      <c r="O853">
        <v>1</v>
      </c>
    </row>
    <row r="854" spans="1:15">
      <c r="A854" t="s">
        <v>222</v>
      </c>
      <c r="B854">
        <v>55</v>
      </c>
      <c r="C854" t="s">
        <v>33</v>
      </c>
      <c r="D854">
        <v>1310819</v>
      </c>
      <c r="E854" t="s">
        <v>25</v>
      </c>
      <c r="F854">
        <v>819</v>
      </c>
      <c r="G854">
        <v>1679411</v>
      </c>
      <c r="H854">
        <v>11.43</v>
      </c>
      <c r="I854">
        <v>48</v>
      </c>
      <c r="J854">
        <v>427241</v>
      </c>
      <c r="K854" t="s">
        <v>18</v>
      </c>
      <c r="L854" t="s">
        <v>19</v>
      </c>
      <c r="M854" t="s">
        <v>20</v>
      </c>
      <c r="N854" t="s">
        <v>21</v>
      </c>
      <c r="O854">
        <v>0</v>
      </c>
    </row>
    <row r="855" spans="1:15">
      <c r="A855" t="s">
        <v>288</v>
      </c>
      <c r="B855">
        <v>55</v>
      </c>
      <c r="C855" t="s">
        <v>16</v>
      </c>
      <c r="D855">
        <v>1311859</v>
      </c>
      <c r="E855" t="s">
        <v>25</v>
      </c>
      <c r="F855">
        <v>786</v>
      </c>
      <c r="G855">
        <v>1679584</v>
      </c>
      <c r="H855">
        <v>11.09</v>
      </c>
      <c r="I855">
        <v>36</v>
      </c>
      <c r="J855">
        <v>427270</v>
      </c>
      <c r="K855" t="s">
        <v>30</v>
      </c>
      <c r="L855" t="s">
        <v>34</v>
      </c>
      <c r="M855" t="s">
        <v>20</v>
      </c>
      <c r="N855" t="s">
        <v>31</v>
      </c>
      <c r="O855">
        <v>0</v>
      </c>
    </row>
    <row r="856" spans="1:15">
      <c r="A856" t="s">
        <v>321</v>
      </c>
      <c r="B856">
        <v>55</v>
      </c>
      <c r="C856" t="s">
        <v>33</v>
      </c>
      <c r="D856">
        <v>1311997</v>
      </c>
      <c r="E856" t="s">
        <v>17</v>
      </c>
      <c r="F856">
        <v>336</v>
      </c>
      <c r="G856">
        <v>1680451</v>
      </c>
      <c r="H856">
        <v>10.67</v>
      </c>
      <c r="I856">
        <v>60</v>
      </c>
      <c r="J856">
        <v>427321</v>
      </c>
      <c r="K856" t="s">
        <v>11</v>
      </c>
      <c r="L856" t="s">
        <v>34</v>
      </c>
      <c r="M856" t="s">
        <v>20</v>
      </c>
      <c r="N856" t="s">
        <v>28</v>
      </c>
      <c r="O856">
        <v>0</v>
      </c>
    </row>
    <row r="857" spans="1:15">
      <c r="A857" t="s">
        <v>350</v>
      </c>
      <c r="B857">
        <v>55</v>
      </c>
      <c r="C857" t="s">
        <v>33</v>
      </c>
      <c r="D857">
        <v>1312846</v>
      </c>
      <c r="E857" t="s">
        <v>17</v>
      </c>
      <c r="F857">
        <v>368</v>
      </c>
      <c r="G857">
        <v>1680757</v>
      </c>
      <c r="H857">
        <v>12.3</v>
      </c>
      <c r="I857">
        <v>24</v>
      </c>
      <c r="J857">
        <v>427469</v>
      </c>
      <c r="K857" t="s">
        <v>23</v>
      </c>
      <c r="L857" t="s">
        <v>19</v>
      </c>
      <c r="M857" t="s">
        <v>20</v>
      </c>
      <c r="N857" t="s">
        <v>21</v>
      </c>
      <c r="O857">
        <v>1</v>
      </c>
    </row>
    <row r="858" spans="1:15">
      <c r="A858" t="s">
        <v>385</v>
      </c>
      <c r="B858">
        <v>55</v>
      </c>
      <c r="C858" t="s">
        <v>33</v>
      </c>
      <c r="D858">
        <v>1314535</v>
      </c>
      <c r="E858" t="s">
        <v>17</v>
      </c>
      <c r="F858">
        <v>598</v>
      </c>
      <c r="G858">
        <v>1683302</v>
      </c>
      <c r="H858">
        <v>11.56</v>
      </c>
      <c r="I858">
        <v>60</v>
      </c>
      <c r="J858">
        <v>428433</v>
      </c>
      <c r="K858" t="s">
        <v>26</v>
      </c>
      <c r="L858" t="s">
        <v>34</v>
      </c>
      <c r="M858" t="s">
        <v>20</v>
      </c>
      <c r="N858" t="s">
        <v>28</v>
      </c>
      <c r="O858">
        <v>1</v>
      </c>
    </row>
    <row r="859" spans="1:15">
      <c r="A859" t="s">
        <v>392</v>
      </c>
      <c r="B859">
        <v>55</v>
      </c>
      <c r="C859" t="s">
        <v>16</v>
      </c>
      <c r="D859">
        <v>1317107</v>
      </c>
      <c r="E859" t="s">
        <v>25</v>
      </c>
      <c r="F859">
        <v>861</v>
      </c>
      <c r="G859">
        <v>1684132</v>
      </c>
      <c r="H859">
        <v>11.87</v>
      </c>
      <c r="I859">
        <v>24</v>
      </c>
      <c r="J859">
        <v>428514</v>
      </c>
      <c r="K859" t="s">
        <v>30</v>
      </c>
      <c r="L859" t="s">
        <v>19</v>
      </c>
      <c r="M859" t="s">
        <v>20</v>
      </c>
      <c r="N859" t="s">
        <v>31</v>
      </c>
      <c r="O859">
        <v>0</v>
      </c>
    </row>
    <row r="860" spans="1:15">
      <c r="A860" t="s">
        <v>398</v>
      </c>
      <c r="B860">
        <v>55</v>
      </c>
      <c r="C860" t="s">
        <v>16</v>
      </c>
      <c r="D860">
        <v>1317192</v>
      </c>
      <c r="E860" t="s">
        <v>25</v>
      </c>
      <c r="F860">
        <v>329</v>
      </c>
      <c r="G860">
        <v>1684362</v>
      </c>
      <c r="H860">
        <v>7.59</v>
      </c>
      <c r="I860">
        <v>12</v>
      </c>
      <c r="J860">
        <v>428790</v>
      </c>
      <c r="K860" t="s">
        <v>26</v>
      </c>
      <c r="L860" t="s">
        <v>34</v>
      </c>
      <c r="M860" t="s">
        <v>27</v>
      </c>
      <c r="N860" t="s">
        <v>31</v>
      </c>
      <c r="O860">
        <v>1</v>
      </c>
    </row>
    <row r="861" spans="1:15">
      <c r="A861" t="s">
        <v>450</v>
      </c>
      <c r="B861">
        <v>55</v>
      </c>
      <c r="C861" t="s">
        <v>33</v>
      </c>
      <c r="D861">
        <v>1317783</v>
      </c>
      <c r="E861" t="s">
        <v>17</v>
      </c>
      <c r="F861">
        <v>489</v>
      </c>
      <c r="G861">
        <v>1684750</v>
      </c>
      <c r="H861">
        <v>15.05</v>
      </c>
      <c r="I861">
        <v>48</v>
      </c>
      <c r="J861">
        <v>428790</v>
      </c>
      <c r="K861" t="s">
        <v>11</v>
      </c>
      <c r="L861" t="s">
        <v>34</v>
      </c>
      <c r="M861" t="s">
        <v>27</v>
      </c>
      <c r="N861" t="s">
        <v>21</v>
      </c>
      <c r="O861">
        <v>0</v>
      </c>
    </row>
    <row r="862" spans="1:15">
      <c r="A862" t="s">
        <v>463</v>
      </c>
      <c r="B862">
        <v>55</v>
      </c>
      <c r="C862" t="s">
        <v>16</v>
      </c>
      <c r="D862">
        <v>1318008</v>
      </c>
      <c r="E862" t="s">
        <v>25</v>
      </c>
      <c r="F862">
        <v>708</v>
      </c>
      <c r="G862">
        <v>1689300</v>
      </c>
      <c r="H862">
        <v>11.63</v>
      </c>
      <c r="I862">
        <v>24</v>
      </c>
      <c r="J862">
        <v>429089</v>
      </c>
      <c r="K862" t="s">
        <v>23</v>
      </c>
      <c r="L862" t="s">
        <v>19</v>
      </c>
      <c r="M862" t="s">
        <v>27</v>
      </c>
      <c r="N862" t="s">
        <v>28</v>
      </c>
      <c r="O862">
        <v>0</v>
      </c>
    </row>
    <row r="863" spans="1:15">
      <c r="A863" t="s">
        <v>466</v>
      </c>
      <c r="B863">
        <v>55</v>
      </c>
      <c r="C863" t="s">
        <v>16</v>
      </c>
      <c r="D863">
        <v>1320543</v>
      </c>
      <c r="E863" t="s">
        <v>17</v>
      </c>
      <c r="F863">
        <v>487</v>
      </c>
      <c r="G863">
        <v>1692493</v>
      </c>
      <c r="H863">
        <v>14.15</v>
      </c>
      <c r="I863">
        <v>60</v>
      </c>
      <c r="J863">
        <v>429541</v>
      </c>
      <c r="K863" t="s">
        <v>18</v>
      </c>
      <c r="L863" t="s">
        <v>19</v>
      </c>
      <c r="M863" t="s">
        <v>20</v>
      </c>
      <c r="N863" t="s">
        <v>21</v>
      </c>
      <c r="O863">
        <v>0</v>
      </c>
    </row>
    <row r="864" spans="1:15">
      <c r="A864" t="s">
        <v>527</v>
      </c>
      <c r="B864">
        <v>55</v>
      </c>
      <c r="C864" t="s">
        <v>16</v>
      </c>
      <c r="D864">
        <v>1320820</v>
      </c>
      <c r="E864" t="s">
        <v>25</v>
      </c>
      <c r="F864">
        <v>882</v>
      </c>
      <c r="G864">
        <v>1701026</v>
      </c>
      <c r="H864">
        <v>15.76</v>
      </c>
      <c r="I864">
        <v>48</v>
      </c>
      <c r="J864">
        <v>430190</v>
      </c>
      <c r="K864" t="s">
        <v>18</v>
      </c>
      <c r="L864" t="s">
        <v>19</v>
      </c>
      <c r="M864" t="s">
        <v>27</v>
      </c>
      <c r="N864" t="s">
        <v>28</v>
      </c>
      <c r="O864">
        <v>1</v>
      </c>
    </row>
    <row r="865" spans="1:15">
      <c r="A865" t="s">
        <v>587</v>
      </c>
      <c r="B865">
        <v>55</v>
      </c>
      <c r="C865" t="s">
        <v>33</v>
      </c>
      <c r="D865">
        <v>1321439</v>
      </c>
      <c r="E865" t="s">
        <v>25</v>
      </c>
      <c r="F865">
        <v>399</v>
      </c>
      <c r="G865">
        <v>1702025</v>
      </c>
      <c r="H865">
        <v>8.93</v>
      </c>
      <c r="I865">
        <v>36</v>
      </c>
      <c r="J865">
        <v>430247</v>
      </c>
      <c r="K865" t="s">
        <v>18</v>
      </c>
      <c r="L865" t="s">
        <v>19</v>
      </c>
      <c r="M865" t="s">
        <v>27</v>
      </c>
      <c r="N865" t="s">
        <v>28</v>
      </c>
      <c r="O865">
        <v>1</v>
      </c>
    </row>
    <row r="866" spans="1:15">
      <c r="A866" t="s">
        <v>596</v>
      </c>
      <c r="B866">
        <v>55</v>
      </c>
      <c r="C866" t="s">
        <v>33</v>
      </c>
      <c r="D866">
        <v>1323249</v>
      </c>
      <c r="E866" t="s">
        <v>17</v>
      </c>
      <c r="F866">
        <v>779</v>
      </c>
      <c r="G866">
        <v>1702628</v>
      </c>
      <c r="H866">
        <v>15.93</v>
      </c>
      <c r="I866">
        <v>36</v>
      </c>
      <c r="J866">
        <v>430307</v>
      </c>
      <c r="K866" t="s">
        <v>11</v>
      </c>
      <c r="L866" t="s">
        <v>34</v>
      </c>
      <c r="M866" t="s">
        <v>27</v>
      </c>
      <c r="N866" t="s">
        <v>31</v>
      </c>
      <c r="O866">
        <v>0</v>
      </c>
    </row>
    <row r="867" spans="1:15">
      <c r="A867" t="s">
        <v>622</v>
      </c>
      <c r="B867">
        <v>55</v>
      </c>
      <c r="C867" t="s">
        <v>33</v>
      </c>
      <c r="D867">
        <v>1323560</v>
      </c>
      <c r="E867" t="s">
        <v>25</v>
      </c>
      <c r="F867">
        <v>706</v>
      </c>
      <c r="G867">
        <v>1703483</v>
      </c>
      <c r="H867">
        <v>11.36</v>
      </c>
      <c r="I867">
        <v>60</v>
      </c>
      <c r="J867">
        <v>430575</v>
      </c>
      <c r="K867" t="s">
        <v>30</v>
      </c>
      <c r="L867" t="s">
        <v>19</v>
      </c>
      <c r="M867" t="s">
        <v>20</v>
      </c>
      <c r="N867" t="s">
        <v>21</v>
      </c>
      <c r="O867">
        <v>0</v>
      </c>
    </row>
    <row r="868" spans="1:15">
      <c r="A868" t="s">
        <v>734</v>
      </c>
      <c r="B868">
        <v>55</v>
      </c>
      <c r="C868" t="s">
        <v>16</v>
      </c>
      <c r="D868">
        <v>1325297</v>
      </c>
      <c r="E868" t="s">
        <v>17</v>
      </c>
      <c r="F868">
        <v>756</v>
      </c>
      <c r="G868">
        <v>1705429</v>
      </c>
      <c r="H868">
        <v>14.14</v>
      </c>
      <c r="I868">
        <v>36</v>
      </c>
      <c r="J868">
        <v>432096</v>
      </c>
      <c r="K868" t="s">
        <v>30</v>
      </c>
      <c r="L868" t="s">
        <v>19</v>
      </c>
      <c r="M868" t="s">
        <v>27</v>
      </c>
      <c r="N868" t="s">
        <v>31</v>
      </c>
      <c r="O868">
        <v>0</v>
      </c>
    </row>
    <row r="869" spans="1:15">
      <c r="A869" t="s">
        <v>811</v>
      </c>
      <c r="B869">
        <v>55</v>
      </c>
      <c r="C869" t="s">
        <v>33</v>
      </c>
      <c r="D869">
        <v>1328835</v>
      </c>
      <c r="E869" t="s">
        <v>17</v>
      </c>
      <c r="F869">
        <v>640</v>
      </c>
      <c r="G869">
        <v>1705615</v>
      </c>
      <c r="H869">
        <v>14.23</v>
      </c>
      <c r="I869">
        <v>24</v>
      </c>
      <c r="J869">
        <v>432307</v>
      </c>
      <c r="K869" t="s">
        <v>18</v>
      </c>
      <c r="L869" t="s">
        <v>19</v>
      </c>
      <c r="M869" t="s">
        <v>27</v>
      </c>
      <c r="N869" t="s">
        <v>28</v>
      </c>
      <c r="O869">
        <v>0</v>
      </c>
    </row>
    <row r="870" spans="1:15">
      <c r="A870" t="s">
        <v>919</v>
      </c>
      <c r="B870">
        <v>55</v>
      </c>
      <c r="C870" t="s">
        <v>16</v>
      </c>
      <c r="D870">
        <v>1329230</v>
      </c>
      <c r="E870" t="s">
        <v>17</v>
      </c>
      <c r="F870">
        <v>463</v>
      </c>
      <c r="G870">
        <v>1705674</v>
      </c>
      <c r="H870">
        <v>7.6</v>
      </c>
      <c r="I870">
        <v>60</v>
      </c>
      <c r="J870">
        <v>432398</v>
      </c>
      <c r="K870" t="s">
        <v>11</v>
      </c>
      <c r="L870" t="s">
        <v>19</v>
      </c>
      <c r="M870" t="s">
        <v>27</v>
      </c>
      <c r="N870" t="s">
        <v>21</v>
      </c>
      <c r="O870">
        <v>0</v>
      </c>
    </row>
    <row r="871" spans="1:15">
      <c r="A871" t="s">
        <v>959</v>
      </c>
      <c r="B871">
        <v>55</v>
      </c>
      <c r="C871" t="s">
        <v>33</v>
      </c>
      <c r="D871">
        <v>1329861</v>
      </c>
      <c r="E871" t="s">
        <v>25</v>
      </c>
      <c r="F871">
        <v>865</v>
      </c>
      <c r="G871">
        <v>1705742</v>
      </c>
      <c r="H871">
        <v>11.16</v>
      </c>
      <c r="I871">
        <v>24</v>
      </c>
      <c r="J871">
        <v>433047</v>
      </c>
      <c r="K871" t="s">
        <v>18</v>
      </c>
      <c r="L871" t="s">
        <v>34</v>
      </c>
      <c r="M871" t="s">
        <v>27</v>
      </c>
      <c r="N871" t="s">
        <v>21</v>
      </c>
      <c r="O871">
        <v>0</v>
      </c>
    </row>
    <row r="872" spans="1:15">
      <c r="A872" t="s">
        <v>982</v>
      </c>
      <c r="B872">
        <v>55</v>
      </c>
      <c r="C872" t="s">
        <v>16</v>
      </c>
      <c r="D872">
        <v>1331289</v>
      </c>
      <c r="E872" t="s">
        <v>25</v>
      </c>
      <c r="F872">
        <v>665</v>
      </c>
      <c r="G872">
        <v>1706078</v>
      </c>
      <c r="H872">
        <v>8.09</v>
      </c>
      <c r="I872">
        <v>60</v>
      </c>
      <c r="J872">
        <v>433168</v>
      </c>
      <c r="K872" t="s">
        <v>26</v>
      </c>
      <c r="L872" t="s">
        <v>19</v>
      </c>
      <c r="M872" t="s">
        <v>20</v>
      </c>
      <c r="N872" t="s">
        <v>21</v>
      </c>
      <c r="O872">
        <v>0</v>
      </c>
    </row>
    <row r="873" spans="1:15">
      <c r="A873" t="s">
        <v>1004</v>
      </c>
      <c r="B873">
        <v>55</v>
      </c>
      <c r="C873" t="s">
        <v>33</v>
      </c>
      <c r="D873">
        <v>1332326</v>
      </c>
      <c r="E873" t="s">
        <v>17</v>
      </c>
      <c r="F873">
        <v>703</v>
      </c>
      <c r="G873">
        <v>1706252</v>
      </c>
      <c r="H873">
        <v>10.95</v>
      </c>
      <c r="I873">
        <v>48</v>
      </c>
      <c r="J873">
        <v>433227</v>
      </c>
      <c r="K873" t="s">
        <v>11</v>
      </c>
      <c r="L873" t="s">
        <v>19</v>
      </c>
      <c r="M873" t="s">
        <v>20</v>
      </c>
      <c r="N873" t="s">
        <v>31</v>
      </c>
      <c r="O873">
        <v>0</v>
      </c>
    </row>
    <row r="874" spans="1:15">
      <c r="A874" t="s">
        <v>61</v>
      </c>
      <c r="B874">
        <v>56</v>
      </c>
      <c r="C874" t="s">
        <v>33</v>
      </c>
      <c r="D874">
        <v>1333255</v>
      </c>
      <c r="E874" t="s">
        <v>25</v>
      </c>
      <c r="F874">
        <v>582</v>
      </c>
      <c r="G874">
        <v>1709951</v>
      </c>
      <c r="H874">
        <v>11.3</v>
      </c>
      <c r="I874">
        <v>60</v>
      </c>
      <c r="J874">
        <v>433427</v>
      </c>
      <c r="K874" t="s">
        <v>23</v>
      </c>
      <c r="L874" t="s">
        <v>19</v>
      </c>
      <c r="M874" t="s">
        <v>20</v>
      </c>
      <c r="N874" t="s">
        <v>21</v>
      </c>
      <c r="O874">
        <v>0</v>
      </c>
    </row>
    <row r="875" spans="1:15">
      <c r="A875" t="s">
        <v>82</v>
      </c>
      <c r="B875">
        <v>56</v>
      </c>
      <c r="C875" t="s">
        <v>33</v>
      </c>
      <c r="D875">
        <v>1335533</v>
      </c>
      <c r="E875" t="s">
        <v>17</v>
      </c>
      <c r="F875">
        <v>851</v>
      </c>
      <c r="G875">
        <v>1710386</v>
      </c>
      <c r="H875">
        <v>9.07</v>
      </c>
      <c r="I875">
        <v>24</v>
      </c>
      <c r="J875">
        <v>434412</v>
      </c>
      <c r="K875" t="s">
        <v>26</v>
      </c>
      <c r="L875" t="s">
        <v>19</v>
      </c>
      <c r="M875" t="s">
        <v>20</v>
      </c>
      <c r="N875" t="s">
        <v>21</v>
      </c>
      <c r="O875">
        <v>0</v>
      </c>
    </row>
    <row r="876" spans="1:15">
      <c r="A876" t="s">
        <v>133</v>
      </c>
      <c r="B876">
        <v>56</v>
      </c>
      <c r="C876" t="s">
        <v>16</v>
      </c>
      <c r="D876">
        <v>1336530</v>
      </c>
      <c r="E876" t="s">
        <v>17</v>
      </c>
      <c r="F876">
        <v>612</v>
      </c>
      <c r="G876">
        <v>1710786</v>
      </c>
      <c r="H876">
        <v>9.4600000000000009</v>
      </c>
      <c r="I876">
        <v>24</v>
      </c>
      <c r="J876">
        <v>434697</v>
      </c>
      <c r="K876" t="s">
        <v>26</v>
      </c>
      <c r="L876" t="s">
        <v>19</v>
      </c>
      <c r="M876" t="s">
        <v>27</v>
      </c>
      <c r="N876" t="s">
        <v>28</v>
      </c>
      <c r="O876">
        <v>0</v>
      </c>
    </row>
    <row r="877" spans="1:15">
      <c r="A877" t="s">
        <v>212</v>
      </c>
      <c r="B877">
        <v>56</v>
      </c>
      <c r="C877" t="s">
        <v>33</v>
      </c>
      <c r="D877">
        <v>1337321</v>
      </c>
      <c r="E877" t="s">
        <v>17</v>
      </c>
      <c r="F877">
        <v>472</v>
      </c>
      <c r="G877">
        <v>1714048</v>
      </c>
      <c r="H877">
        <v>12.42</v>
      </c>
      <c r="I877">
        <v>24</v>
      </c>
      <c r="J877">
        <v>434755</v>
      </c>
      <c r="K877" t="s">
        <v>23</v>
      </c>
      <c r="L877" t="s">
        <v>34</v>
      </c>
      <c r="M877" t="s">
        <v>20</v>
      </c>
      <c r="N877" t="s">
        <v>21</v>
      </c>
      <c r="O877">
        <v>0</v>
      </c>
    </row>
    <row r="878" spans="1:15">
      <c r="A878" t="s">
        <v>230</v>
      </c>
      <c r="B878">
        <v>56</v>
      </c>
      <c r="C878" t="s">
        <v>16</v>
      </c>
      <c r="D878">
        <v>1337515</v>
      </c>
      <c r="E878" t="s">
        <v>25</v>
      </c>
      <c r="F878">
        <v>594</v>
      </c>
      <c r="G878">
        <v>1715151</v>
      </c>
      <c r="H878">
        <v>11.7</v>
      </c>
      <c r="I878">
        <v>48</v>
      </c>
      <c r="J878">
        <v>435167</v>
      </c>
      <c r="K878" t="s">
        <v>26</v>
      </c>
      <c r="L878" t="s">
        <v>34</v>
      </c>
      <c r="M878" t="s">
        <v>20</v>
      </c>
      <c r="N878" t="s">
        <v>28</v>
      </c>
      <c r="O878">
        <v>0</v>
      </c>
    </row>
    <row r="879" spans="1:15">
      <c r="A879" t="s">
        <v>259</v>
      </c>
      <c r="B879">
        <v>56</v>
      </c>
      <c r="C879" t="s">
        <v>16</v>
      </c>
      <c r="D879">
        <v>1337734</v>
      </c>
      <c r="E879" t="s">
        <v>17</v>
      </c>
      <c r="F879">
        <v>446</v>
      </c>
      <c r="G879">
        <v>1716512</v>
      </c>
      <c r="H879">
        <v>12.78</v>
      </c>
      <c r="I879">
        <v>12</v>
      </c>
      <c r="J879">
        <v>435513</v>
      </c>
      <c r="K879" t="s">
        <v>23</v>
      </c>
      <c r="L879" t="s">
        <v>34</v>
      </c>
      <c r="M879" t="s">
        <v>27</v>
      </c>
      <c r="N879" t="s">
        <v>31</v>
      </c>
      <c r="O879">
        <v>0</v>
      </c>
    </row>
    <row r="880" spans="1:15">
      <c r="A880" t="s">
        <v>512</v>
      </c>
      <c r="B880">
        <v>56</v>
      </c>
      <c r="C880" t="s">
        <v>16</v>
      </c>
      <c r="D880">
        <v>1338095</v>
      </c>
      <c r="E880" t="s">
        <v>25</v>
      </c>
      <c r="F880">
        <v>852</v>
      </c>
      <c r="G880">
        <v>1717696</v>
      </c>
      <c r="H880">
        <v>11.02</v>
      </c>
      <c r="I880">
        <v>12</v>
      </c>
      <c r="J880">
        <v>436198</v>
      </c>
      <c r="K880" t="s">
        <v>30</v>
      </c>
      <c r="L880" t="s">
        <v>34</v>
      </c>
      <c r="M880" t="s">
        <v>27</v>
      </c>
      <c r="N880" t="s">
        <v>21</v>
      </c>
      <c r="O880">
        <v>0</v>
      </c>
    </row>
    <row r="881" spans="1:15">
      <c r="A881" t="s">
        <v>514</v>
      </c>
      <c r="B881">
        <v>56</v>
      </c>
      <c r="C881" t="s">
        <v>33</v>
      </c>
      <c r="D881">
        <v>1339886</v>
      </c>
      <c r="E881" t="s">
        <v>25</v>
      </c>
      <c r="F881">
        <v>800</v>
      </c>
      <c r="G881">
        <v>1720939</v>
      </c>
      <c r="H881">
        <v>16.41</v>
      </c>
      <c r="I881">
        <v>36</v>
      </c>
      <c r="J881">
        <v>436362</v>
      </c>
      <c r="K881" t="s">
        <v>11</v>
      </c>
      <c r="L881" t="s">
        <v>34</v>
      </c>
      <c r="M881" t="s">
        <v>27</v>
      </c>
      <c r="N881" t="s">
        <v>28</v>
      </c>
      <c r="O881">
        <v>0</v>
      </c>
    </row>
    <row r="882" spans="1:15">
      <c r="A882" t="s">
        <v>553</v>
      </c>
      <c r="B882">
        <v>56</v>
      </c>
      <c r="C882" t="s">
        <v>33</v>
      </c>
      <c r="D882">
        <v>1340809</v>
      </c>
      <c r="E882" t="s">
        <v>17</v>
      </c>
      <c r="F882">
        <v>610</v>
      </c>
      <c r="G882">
        <v>1721052</v>
      </c>
      <c r="H882">
        <v>11.97</v>
      </c>
      <c r="I882">
        <v>12</v>
      </c>
      <c r="J882">
        <v>436624</v>
      </c>
      <c r="K882" t="s">
        <v>23</v>
      </c>
      <c r="L882" t="s">
        <v>19</v>
      </c>
      <c r="M882" t="s">
        <v>20</v>
      </c>
      <c r="N882" t="s">
        <v>21</v>
      </c>
      <c r="O882">
        <v>0</v>
      </c>
    </row>
    <row r="883" spans="1:15">
      <c r="A883" t="s">
        <v>708</v>
      </c>
      <c r="B883">
        <v>56</v>
      </c>
      <c r="C883" t="s">
        <v>33</v>
      </c>
      <c r="D883">
        <v>1340912</v>
      </c>
      <c r="E883" t="s">
        <v>17</v>
      </c>
      <c r="F883">
        <v>862</v>
      </c>
      <c r="G883">
        <v>1721802</v>
      </c>
      <c r="H883">
        <v>12.32</v>
      </c>
      <c r="I883">
        <v>36</v>
      </c>
      <c r="J883">
        <v>437465</v>
      </c>
      <c r="K883" t="s">
        <v>26</v>
      </c>
      <c r="L883" t="s">
        <v>19</v>
      </c>
      <c r="M883" t="s">
        <v>20</v>
      </c>
      <c r="N883" t="s">
        <v>31</v>
      </c>
      <c r="O883">
        <v>0</v>
      </c>
    </row>
    <row r="884" spans="1:15">
      <c r="A884" t="s">
        <v>897</v>
      </c>
      <c r="B884">
        <v>56</v>
      </c>
      <c r="C884" t="s">
        <v>33</v>
      </c>
      <c r="D884">
        <v>1341042</v>
      </c>
      <c r="E884" t="s">
        <v>17</v>
      </c>
      <c r="F884">
        <v>412</v>
      </c>
      <c r="G884">
        <v>1722812</v>
      </c>
      <c r="H884">
        <v>11.94</v>
      </c>
      <c r="I884">
        <v>24</v>
      </c>
      <c r="J884">
        <v>438013</v>
      </c>
      <c r="K884" t="s">
        <v>18</v>
      </c>
      <c r="L884" t="s">
        <v>19</v>
      </c>
      <c r="M884" t="s">
        <v>27</v>
      </c>
      <c r="N884" t="s">
        <v>21</v>
      </c>
      <c r="O884">
        <v>0</v>
      </c>
    </row>
    <row r="885" spans="1:15">
      <c r="A885" t="s">
        <v>914</v>
      </c>
      <c r="B885">
        <v>56</v>
      </c>
      <c r="C885" t="s">
        <v>16</v>
      </c>
      <c r="D885">
        <v>1341295</v>
      </c>
      <c r="E885" t="s">
        <v>25</v>
      </c>
      <c r="F885">
        <v>460</v>
      </c>
      <c r="G885">
        <v>1723175</v>
      </c>
      <c r="H885">
        <v>9.1199999999999992</v>
      </c>
      <c r="I885">
        <v>48</v>
      </c>
      <c r="J885">
        <v>438100</v>
      </c>
      <c r="K885" t="s">
        <v>23</v>
      </c>
      <c r="L885" t="s">
        <v>19</v>
      </c>
      <c r="M885" t="s">
        <v>20</v>
      </c>
      <c r="N885" t="s">
        <v>31</v>
      </c>
      <c r="O885">
        <v>0</v>
      </c>
    </row>
    <row r="886" spans="1:15">
      <c r="A886" t="s">
        <v>924</v>
      </c>
      <c r="B886">
        <v>56</v>
      </c>
      <c r="C886" t="s">
        <v>33</v>
      </c>
      <c r="D886">
        <v>1342129</v>
      </c>
      <c r="E886" t="s">
        <v>25</v>
      </c>
      <c r="F886">
        <v>663</v>
      </c>
      <c r="G886">
        <v>1734490</v>
      </c>
      <c r="H886">
        <v>11.31</v>
      </c>
      <c r="I886">
        <v>24</v>
      </c>
      <c r="J886">
        <v>438173</v>
      </c>
      <c r="K886" t="s">
        <v>23</v>
      </c>
      <c r="L886" t="s">
        <v>34</v>
      </c>
      <c r="M886" t="s">
        <v>20</v>
      </c>
      <c r="N886" t="s">
        <v>21</v>
      </c>
      <c r="O886">
        <v>0</v>
      </c>
    </row>
    <row r="887" spans="1:15">
      <c r="A887" t="s">
        <v>1016</v>
      </c>
      <c r="B887">
        <v>56</v>
      </c>
      <c r="C887" t="s">
        <v>33</v>
      </c>
      <c r="D887">
        <v>1342518</v>
      </c>
      <c r="E887" t="s">
        <v>17</v>
      </c>
      <c r="F887">
        <v>831</v>
      </c>
      <c r="G887">
        <v>1734671</v>
      </c>
      <c r="H887">
        <v>15.62</v>
      </c>
      <c r="I887">
        <v>24</v>
      </c>
      <c r="J887">
        <v>438273</v>
      </c>
      <c r="K887" t="s">
        <v>30</v>
      </c>
      <c r="L887" t="s">
        <v>19</v>
      </c>
      <c r="M887" t="s">
        <v>20</v>
      </c>
      <c r="N887" t="s">
        <v>28</v>
      </c>
      <c r="O887">
        <v>0</v>
      </c>
    </row>
    <row r="888" spans="1:15">
      <c r="A888" t="s">
        <v>75</v>
      </c>
      <c r="B888">
        <v>57</v>
      </c>
      <c r="C888" t="s">
        <v>33</v>
      </c>
      <c r="D888">
        <v>1343547</v>
      </c>
      <c r="E888" t="s">
        <v>17</v>
      </c>
      <c r="F888">
        <v>377</v>
      </c>
      <c r="G888">
        <v>1736115</v>
      </c>
      <c r="H888">
        <v>7.77</v>
      </c>
      <c r="I888">
        <v>12</v>
      </c>
      <c r="J888">
        <v>438496</v>
      </c>
      <c r="K888" t="s">
        <v>23</v>
      </c>
      <c r="L888" t="s">
        <v>19</v>
      </c>
      <c r="M888" t="s">
        <v>27</v>
      </c>
      <c r="N888" t="s">
        <v>28</v>
      </c>
      <c r="O888">
        <v>0</v>
      </c>
    </row>
    <row r="889" spans="1:15">
      <c r="A889" t="s">
        <v>115</v>
      </c>
      <c r="B889">
        <v>57</v>
      </c>
      <c r="C889" t="s">
        <v>33</v>
      </c>
      <c r="D889">
        <v>1344375</v>
      </c>
      <c r="E889" t="s">
        <v>25</v>
      </c>
      <c r="F889">
        <v>376</v>
      </c>
      <c r="G889">
        <v>1736749</v>
      </c>
      <c r="H889">
        <v>15.5</v>
      </c>
      <c r="I889">
        <v>24</v>
      </c>
      <c r="J889">
        <v>438839</v>
      </c>
      <c r="K889" t="s">
        <v>30</v>
      </c>
      <c r="L889" t="s">
        <v>34</v>
      </c>
      <c r="M889" t="s">
        <v>27</v>
      </c>
      <c r="N889" t="s">
        <v>31</v>
      </c>
      <c r="O889">
        <v>0</v>
      </c>
    </row>
    <row r="890" spans="1:15">
      <c r="A890" t="s">
        <v>132</v>
      </c>
      <c r="B890">
        <v>57</v>
      </c>
      <c r="C890" t="s">
        <v>16</v>
      </c>
      <c r="D890">
        <v>1345318</v>
      </c>
      <c r="E890" t="s">
        <v>25</v>
      </c>
      <c r="F890">
        <v>696</v>
      </c>
      <c r="G890">
        <v>1736833</v>
      </c>
      <c r="H890">
        <v>7.8</v>
      </c>
      <c r="I890">
        <v>24</v>
      </c>
      <c r="J890">
        <v>439150</v>
      </c>
      <c r="K890" t="s">
        <v>18</v>
      </c>
      <c r="L890" t="s">
        <v>34</v>
      </c>
      <c r="M890" t="s">
        <v>20</v>
      </c>
      <c r="N890" t="s">
        <v>21</v>
      </c>
      <c r="O890">
        <v>0</v>
      </c>
    </row>
    <row r="891" spans="1:15">
      <c r="A891" t="s">
        <v>134</v>
      </c>
      <c r="B891">
        <v>57</v>
      </c>
      <c r="C891" t="s">
        <v>16</v>
      </c>
      <c r="D891">
        <v>1345491</v>
      </c>
      <c r="E891" t="s">
        <v>25</v>
      </c>
      <c r="F891">
        <v>792</v>
      </c>
      <c r="G891">
        <v>1742589</v>
      </c>
      <c r="H891">
        <v>11.77</v>
      </c>
      <c r="I891">
        <v>60</v>
      </c>
      <c r="J891">
        <v>439482</v>
      </c>
      <c r="K891" t="s">
        <v>11</v>
      </c>
      <c r="L891" t="s">
        <v>19</v>
      </c>
      <c r="M891" t="s">
        <v>27</v>
      </c>
      <c r="N891" t="s">
        <v>21</v>
      </c>
      <c r="O891">
        <v>0</v>
      </c>
    </row>
    <row r="892" spans="1:15">
      <c r="A892" t="s">
        <v>164</v>
      </c>
      <c r="B892">
        <v>57</v>
      </c>
      <c r="C892" t="s">
        <v>33</v>
      </c>
      <c r="D892">
        <v>1346158</v>
      </c>
      <c r="E892" t="s">
        <v>17</v>
      </c>
      <c r="F892">
        <v>851</v>
      </c>
      <c r="G892">
        <v>1744174</v>
      </c>
      <c r="H892">
        <v>10.029999999999999</v>
      </c>
      <c r="I892">
        <v>60</v>
      </c>
      <c r="J892">
        <v>439482</v>
      </c>
      <c r="K892" t="s">
        <v>18</v>
      </c>
      <c r="L892" t="s">
        <v>19</v>
      </c>
      <c r="M892" t="s">
        <v>20</v>
      </c>
      <c r="N892" t="s">
        <v>28</v>
      </c>
      <c r="O892">
        <v>0</v>
      </c>
    </row>
    <row r="893" spans="1:15">
      <c r="A893" t="s">
        <v>172</v>
      </c>
      <c r="B893">
        <v>57</v>
      </c>
      <c r="C893" t="s">
        <v>16</v>
      </c>
      <c r="D893">
        <v>1346895</v>
      </c>
      <c r="E893" t="s">
        <v>25</v>
      </c>
      <c r="F893">
        <v>652</v>
      </c>
      <c r="G893">
        <v>1746415</v>
      </c>
      <c r="H893">
        <v>15.99</v>
      </c>
      <c r="I893">
        <v>36</v>
      </c>
      <c r="J893">
        <v>439749</v>
      </c>
      <c r="K893" t="s">
        <v>26</v>
      </c>
      <c r="L893" t="s">
        <v>34</v>
      </c>
      <c r="M893" t="s">
        <v>27</v>
      </c>
      <c r="N893" t="s">
        <v>28</v>
      </c>
      <c r="O893">
        <v>0</v>
      </c>
    </row>
    <row r="894" spans="1:15">
      <c r="A894" t="s">
        <v>219</v>
      </c>
      <c r="B894">
        <v>57</v>
      </c>
      <c r="C894" t="s">
        <v>33</v>
      </c>
      <c r="D894">
        <v>1347479</v>
      </c>
      <c r="E894" t="s">
        <v>25</v>
      </c>
      <c r="F894">
        <v>373</v>
      </c>
      <c r="G894">
        <v>1755708</v>
      </c>
      <c r="H894">
        <v>9.61</v>
      </c>
      <c r="I894">
        <v>12</v>
      </c>
      <c r="J894">
        <v>439794</v>
      </c>
      <c r="K894" t="s">
        <v>26</v>
      </c>
      <c r="L894" t="s">
        <v>19</v>
      </c>
      <c r="M894" t="s">
        <v>20</v>
      </c>
      <c r="N894" t="s">
        <v>31</v>
      </c>
      <c r="O894">
        <v>0</v>
      </c>
    </row>
    <row r="895" spans="1:15">
      <c r="A895" t="s">
        <v>284</v>
      </c>
      <c r="B895">
        <v>57</v>
      </c>
      <c r="C895" t="s">
        <v>33</v>
      </c>
      <c r="D895">
        <v>1349842</v>
      </c>
      <c r="E895" t="s">
        <v>17</v>
      </c>
      <c r="G895">
        <v>1755796</v>
      </c>
      <c r="H895">
        <v>15.31</v>
      </c>
      <c r="I895">
        <v>24</v>
      </c>
      <c r="J895">
        <v>439975</v>
      </c>
      <c r="K895" t="s">
        <v>23</v>
      </c>
      <c r="L895" t="s">
        <v>19</v>
      </c>
      <c r="M895" t="s">
        <v>20</v>
      </c>
      <c r="N895" t="s">
        <v>28</v>
      </c>
      <c r="O895">
        <v>1</v>
      </c>
    </row>
    <row r="896" spans="1:15">
      <c r="A896" t="s">
        <v>381</v>
      </c>
      <c r="B896">
        <v>57</v>
      </c>
      <c r="C896" t="s">
        <v>16</v>
      </c>
      <c r="D896">
        <v>1349897</v>
      </c>
      <c r="E896" t="s">
        <v>25</v>
      </c>
      <c r="F896">
        <v>363</v>
      </c>
      <c r="G896">
        <v>1763818</v>
      </c>
      <c r="H896">
        <v>11.16</v>
      </c>
      <c r="I896">
        <v>12</v>
      </c>
      <c r="J896">
        <v>440822</v>
      </c>
      <c r="K896" t="s">
        <v>11</v>
      </c>
      <c r="L896" t="s">
        <v>34</v>
      </c>
      <c r="M896" t="s">
        <v>27</v>
      </c>
      <c r="N896" t="s">
        <v>31</v>
      </c>
      <c r="O896">
        <v>0</v>
      </c>
    </row>
    <row r="897" spans="1:15">
      <c r="A897" t="s">
        <v>400</v>
      </c>
      <c r="B897">
        <v>57</v>
      </c>
      <c r="C897" t="s">
        <v>16</v>
      </c>
      <c r="D897">
        <v>1350071</v>
      </c>
      <c r="E897" t="s">
        <v>25</v>
      </c>
      <c r="F897">
        <v>627</v>
      </c>
      <c r="G897">
        <v>1765787</v>
      </c>
      <c r="H897">
        <v>9.1199999999999992</v>
      </c>
      <c r="I897">
        <v>60</v>
      </c>
      <c r="J897">
        <v>441289</v>
      </c>
      <c r="K897" t="s">
        <v>11</v>
      </c>
      <c r="L897" t="s">
        <v>34</v>
      </c>
      <c r="M897" t="s">
        <v>20</v>
      </c>
      <c r="N897" t="s">
        <v>31</v>
      </c>
      <c r="O897">
        <v>0</v>
      </c>
    </row>
    <row r="898" spans="1:15">
      <c r="A898" t="s">
        <v>528</v>
      </c>
      <c r="B898">
        <v>57</v>
      </c>
      <c r="C898" t="s">
        <v>16</v>
      </c>
      <c r="D898">
        <v>1350170</v>
      </c>
      <c r="E898" t="s">
        <v>17</v>
      </c>
      <c r="F898">
        <v>810</v>
      </c>
      <c r="G898">
        <v>1767504</v>
      </c>
      <c r="H898">
        <v>9.61</v>
      </c>
      <c r="I898">
        <v>60</v>
      </c>
      <c r="J898">
        <v>441839</v>
      </c>
      <c r="K898" t="s">
        <v>30</v>
      </c>
      <c r="L898" t="s">
        <v>34</v>
      </c>
      <c r="M898" t="s">
        <v>27</v>
      </c>
      <c r="N898" t="s">
        <v>28</v>
      </c>
      <c r="O898">
        <v>0</v>
      </c>
    </row>
    <row r="899" spans="1:15">
      <c r="A899" t="s">
        <v>573</v>
      </c>
      <c r="B899">
        <v>57</v>
      </c>
      <c r="C899" t="s">
        <v>33</v>
      </c>
      <c r="D899">
        <v>1351162</v>
      </c>
      <c r="E899" t="s">
        <v>17</v>
      </c>
      <c r="F899">
        <v>666</v>
      </c>
      <c r="G899">
        <v>1768137</v>
      </c>
      <c r="H899">
        <v>10.78</v>
      </c>
      <c r="I899">
        <v>48</v>
      </c>
      <c r="J899">
        <v>442145</v>
      </c>
      <c r="K899" t="s">
        <v>26</v>
      </c>
      <c r="L899" t="s">
        <v>34</v>
      </c>
      <c r="M899" t="s">
        <v>27</v>
      </c>
      <c r="N899" t="s">
        <v>31</v>
      </c>
      <c r="O899">
        <v>0</v>
      </c>
    </row>
    <row r="900" spans="1:15">
      <c r="A900" t="s">
        <v>631</v>
      </c>
      <c r="B900">
        <v>57</v>
      </c>
      <c r="C900" t="s">
        <v>33</v>
      </c>
      <c r="D900">
        <v>1352224</v>
      </c>
      <c r="E900" t="s">
        <v>17</v>
      </c>
      <c r="F900">
        <v>502</v>
      </c>
      <c r="G900">
        <v>1770743</v>
      </c>
      <c r="H900">
        <v>10.31</v>
      </c>
      <c r="I900">
        <v>24</v>
      </c>
      <c r="J900">
        <v>442194</v>
      </c>
      <c r="K900" t="s">
        <v>23</v>
      </c>
      <c r="L900" t="s">
        <v>34</v>
      </c>
      <c r="M900" t="s">
        <v>27</v>
      </c>
      <c r="N900" t="s">
        <v>31</v>
      </c>
      <c r="O900">
        <v>0</v>
      </c>
    </row>
    <row r="901" spans="1:15">
      <c r="A901" t="s">
        <v>652</v>
      </c>
      <c r="B901">
        <v>57</v>
      </c>
      <c r="C901" t="s">
        <v>16</v>
      </c>
      <c r="D901">
        <v>1353016</v>
      </c>
      <c r="E901" t="s">
        <v>25</v>
      </c>
      <c r="F901">
        <v>542</v>
      </c>
      <c r="G901">
        <v>1771470</v>
      </c>
      <c r="H901">
        <v>9.18</v>
      </c>
      <c r="I901">
        <v>60</v>
      </c>
      <c r="J901">
        <v>442566</v>
      </c>
      <c r="K901" t="s">
        <v>30</v>
      </c>
      <c r="L901" t="s">
        <v>34</v>
      </c>
      <c r="M901" t="s">
        <v>20</v>
      </c>
      <c r="N901" t="s">
        <v>21</v>
      </c>
      <c r="O901">
        <v>0</v>
      </c>
    </row>
    <row r="902" spans="1:15">
      <c r="A902" t="s">
        <v>655</v>
      </c>
      <c r="B902">
        <v>57</v>
      </c>
      <c r="C902" t="s">
        <v>16</v>
      </c>
      <c r="D902">
        <v>1355962</v>
      </c>
      <c r="E902" t="s">
        <v>17</v>
      </c>
      <c r="F902">
        <v>687</v>
      </c>
      <c r="G902">
        <v>1771508</v>
      </c>
      <c r="H902">
        <v>8.67</v>
      </c>
      <c r="I902">
        <v>48</v>
      </c>
      <c r="J902">
        <v>442682</v>
      </c>
      <c r="K902" t="s">
        <v>23</v>
      </c>
      <c r="L902" t="s">
        <v>19</v>
      </c>
      <c r="M902" t="s">
        <v>27</v>
      </c>
      <c r="N902" t="s">
        <v>31</v>
      </c>
      <c r="O902">
        <v>0</v>
      </c>
    </row>
    <row r="903" spans="1:15">
      <c r="A903" t="s">
        <v>659</v>
      </c>
      <c r="B903">
        <v>57</v>
      </c>
      <c r="C903" t="s">
        <v>16</v>
      </c>
      <c r="D903">
        <v>1356477</v>
      </c>
      <c r="E903" t="s">
        <v>17</v>
      </c>
      <c r="F903">
        <v>510</v>
      </c>
      <c r="G903">
        <v>1772170</v>
      </c>
      <c r="H903">
        <v>10.51</v>
      </c>
      <c r="I903">
        <v>36</v>
      </c>
      <c r="J903">
        <v>443032</v>
      </c>
      <c r="K903" t="s">
        <v>30</v>
      </c>
      <c r="L903" t="s">
        <v>19</v>
      </c>
      <c r="M903" t="s">
        <v>20</v>
      </c>
      <c r="N903" t="s">
        <v>31</v>
      </c>
      <c r="O903">
        <v>0</v>
      </c>
    </row>
    <row r="904" spans="1:15">
      <c r="A904" t="s">
        <v>684</v>
      </c>
      <c r="B904">
        <v>57</v>
      </c>
      <c r="C904" t="s">
        <v>33</v>
      </c>
      <c r="D904">
        <v>1357154</v>
      </c>
      <c r="E904" t="s">
        <v>25</v>
      </c>
      <c r="F904">
        <v>763</v>
      </c>
      <c r="G904">
        <v>1772170</v>
      </c>
      <c r="H904">
        <v>14.89</v>
      </c>
      <c r="I904">
        <v>36</v>
      </c>
      <c r="J904">
        <v>444952</v>
      </c>
      <c r="K904" t="s">
        <v>26</v>
      </c>
      <c r="L904" t="s">
        <v>34</v>
      </c>
      <c r="M904" t="s">
        <v>27</v>
      </c>
      <c r="N904" t="s">
        <v>28</v>
      </c>
      <c r="O904">
        <v>0</v>
      </c>
    </row>
    <row r="905" spans="1:15">
      <c r="A905" t="s">
        <v>687</v>
      </c>
      <c r="B905">
        <v>57</v>
      </c>
      <c r="C905" t="s">
        <v>33</v>
      </c>
      <c r="D905">
        <v>1357165</v>
      </c>
      <c r="E905" t="s">
        <v>17</v>
      </c>
      <c r="F905">
        <v>417</v>
      </c>
      <c r="G905">
        <v>1777527</v>
      </c>
      <c r="H905">
        <v>10.199999999999999</v>
      </c>
      <c r="I905">
        <v>60</v>
      </c>
      <c r="J905">
        <v>445180</v>
      </c>
      <c r="K905" t="s">
        <v>26</v>
      </c>
      <c r="L905" t="s">
        <v>19</v>
      </c>
      <c r="M905" t="s">
        <v>27</v>
      </c>
      <c r="N905" t="s">
        <v>31</v>
      </c>
      <c r="O905">
        <v>0</v>
      </c>
    </row>
    <row r="906" spans="1:15">
      <c r="A906" t="s">
        <v>694</v>
      </c>
      <c r="B906">
        <v>57</v>
      </c>
      <c r="C906" t="s">
        <v>16</v>
      </c>
      <c r="D906">
        <v>1360754</v>
      </c>
      <c r="E906" t="s">
        <v>17</v>
      </c>
      <c r="F906">
        <v>601</v>
      </c>
      <c r="G906">
        <v>1778224</v>
      </c>
      <c r="H906">
        <v>8.89</v>
      </c>
      <c r="I906">
        <v>60</v>
      </c>
      <c r="J906">
        <v>446315</v>
      </c>
      <c r="K906" t="s">
        <v>23</v>
      </c>
      <c r="L906" t="s">
        <v>34</v>
      </c>
      <c r="M906" t="s">
        <v>20</v>
      </c>
      <c r="N906" t="s">
        <v>31</v>
      </c>
      <c r="O906">
        <v>0</v>
      </c>
    </row>
    <row r="907" spans="1:15">
      <c r="A907" t="s">
        <v>773</v>
      </c>
      <c r="B907">
        <v>57</v>
      </c>
      <c r="C907" t="s">
        <v>16</v>
      </c>
      <c r="D907">
        <v>1360792</v>
      </c>
      <c r="E907" t="s">
        <v>17</v>
      </c>
      <c r="F907">
        <v>877</v>
      </c>
      <c r="G907">
        <v>1779663</v>
      </c>
      <c r="H907">
        <v>9.89</v>
      </c>
      <c r="I907">
        <v>12</v>
      </c>
      <c r="J907">
        <v>446659</v>
      </c>
      <c r="K907" t="s">
        <v>30</v>
      </c>
      <c r="L907" t="s">
        <v>19</v>
      </c>
      <c r="M907" t="s">
        <v>27</v>
      </c>
      <c r="N907" t="s">
        <v>21</v>
      </c>
      <c r="O907">
        <v>1</v>
      </c>
    </row>
    <row r="908" spans="1:15">
      <c r="A908" t="s">
        <v>833</v>
      </c>
      <c r="B908">
        <v>57</v>
      </c>
      <c r="C908" t="s">
        <v>16</v>
      </c>
      <c r="D908">
        <v>1361491</v>
      </c>
      <c r="E908" t="s">
        <v>25</v>
      </c>
      <c r="F908">
        <v>334</v>
      </c>
      <c r="G908">
        <v>1779806</v>
      </c>
      <c r="H908">
        <v>11.07</v>
      </c>
      <c r="I908">
        <v>48</v>
      </c>
      <c r="J908">
        <v>447045</v>
      </c>
      <c r="K908" t="s">
        <v>30</v>
      </c>
      <c r="L908" t="s">
        <v>34</v>
      </c>
      <c r="M908" t="s">
        <v>27</v>
      </c>
      <c r="N908" t="s">
        <v>31</v>
      </c>
      <c r="O908">
        <v>0</v>
      </c>
    </row>
    <row r="909" spans="1:15">
      <c r="A909" t="s">
        <v>854</v>
      </c>
      <c r="B909">
        <v>57</v>
      </c>
      <c r="C909" t="s">
        <v>33</v>
      </c>
      <c r="D909">
        <v>1361857</v>
      </c>
      <c r="E909" t="s">
        <v>17</v>
      </c>
      <c r="F909">
        <v>777</v>
      </c>
      <c r="G909">
        <v>1780173</v>
      </c>
      <c r="H909">
        <v>13.55</v>
      </c>
      <c r="I909">
        <v>60</v>
      </c>
      <c r="J909">
        <v>447243</v>
      </c>
      <c r="K909" t="s">
        <v>11</v>
      </c>
      <c r="L909" t="s">
        <v>34</v>
      </c>
      <c r="M909" t="s">
        <v>20</v>
      </c>
      <c r="N909" t="s">
        <v>31</v>
      </c>
      <c r="O909">
        <v>0</v>
      </c>
    </row>
    <row r="910" spans="1:15">
      <c r="A910" t="s">
        <v>876</v>
      </c>
      <c r="B910">
        <v>57</v>
      </c>
      <c r="C910" t="s">
        <v>33</v>
      </c>
      <c r="D910">
        <v>1367163</v>
      </c>
      <c r="E910" t="s">
        <v>17</v>
      </c>
      <c r="F910">
        <v>725</v>
      </c>
      <c r="G910">
        <v>1785585</v>
      </c>
      <c r="H910">
        <v>13.8</v>
      </c>
      <c r="I910">
        <v>36</v>
      </c>
      <c r="J910">
        <v>447530</v>
      </c>
      <c r="K910" t="s">
        <v>26</v>
      </c>
      <c r="L910" t="s">
        <v>19</v>
      </c>
      <c r="M910" t="s">
        <v>20</v>
      </c>
      <c r="N910" t="s">
        <v>21</v>
      </c>
      <c r="O910">
        <v>1</v>
      </c>
    </row>
    <row r="911" spans="1:15">
      <c r="A911" t="s">
        <v>898</v>
      </c>
      <c r="B911">
        <v>57</v>
      </c>
      <c r="C911" t="s">
        <v>16</v>
      </c>
      <c r="D911">
        <v>1367318</v>
      </c>
      <c r="E911" t="s">
        <v>25</v>
      </c>
      <c r="F911">
        <v>560</v>
      </c>
      <c r="G911">
        <v>1786653</v>
      </c>
      <c r="H911">
        <v>7.55</v>
      </c>
      <c r="I911">
        <v>12</v>
      </c>
      <c r="J911">
        <v>448039</v>
      </c>
      <c r="K911" t="s">
        <v>26</v>
      </c>
      <c r="L911" t="s">
        <v>34</v>
      </c>
      <c r="M911" t="s">
        <v>27</v>
      </c>
      <c r="N911" t="s">
        <v>31</v>
      </c>
      <c r="O911">
        <v>0</v>
      </c>
    </row>
    <row r="912" spans="1:15">
      <c r="A912" t="s">
        <v>912</v>
      </c>
      <c r="B912">
        <v>57</v>
      </c>
      <c r="C912" t="s">
        <v>16</v>
      </c>
      <c r="D912">
        <v>1367719</v>
      </c>
      <c r="E912" t="s">
        <v>17</v>
      </c>
      <c r="F912">
        <v>573</v>
      </c>
      <c r="G912">
        <v>1787693</v>
      </c>
      <c r="H912">
        <v>9.57</v>
      </c>
      <c r="I912">
        <v>12</v>
      </c>
      <c r="J912">
        <v>448148</v>
      </c>
      <c r="K912" t="s">
        <v>26</v>
      </c>
      <c r="L912" t="s">
        <v>19</v>
      </c>
      <c r="M912" t="s">
        <v>27</v>
      </c>
      <c r="N912" t="s">
        <v>28</v>
      </c>
      <c r="O912">
        <v>0</v>
      </c>
    </row>
    <row r="913" spans="1:15">
      <c r="A913" t="s">
        <v>934</v>
      </c>
      <c r="B913">
        <v>57</v>
      </c>
      <c r="C913" t="s">
        <v>16</v>
      </c>
      <c r="D913">
        <v>1374068</v>
      </c>
      <c r="E913" t="s">
        <v>17</v>
      </c>
      <c r="F913">
        <v>872</v>
      </c>
      <c r="G913">
        <v>1787746</v>
      </c>
      <c r="H913">
        <v>11.31</v>
      </c>
      <c r="I913">
        <v>36</v>
      </c>
      <c r="J913">
        <v>448275</v>
      </c>
      <c r="K913" t="s">
        <v>30</v>
      </c>
      <c r="L913" t="s">
        <v>34</v>
      </c>
      <c r="M913" t="s">
        <v>20</v>
      </c>
      <c r="N913" t="s">
        <v>21</v>
      </c>
      <c r="O913">
        <v>0</v>
      </c>
    </row>
    <row r="914" spans="1:15">
      <c r="A914" t="s">
        <v>43</v>
      </c>
      <c r="B914">
        <v>58</v>
      </c>
      <c r="C914" t="s">
        <v>16</v>
      </c>
      <c r="D914">
        <v>1374435</v>
      </c>
      <c r="E914" t="s">
        <v>17</v>
      </c>
      <c r="F914">
        <v>857</v>
      </c>
      <c r="G914">
        <v>1788900</v>
      </c>
      <c r="H914">
        <v>7.83</v>
      </c>
      <c r="I914">
        <v>36</v>
      </c>
      <c r="J914">
        <v>448481</v>
      </c>
      <c r="K914" t="s">
        <v>18</v>
      </c>
      <c r="L914" t="s">
        <v>19</v>
      </c>
      <c r="M914" t="s">
        <v>27</v>
      </c>
      <c r="N914" t="s">
        <v>31</v>
      </c>
      <c r="O914">
        <v>0</v>
      </c>
    </row>
    <row r="915" spans="1:15">
      <c r="A915" t="s">
        <v>49</v>
      </c>
      <c r="B915">
        <v>58</v>
      </c>
      <c r="C915" t="s">
        <v>16</v>
      </c>
      <c r="D915">
        <v>1376640</v>
      </c>
      <c r="E915" t="s">
        <v>17</v>
      </c>
      <c r="F915">
        <v>798</v>
      </c>
      <c r="G915">
        <v>1793261</v>
      </c>
      <c r="H915">
        <v>11.42</v>
      </c>
      <c r="I915">
        <v>12</v>
      </c>
      <c r="J915">
        <v>448496</v>
      </c>
      <c r="K915" t="s">
        <v>18</v>
      </c>
      <c r="L915" t="s">
        <v>34</v>
      </c>
      <c r="M915" t="s">
        <v>27</v>
      </c>
      <c r="N915" t="s">
        <v>28</v>
      </c>
      <c r="O915">
        <v>0</v>
      </c>
    </row>
    <row r="916" spans="1:15">
      <c r="A916" t="s">
        <v>71</v>
      </c>
      <c r="B916">
        <v>58</v>
      </c>
      <c r="C916" t="s">
        <v>16</v>
      </c>
      <c r="D916">
        <v>1377048</v>
      </c>
      <c r="E916" t="s">
        <v>25</v>
      </c>
      <c r="F916">
        <v>467</v>
      </c>
      <c r="G916">
        <v>1795591</v>
      </c>
      <c r="H916">
        <v>13.99</v>
      </c>
      <c r="I916">
        <v>36</v>
      </c>
      <c r="J916">
        <v>448785</v>
      </c>
      <c r="K916" t="s">
        <v>23</v>
      </c>
      <c r="L916" t="s">
        <v>19</v>
      </c>
      <c r="M916" t="s">
        <v>20</v>
      </c>
      <c r="N916" t="s">
        <v>31</v>
      </c>
      <c r="O916">
        <v>0</v>
      </c>
    </row>
    <row r="917" spans="1:15">
      <c r="A917" t="s">
        <v>77</v>
      </c>
      <c r="B917">
        <v>58</v>
      </c>
      <c r="C917" t="s">
        <v>16</v>
      </c>
      <c r="D917">
        <v>1380928</v>
      </c>
      <c r="E917" t="s">
        <v>25</v>
      </c>
      <c r="F917">
        <v>326</v>
      </c>
      <c r="G917">
        <v>1796132</v>
      </c>
      <c r="H917">
        <v>16.22</v>
      </c>
      <c r="I917">
        <v>48</v>
      </c>
      <c r="J917">
        <v>448831</v>
      </c>
      <c r="K917" t="s">
        <v>11</v>
      </c>
      <c r="L917" t="s">
        <v>34</v>
      </c>
      <c r="M917" t="s">
        <v>27</v>
      </c>
      <c r="N917" t="s">
        <v>28</v>
      </c>
      <c r="O917">
        <v>0</v>
      </c>
    </row>
    <row r="918" spans="1:15">
      <c r="A918" t="s">
        <v>84</v>
      </c>
      <c r="B918">
        <v>58</v>
      </c>
      <c r="C918" t="s">
        <v>33</v>
      </c>
      <c r="D918">
        <v>1381366</v>
      </c>
      <c r="E918" t="s">
        <v>25</v>
      </c>
      <c r="F918">
        <v>867</v>
      </c>
      <c r="G918">
        <v>1796263</v>
      </c>
      <c r="H918">
        <v>15.8</v>
      </c>
      <c r="I918">
        <v>48</v>
      </c>
      <c r="J918">
        <v>449283</v>
      </c>
      <c r="K918" t="s">
        <v>23</v>
      </c>
      <c r="L918" t="s">
        <v>19</v>
      </c>
      <c r="M918" t="s">
        <v>27</v>
      </c>
      <c r="N918" t="s">
        <v>28</v>
      </c>
      <c r="O918">
        <v>0</v>
      </c>
    </row>
    <row r="919" spans="1:15">
      <c r="A919" t="s">
        <v>110</v>
      </c>
      <c r="B919">
        <v>58</v>
      </c>
      <c r="C919" t="s">
        <v>16</v>
      </c>
      <c r="D919">
        <v>1384365</v>
      </c>
      <c r="E919" t="s">
        <v>17</v>
      </c>
      <c r="F919">
        <v>690</v>
      </c>
      <c r="G919">
        <v>1798859</v>
      </c>
      <c r="H919">
        <v>12.51</v>
      </c>
      <c r="I919">
        <v>48</v>
      </c>
      <c r="J919">
        <v>451137</v>
      </c>
      <c r="K919" t="s">
        <v>26</v>
      </c>
      <c r="L919" t="s">
        <v>19</v>
      </c>
      <c r="M919" t="s">
        <v>27</v>
      </c>
      <c r="N919" t="s">
        <v>28</v>
      </c>
      <c r="O919">
        <v>0</v>
      </c>
    </row>
    <row r="920" spans="1:15">
      <c r="A920" t="s">
        <v>125</v>
      </c>
      <c r="B920">
        <v>58</v>
      </c>
      <c r="C920" t="s">
        <v>33</v>
      </c>
      <c r="D920">
        <v>1385011</v>
      </c>
      <c r="E920" t="s">
        <v>25</v>
      </c>
      <c r="F920">
        <v>487</v>
      </c>
      <c r="G920">
        <v>1798859</v>
      </c>
      <c r="H920">
        <v>16.25</v>
      </c>
      <c r="I920">
        <v>12</v>
      </c>
      <c r="J920">
        <v>451292</v>
      </c>
      <c r="K920" t="s">
        <v>26</v>
      </c>
      <c r="L920" t="s">
        <v>34</v>
      </c>
      <c r="M920" t="s">
        <v>27</v>
      </c>
      <c r="N920" t="s">
        <v>31</v>
      </c>
      <c r="O920">
        <v>1</v>
      </c>
    </row>
    <row r="921" spans="1:15">
      <c r="A921" t="s">
        <v>129</v>
      </c>
      <c r="B921">
        <v>58</v>
      </c>
      <c r="C921" t="s">
        <v>33</v>
      </c>
      <c r="D921">
        <v>1386378</v>
      </c>
      <c r="E921" t="s">
        <v>17</v>
      </c>
      <c r="F921">
        <v>417</v>
      </c>
      <c r="G921">
        <v>1798904</v>
      </c>
      <c r="H921">
        <v>16.25</v>
      </c>
      <c r="I921">
        <v>12</v>
      </c>
      <c r="J921">
        <v>451451</v>
      </c>
      <c r="K921" t="s">
        <v>30</v>
      </c>
      <c r="L921" t="s">
        <v>34</v>
      </c>
      <c r="M921" t="s">
        <v>27</v>
      </c>
      <c r="N921" t="s">
        <v>21</v>
      </c>
      <c r="O921">
        <v>1</v>
      </c>
    </row>
    <row r="922" spans="1:15">
      <c r="A922" t="s">
        <v>138</v>
      </c>
      <c r="B922">
        <v>58</v>
      </c>
      <c r="C922" t="s">
        <v>33</v>
      </c>
      <c r="D922">
        <v>1386543</v>
      </c>
      <c r="E922" t="s">
        <v>17</v>
      </c>
      <c r="F922">
        <v>396</v>
      </c>
      <c r="G922">
        <v>1799302</v>
      </c>
      <c r="H922">
        <v>13.32</v>
      </c>
      <c r="I922">
        <v>24</v>
      </c>
      <c r="J922">
        <v>451524</v>
      </c>
      <c r="K922" t="s">
        <v>26</v>
      </c>
      <c r="L922" t="s">
        <v>19</v>
      </c>
      <c r="M922" t="s">
        <v>27</v>
      </c>
      <c r="N922" t="s">
        <v>31</v>
      </c>
      <c r="O922">
        <v>0</v>
      </c>
    </row>
    <row r="923" spans="1:15">
      <c r="A923" t="s">
        <v>159</v>
      </c>
      <c r="B923">
        <v>58</v>
      </c>
      <c r="C923" t="s">
        <v>33</v>
      </c>
      <c r="D923">
        <v>1386737</v>
      </c>
      <c r="E923" t="s">
        <v>25</v>
      </c>
      <c r="F923">
        <v>532</v>
      </c>
      <c r="G923">
        <v>1800957</v>
      </c>
      <c r="H923">
        <v>9.69</v>
      </c>
      <c r="I923">
        <v>12</v>
      </c>
      <c r="J923">
        <v>452946</v>
      </c>
      <c r="K923" t="s">
        <v>23</v>
      </c>
      <c r="L923" t="s">
        <v>34</v>
      </c>
      <c r="M923" t="s">
        <v>20</v>
      </c>
      <c r="N923" t="s">
        <v>21</v>
      </c>
      <c r="O923">
        <v>1</v>
      </c>
    </row>
    <row r="924" spans="1:15">
      <c r="A924" t="s">
        <v>161</v>
      </c>
      <c r="B924">
        <v>58</v>
      </c>
      <c r="C924" t="s">
        <v>16</v>
      </c>
      <c r="D924">
        <v>1387623</v>
      </c>
      <c r="E924" t="s">
        <v>25</v>
      </c>
      <c r="F924">
        <v>315</v>
      </c>
      <c r="G924">
        <v>1801029</v>
      </c>
      <c r="H924">
        <v>11.71</v>
      </c>
      <c r="I924">
        <v>60</v>
      </c>
      <c r="J924">
        <v>453166</v>
      </c>
      <c r="K924" t="s">
        <v>18</v>
      </c>
      <c r="L924" t="s">
        <v>19</v>
      </c>
      <c r="M924" t="s">
        <v>20</v>
      </c>
      <c r="N924" t="s">
        <v>31</v>
      </c>
      <c r="O924">
        <v>0</v>
      </c>
    </row>
    <row r="925" spans="1:15">
      <c r="A925" t="s">
        <v>182</v>
      </c>
      <c r="B925">
        <v>58</v>
      </c>
      <c r="C925" t="s">
        <v>33</v>
      </c>
      <c r="D925">
        <v>1388765</v>
      </c>
      <c r="E925" t="s">
        <v>25</v>
      </c>
      <c r="F925">
        <v>645</v>
      </c>
      <c r="G925">
        <v>1808517</v>
      </c>
      <c r="H925">
        <v>14.9</v>
      </c>
      <c r="I925">
        <v>60</v>
      </c>
      <c r="J925">
        <v>453328</v>
      </c>
      <c r="K925" t="s">
        <v>30</v>
      </c>
      <c r="L925" t="s">
        <v>19</v>
      </c>
      <c r="M925" t="s">
        <v>27</v>
      </c>
      <c r="N925" t="s">
        <v>21</v>
      </c>
      <c r="O925">
        <v>0</v>
      </c>
    </row>
    <row r="926" spans="1:15">
      <c r="A926" t="s">
        <v>220</v>
      </c>
      <c r="B926">
        <v>58</v>
      </c>
      <c r="C926" t="s">
        <v>16</v>
      </c>
      <c r="D926">
        <v>1390737</v>
      </c>
      <c r="E926" t="s">
        <v>17</v>
      </c>
      <c r="F926">
        <v>876</v>
      </c>
      <c r="G926">
        <v>1808645</v>
      </c>
      <c r="H926">
        <v>9.14</v>
      </c>
      <c r="I926">
        <v>48</v>
      </c>
      <c r="J926">
        <v>454136</v>
      </c>
      <c r="K926" t="s">
        <v>23</v>
      </c>
      <c r="L926" t="s">
        <v>34</v>
      </c>
      <c r="M926" t="s">
        <v>20</v>
      </c>
      <c r="N926" t="s">
        <v>21</v>
      </c>
      <c r="O926">
        <v>0</v>
      </c>
    </row>
    <row r="927" spans="1:15">
      <c r="A927" t="s">
        <v>265</v>
      </c>
      <c r="B927">
        <v>58</v>
      </c>
      <c r="C927" t="s">
        <v>16</v>
      </c>
      <c r="D927">
        <v>1391868</v>
      </c>
      <c r="E927" t="s">
        <v>25</v>
      </c>
      <c r="F927">
        <v>360</v>
      </c>
      <c r="G927">
        <v>1809727</v>
      </c>
      <c r="H927">
        <v>8.2899999999999991</v>
      </c>
      <c r="I927">
        <v>60</v>
      </c>
      <c r="J927">
        <v>454198</v>
      </c>
      <c r="K927" t="s">
        <v>11</v>
      </c>
      <c r="L927" t="s">
        <v>19</v>
      </c>
      <c r="M927" t="s">
        <v>27</v>
      </c>
      <c r="N927" t="s">
        <v>21</v>
      </c>
      <c r="O927">
        <v>1</v>
      </c>
    </row>
    <row r="928" spans="1:15">
      <c r="A928" t="s">
        <v>294</v>
      </c>
      <c r="B928">
        <v>58</v>
      </c>
      <c r="C928" t="s">
        <v>16</v>
      </c>
      <c r="D928">
        <v>1393445</v>
      </c>
      <c r="E928" t="s">
        <v>17</v>
      </c>
      <c r="F928">
        <v>579</v>
      </c>
      <c r="G928">
        <v>1816677</v>
      </c>
      <c r="H928">
        <v>11.26</v>
      </c>
      <c r="I928">
        <v>36</v>
      </c>
      <c r="J928">
        <v>455071</v>
      </c>
      <c r="K928" t="s">
        <v>23</v>
      </c>
      <c r="L928" t="s">
        <v>19</v>
      </c>
      <c r="M928" t="s">
        <v>20</v>
      </c>
      <c r="N928" t="s">
        <v>28</v>
      </c>
      <c r="O928">
        <v>0</v>
      </c>
    </row>
    <row r="929" spans="1:15">
      <c r="A929" t="s">
        <v>300</v>
      </c>
      <c r="B929">
        <v>58</v>
      </c>
      <c r="C929" t="s">
        <v>33</v>
      </c>
      <c r="D929">
        <v>1395338</v>
      </c>
      <c r="E929" t="s">
        <v>25</v>
      </c>
      <c r="F929">
        <v>378</v>
      </c>
      <c r="G929">
        <v>1817314</v>
      </c>
      <c r="H929">
        <v>16.260000000000002</v>
      </c>
      <c r="I929">
        <v>48</v>
      </c>
      <c r="J929">
        <v>455752</v>
      </c>
      <c r="K929" t="s">
        <v>18</v>
      </c>
      <c r="L929" t="s">
        <v>34</v>
      </c>
      <c r="M929" t="s">
        <v>27</v>
      </c>
      <c r="N929" t="s">
        <v>31</v>
      </c>
      <c r="O929">
        <v>1</v>
      </c>
    </row>
    <row r="930" spans="1:15">
      <c r="A930" t="s">
        <v>313</v>
      </c>
      <c r="B930">
        <v>58</v>
      </c>
      <c r="C930" t="s">
        <v>16</v>
      </c>
      <c r="D930">
        <v>1398395</v>
      </c>
      <c r="E930" t="s">
        <v>25</v>
      </c>
      <c r="F930">
        <v>612</v>
      </c>
      <c r="G930">
        <v>1817670</v>
      </c>
      <c r="H930">
        <v>10.36</v>
      </c>
      <c r="I930">
        <v>24</v>
      </c>
      <c r="J930">
        <v>456761</v>
      </c>
      <c r="K930" t="s">
        <v>26</v>
      </c>
      <c r="L930" t="s">
        <v>34</v>
      </c>
      <c r="M930" t="s">
        <v>27</v>
      </c>
      <c r="N930" t="s">
        <v>21</v>
      </c>
      <c r="O930">
        <v>0</v>
      </c>
    </row>
    <row r="931" spans="1:15">
      <c r="A931" t="s">
        <v>347</v>
      </c>
      <c r="B931">
        <v>58</v>
      </c>
      <c r="C931" t="s">
        <v>16</v>
      </c>
      <c r="D931">
        <v>1399899</v>
      </c>
      <c r="E931" t="s">
        <v>17</v>
      </c>
      <c r="F931">
        <v>846</v>
      </c>
      <c r="G931">
        <v>1818527</v>
      </c>
      <c r="H931">
        <v>15.72</v>
      </c>
      <c r="I931">
        <v>12</v>
      </c>
      <c r="J931">
        <v>456994</v>
      </c>
      <c r="K931" t="s">
        <v>23</v>
      </c>
      <c r="L931" t="s">
        <v>34</v>
      </c>
      <c r="M931" t="s">
        <v>20</v>
      </c>
      <c r="N931" t="s">
        <v>21</v>
      </c>
      <c r="O931">
        <v>0</v>
      </c>
    </row>
    <row r="932" spans="1:15">
      <c r="A932" t="s">
        <v>360</v>
      </c>
      <c r="B932">
        <v>58</v>
      </c>
      <c r="C932" t="s">
        <v>33</v>
      </c>
      <c r="D932">
        <v>1400350</v>
      </c>
      <c r="E932" t="s">
        <v>17</v>
      </c>
      <c r="F932">
        <v>719</v>
      </c>
      <c r="G932">
        <v>1822695</v>
      </c>
      <c r="H932">
        <v>13.36</v>
      </c>
      <c r="I932">
        <v>48</v>
      </c>
      <c r="J932">
        <v>457125</v>
      </c>
      <c r="K932" t="s">
        <v>11</v>
      </c>
      <c r="L932" t="s">
        <v>34</v>
      </c>
      <c r="M932" t="s">
        <v>27</v>
      </c>
      <c r="N932" t="s">
        <v>28</v>
      </c>
      <c r="O932">
        <v>1</v>
      </c>
    </row>
    <row r="933" spans="1:15">
      <c r="A933" t="s">
        <v>379</v>
      </c>
      <c r="B933">
        <v>58</v>
      </c>
      <c r="C933" t="s">
        <v>16</v>
      </c>
      <c r="D933">
        <v>1401096</v>
      </c>
      <c r="E933" t="s">
        <v>17</v>
      </c>
      <c r="F933">
        <v>333</v>
      </c>
      <c r="G933">
        <v>1823511</v>
      </c>
      <c r="H933">
        <v>9.68</v>
      </c>
      <c r="I933">
        <v>12</v>
      </c>
      <c r="J933">
        <v>457882</v>
      </c>
      <c r="K933" t="s">
        <v>11</v>
      </c>
      <c r="L933" t="s">
        <v>34</v>
      </c>
      <c r="M933" t="s">
        <v>27</v>
      </c>
      <c r="N933" t="s">
        <v>31</v>
      </c>
      <c r="O933">
        <v>1</v>
      </c>
    </row>
    <row r="934" spans="1:15">
      <c r="A934" t="s">
        <v>394</v>
      </c>
      <c r="B934">
        <v>58</v>
      </c>
      <c r="C934" t="s">
        <v>33</v>
      </c>
      <c r="D934">
        <v>1404832</v>
      </c>
      <c r="E934" t="s">
        <v>25</v>
      </c>
      <c r="F934">
        <v>783</v>
      </c>
      <c r="G934">
        <v>1826384</v>
      </c>
      <c r="H934">
        <v>7.81</v>
      </c>
      <c r="I934">
        <v>24</v>
      </c>
      <c r="J934">
        <v>458716</v>
      </c>
      <c r="K934" t="s">
        <v>18</v>
      </c>
      <c r="L934" t="s">
        <v>19</v>
      </c>
      <c r="M934" t="s">
        <v>27</v>
      </c>
      <c r="N934" t="s">
        <v>31</v>
      </c>
      <c r="O934">
        <v>0</v>
      </c>
    </row>
    <row r="935" spans="1:15">
      <c r="A935" t="s">
        <v>493</v>
      </c>
      <c r="B935">
        <v>58</v>
      </c>
      <c r="C935" t="s">
        <v>16</v>
      </c>
      <c r="D935">
        <v>1404961</v>
      </c>
      <c r="E935" t="s">
        <v>25</v>
      </c>
      <c r="F935">
        <v>618</v>
      </c>
      <c r="G935">
        <v>1826451</v>
      </c>
      <c r="H935">
        <v>12.76</v>
      </c>
      <c r="I935">
        <v>48</v>
      </c>
      <c r="J935">
        <v>459446</v>
      </c>
      <c r="K935" t="s">
        <v>30</v>
      </c>
      <c r="L935" t="s">
        <v>34</v>
      </c>
      <c r="M935" t="s">
        <v>27</v>
      </c>
      <c r="N935" t="s">
        <v>31</v>
      </c>
      <c r="O935">
        <v>0</v>
      </c>
    </row>
    <row r="936" spans="1:15">
      <c r="A936" t="s">
        <v>536</v>
      </c>
      <c r="B936">
        <v>58</v>
      </c>
      <c r="C936" t="s">
        <v>33</v>
      </c>
      <c r="D936">
        <v>1405052</v>
      </c>
      <c r="E936" t="s">
        <v>25</v>
      </c>
      <c r="F936">
        <v>648</v>
      </c>
      <c r="G936">
        <v>1827131</v>
      </c>
      <c r="H936">
        <v>11.59</v>
      </c>
      <c r="I936">
        <v>60</v>
      </c>
      <c r="J936">
        <v>461002</v>
      </c>
      <c r="K936" t="s">
        <v>30</v>
      </c>
      <c r="L936" t="s">
        <v>19</v>
      </c>
      <c r="M936" t="s">
        <v>27</v>
      </c>
      <c r="N936" t="s">
        <v>31</v>
      </c>
      <c r="O936">
        <v>0</v>
      </c>
    </row>
    <row r="937" spans="1:15">
      <c r="A937" t="s">
        <v>580</v>
      </c>
      <c r="B937">
        <v>58</v>
      </c>
      <c r="C937" t="s">
        <v>16</v>
      </c>
      <c r="D937">
        <v>1405519</v>
      </c>
      <c r="E937" t="s">
        <v>25</v>
      </c>
      <c r="F937">
        <v>598</v>
      </c>
      <c r="G937">
        <v>1827702</v>
      </c>
      <c r="H937">
        <v>10.44</v>
      </c>
      <c r="I937">
        <v>48</v>
      </c>
      <c r="J937">
        <v>461725</v>
      </c>
      <c r="K937" t="s">
        <v>30</v>
      </c>
      <c r="L937" t="s">
        <v>19</v>
      </c>
      <c r="M937" t="s">
        <v>20</v>
      </c>
      <c r="N937" t="s">
        <v>28</v>
      </c>
      <c r="O937">
        <v>1</v>
      </c>
    </row>
    <row r="938" spans="1:15">
      <c r="A938" t="s">
        <v>620</v>
      </c>
      <c r="B938">
        <v>58</v>
      </c>
      <c r="C938" t="s">
        <v>33</v>
      </c>
      <c r="D938">
        <v>1408253</v>
      </c>
      <c r="E938" t="s">
        <v>25</v>
      </c>
      <c r="F938">
        <v>577</v>
      </c>
      <c r="G938">
        <v>1827899</v>
      </c>
      <c r="H938">
        <v>13.15</v>
      </c>
      <c r="I938">
        <v>48</v>
      </c>
      <c r="J938">
        <v>461830</v>
      </c>
      <c r="K938" t="s">
        <v>26</v>
      </c>
      <c r="L938" t="s">
        <v>19</v>
      </c>
      <c r="M938" t="s">
        <v>20</v>
      </c>
      <c r="N938" t="s">
        <v>31</v>
      </c>
      <c r="O938">
        <v>0</v>
      </c>
    </row>
    <row r="939" spans="1:15">
      <c r="A939" t="s">
        <v>624</v>
      </c>
      <c r="B939">
        <v>58</v>
      </c>
      <c r="C939" t="s">
        <v>16</v>
      </c>
      <c r="D939">
        <v>1409019</v>
      </c>
      <c r="E939" t="s">
        <v>25</v>
      </c>
      <c r="F939">
        <v>321</v>
      </c>
      <c r="G939">
        <v>1828512</v>
      </c>
      <c r="H939">
        <v>13.53</v>
      </c>
      <c r="I939">
        <v>60</v>
      </c>
      <c r="J939">
        <v>462499</v>
      </c>
      <c r="K939" t="s">
        <v>26</v>
      </c>
      <c r="L939" t="s">
        <v>19</v>
      </c>
      <c r="M939" t="s">
        <v>20</v>
      </c>
      <c r="N939" t="s">
        <v>21</v>
      </c>
      <c r="O939">
        <v>0</v>
      </c>
    </row>
    <row r="940" spans="1:15">
      <c r="A940" t="s">
        <v>634</v>
      </c>
      <c r="B940">
        <v>58</v>
      </c>
      <c r="C940" t="s">
        <v>33</v>
      </c>
      <c r="D940">
        <v>1409590</v>
      </c>
      <c r="E940" t="s">
        <v>17</v>
      </c>
      <c r="F940">
        <v>783</v>
      </c>
      <c r="G940">
        <v>1829042</v>
      </c>
      <c r="H940">
        <v>9.09</v>
      </c>
      <c r="I940">
        <v>48</v>
      </c>
      <c r="J940">
        <v>463042</v>
      </c>
      <c r="K940" t="s">
        <v>30</v>
      </c>
      <c r="L940" t="s">
        <v>34</v>
      </c>
      <c r="M940" t="s">
        <v>20</v>
      </c>
      <c r="N940" t="s">
        <v>31</v>
      </c>
      <c r="O940">
        <v>0</v>
      </c>
    </row>
    <row r="941" spans="1:15">
      <c r="A941" t="s">
        <v>654</v>
      </c>
      <c r="B941">
        <v>58</v>
      </c>
      <c r="C941" t="s">
        <v>16</v>
      </c>
      <c r="D941">
        <v>1411672</v>
      </c>
      <c r="E941" t="s">
        <v>17</v>
      </c>
      <c r="F941">
        <v>708</v>
      </c>
      <c r="G941">
        <v>1831721</v>
      </c>
      <c r="H941">
        <v>8.1</v>
      </c>
      <c r="I941">
        <v>12</v>
      </c>
      <c r="J941">
        <v>463389</v>
      </c>
      <c r="K941" t="s">
        <v>23</v>
      </c>
      <c r="L941" t="s">
        <v>19</v>
      </c>
      <c r="M941" t="s">
        <v>27</v>
      </c>
      <c r="N941" t="s">
        <v>21</v>
      </c>
      <c r="O941">
        <v>0</v>
      </c>
    </row>
    <row r="942" spans="1:15">
      <c r="A942" t="s">
        <v>660</v>
      </c>
      <c r="B942">
        <v>58</v>
      </c>
      <c r="C942" t="s">
        <v>33</v>
      </c>
      <c r="D942">
        <v>1412585</v>
      </c>
      <c r="E942" t="s">
        <v>17</v>
      </c>
      <c r="F942">
        <v>594</v>
      </c>
      <c r="G942">
        <v>1836524</v>
      </c>
      <c r="H942">
        <v>14.94</v>
      </c>
      <c r="I942">
        <v>60</v>
      </c>
      <c r="J942">
        <v>464039</v>
      </c>
      <c r="K942" t="s">
        <v>11</v>
      </c>
      <c r="L942" t="s">
        <v>19</v>
      </c>
      <c r="M942" t="s">
        <v>27</v>
      </c>
      <c r="N942" t="s">
        <v>31</v>
      </c>
      <c r="O942">
        <v>1</v>
      </c>
    </row>
    <row r="943" spans="1:15">
      <c r="A943" t="s">
        <v>680</v>
      </c>
      <c r="B943">
        <v>58</v>
      </c>
      <c r="C943" t="s">
        <v>16</v>
      </c>
      <c r="D943">
        <v>1412622</v>
      </c>
      <c r="E943" t="s">
        <v>17</v>
      </c>
      <c r="F943">
        <v>471</v>
      </c>
      <c r="G943">
        <v>1837122</v>
      </c>
      <c r="H943">
        <v>9.09</v>
      </c>
      <c r="I943">
        <v>24</v>
      </c>
      <c r="J943">
        <v>465721</v>
      </c>
      <c r="K943" t="s">
        <v>26</v>
      </c>
      <c r="L943" t="s">
        <v>34</v>
      </c>
      <c r="M943" t="s">
        <v>27</v>
      </c>
      <c r="N943" t="s">
        <v>31</v>
      </c>
      <c r="O943">
        <v>0</v>
      </c>
    </row>
    <row r="944" spans="1:15">
      <c r="A944" t="s">
        <v>686</v>
      </c>
      <c r="B944">
        <v>58</v>
      </c>
      <c r="C944" t="s">
        <v>16</v>
      </c>
      <c r="D944">
        <v>1417793</v>
      </c>
      <c r="E944" t="s">
        <v>25</v>
      </c>
      <c r="F944">
        <v>552</v>
      </c>
      <c r="G944">
        <v>1838358</v>
      </c>
      <c r="H944">
        <v>7.54</v>
      </c>
      <c r="I944">
        <v>48</v>
      </c>
      <c r="J944">
        <v>465912</v>
      </c>
      <c r="K944" t="s">
        <v>30</v>
      </c>
      <c r="L944" t="s">
        <v>19</v>
      </c>
      <c r="M944" t="s">
        <v>20</v>
      </c>
      <c r="N944" t="s">
        <v>21</v>
      </c>
      <c r="O944">
        <v>0</v>
      </c>
    </row>
    <row r="945" spans="1:15">
      <c r="A945" t="s">
        <v>724</v>
      </c>
      <c r="B945">
        <v>58</v>
      </c>
      <c r="C945" t="s">
        <v>33</v>
      </c>
      <c r="D945">
        <v>1420256</v>
      </c>
      <c r="E945" t="s">
        <v>17</v>
      </c>
      <c r="F945">
        <v>391</v>
      </c>
      <c r="G945">
        <v>1840068</v>
      </c>
      <c r="H945">
        <v>12.61</v>
      </c>
      <c r="I945">
        <v>60</v>
      </c>
      <c r="J945">
        <v>466001</v>
      </c>
      <c r="K945" t="s">
        <v>30</v>
      </c>
      <c r="L945" t="s">
        <v>34</v>
      </c>
      <c r="M945" t="s">
        <v>20</v>
      </c>
      <c r="N945" t="s">
        <v>28</v>
      </c>
      <c r="O945">
        <v>1</v>
      </c>
    </row>
    <row r="946" spans="1:15">
      <c r="A946" t="s">
        <v>758</v>
      </c>
      <c r="B946">
        <v>58</v>
      </c>
      <c r="C946" t="s">
        <v>33</v>
      </c>
      <c r="D946">
        <v>1420366</v>
      </c>
      <c r="E946" t="s">
        <v>25</v>
      </c>
      <c r="F946">
        <v>878</v>
      </c>
      <c r="G946">
        <v>1841430</v>
      </c>
      <c r="H946">
        <v>16.2</v>
      </c>
      <c r="I946">
        <v>12</v>
      </c>
      <c r="J946">
        <v>466179</v>
      </c>
      <c r="K946" t="s">
        <v>18</v>
      </c>
      <c r="L946" t="s">
        <v>34</v>
      </c>
      <c r="M946" t="s">
        <v>27</v>
      </c>
      <c r="N946" t="s">
        <v>21</v>
      </c>
      <c r="O946">
        <v>0</v>
      </c>
    </row>
    <row r="947" spans="1:15">
      <c r="A947" t="s">
        <v>847</v>
      </c>
      <c r="B947">
        <v>58</v>
      </c>
      <c r="C947" t="s">
        <v>16</v>
      </c>
      <c r="D947">
        <v>1421360</v>
      </c>
      <c r="E947" t="s">
        <v>25</v>
      </c>
      <c r="F947">
        <v>680</v>
      </c>
      <c r="G947">
        <v>1843761</v>
      </c>
      <c r="H947">
        <v>16.2</v>
      </c>
      <c r="I947">
        <v>24</v>
      </c>
      <c r="J947">
        <v>466895</v>
      </c>
      <c r="K947" t="s">
        <v>23</v>
      </c>
      <c r="L947" t="s">
        <v>34</v>
      </c>
      <c r="M947" t="s">
        <v>20</v>
      </c>
      <c r="N947" t="s">
        <v>31</v>
      </c>
      <c r="O947">
        <v>0</v>
      </c>
    </row>
    <row r="948" spans="1:15">
      <c r="A948" t="s">
        <v>856</v>
      </c>
      <c r="B948">
        <v>58</v>
      </c>
      <c r="C948" t="s">
        <v>16</v>
      </c>
      <c r="D948">
        <v>1422631</v>
      </c>
      <c r="E948" t="s">
        <v>17</v>
      </c>
      <c r="F948">
        <v>745</v>
      </c>
      <c r="G948">
        <v>1848397</v>
      </c>
      <c r="H948">
        <v>12.51</v>
      </c>
      <c r="I948">
        <v>24</v>
      </c>
      <c r="J948">
        <v>468195</v>
      </c>
      <c r="K948" t="s">
        <v>23</v>
      </c>
      <c r="L948" t="s">
        <v>34</v>
      </c>
      <c r="M948" t="s">
        <v>20</v>
      </c>
      <c r="N948" t="s">
        <v>31</v>
      </c>
      <c r="O948">
        <v>0</v>
      </c>
    </row>
    <row r="949" spans="1:15">
      <c r="A949" t="s">
        <v>918</v>
      </c>
      <c r="B949">
        <v>58</v>
      </c>
      <c r="C949" t="s">
        <v>16</v>
      </c>
      <c r="D949">
        <v>1422973</v>
      </c>
      <c r="E949" t="s">
        <v>17</v>
      </c>
      <c r="F949">
        <v>609</v>
      </c>
      <c r="G949">
        <v>1849977</v>
      </c>
      <c r="H949">
        <v>8.91</v>
      </c>
      <c r="I949">
        <v>24</v>
      </c>
      <c r="J949">
        <v>468721</v>
      </c>
      <c r="K949" t="s">
        <v>30</v>
      </c>
      <c r="L949" t="s">
        <v>34</v>
      </c>
      <c r="M949" t="s">
        <v>27</v>
      </c>
      <c r="N949" t="s">
        <v>28</v>
      </c>
      <c r="O949">
        <v>0</v>
      </c>
    </row>
    <row r="950" spans="1:15">
      <c r="A950" t="s">
        <v>956</v>
      </c>
      <c r="B950">
        <v>58</v>
      </c>
      <c r="C950" t="s">
        <v>33</v>
      </c>
      <c r="D950">
        <v>1423547</v>
      </c>
      <c r="E950" t="s">
        <v>17</v>
      </c>
      <c r="F950">
        <v>792</v>
      </c>
      <c r="G950">
        <v>1855209</v>
      </c>
      <c r="H950">
        <v>7.7</v>
      </c>
      <c r="I950">
        <v>24</v>
      </c>
      <c r="J950">
        <v>472204</v>
      </c>
      <c r="K950" t="s">
        <v>26</v>
      </c>
      <c r="L950" t="s">
        <v>19</v>
      </c>
      <c r="M950" t="s">
        <v>20</v>
      </c>
      <c r="N950" t="s">
        <v>28</v>
      </c>
      <c r="O950">
        <v>0</v>
      </c>
    </row>
    <row r="951" spans="1:15">
      <c r="A951" t="s">
        <v>984</v>
      </c>
      <c r="B951">
        <v>58</v>
      </c>
      <c r="C951" t="s">
        <v>33</v>
      </c>
      <c r="D951">
        <v>1424237</v>
      </c>
      <c r="E951" t="s">
        <v>17</v>
      </c>
      <c r="F951">
        <v>536</v>
      </c>
      <c r="G951">
        <v>1858064</v>
      </c>
      <c r="H951">
        <v>15.49</v>
      </c>
      <c r="I951">
        <v>12</v>
      </c>
      <c r="J951">
        <v>472641</v>
      </c>
      <c r="K951" t="s">
        <v>30</v>
      </c>
      <c r="L951" t="s">
        <v>19</v>
      </c>
      <c r="M951" t="s">
        <v>27</v>
      </c>
      <c r="N951" t="s">
        <v>28</v>
      </c>
      <c r="O951">
        <v>1</v>
      </c>
    </row>
    <row r="952" spans="1:15">
      <c r="A952" t="s">
        <v>1025</v>
      </c>
      <c r="B952">
        <v>58</v>
      </c>
      <c r="C952" t="s">
        <v>33</v>
      </c>
      <c r="D952">
        <v>1428418</v>
      </c>
      <c r="E952" t="s">
        <v>17</v>
      </c>
      <c r="F952">
        <v>716</v>
      </c>
      <c r="G952">
        <v>1861522</v>
      </c>
      <c r="H952">
        <v>14.26</v>
      </c>
      <c r="I952">
        <v>12</v>
      </c>
      <c r="J952">
        <v>473107</v>
      </c>
      <c r="K952" t="s">
        <v>11</v>
      </c>
      <c r="L952" t="s">
        <v>34</v>
      </c>
      <c r="M952" t="s">
        <v>27</v>
      </c>
      <c r="N952" t="s">
        <v>28</v>
      </c>
      <c r="O952">
        <v>0</v>
      </c>
    </row>
    <row r="953" spans="1:15">
      <c r="A953" t="s">
        <v>130</v>
      </c>
      <c r="B953">
        <v>59</v>
      </c>
      <c r="C953" t="s">
        <v>16</v>
      </c>
      <c r="D953">
        <v>1431947</v>
      </c>
      <c r="E953" t="s">
        <v>25</v>
      </c>
      <c r="F953">
        <v>675</v>
      </c>
      <c r="G953">
        <v>1871583</v>
      </c>
      <c r="H953">
        <v>14.97</v>
      </c>
      <c r="I953">
        <v>60</v>
      </c>
      <c r="J953">
        <v>473700</v>
      </c>
      <c r="K953" t="s">
        <v>30</v>
      </c>
      <c r="L953" t="s">
        <v>34</v>
      </c>
      <c r="M953" t="s">
        <v>27</v>
      </c>
      <c r="N953" t="s">
        <v>21</v>
      </c>
      <c r="O953">
        <v>0</v>
      </c>
    </row>
    <row r="954" spans="1:15">
      <c r="A954" t="s">
        <v>195</v>
      </c>
      <c r="B954">
        <v>59</v>
      </c>
      <c r="C954" t="s">
        <v>33</v>
      </c>
      <c r="D954">
        <v>1432103</v>
      </c>
      <c r="E954" t="s">
        <v>17</v>
      </c>
      <c r="F954">
        <v>424</v>
      </c>
      <c r="G954">
        <v>1873178</v>
      </c>
      <c r="H954">
        <v>9.51</v>
      </c>
      <c r="I954">
        <v>24</v>
      </c>
      <c r="J954">
        <v>474038</v>
      </c>
      <c r="K954" t="s">
        <v>30</v>
      </c>
      <c r="L954" t="s">
        <v>19</v>
      </c>
      <c r="M954" t="s">
        <v>27</v>
      </c>
      <c r="N954" t="s">
        <v>28</v>
      </c>
      <c r="O954">
        <v>0</v>
      </c>
    </row>
    <row r="955" spans="1:15">
      <c r="A955" t="s">
        <v>250</v>
      </c>
      <c r="B955">
        <v>59</v>
      </c>
      <c r="C955" t="s">
        <v>33</v>
      </c>
      <c r="D955">
        <v>1432652</v>
      </c>
      <c r="E955" t="s">
        <v>17</v>
      </c>
      <c r="F955">
        <v>878</v>
      </c>
      <c r="G955">
        <v>1874626</v>
      </c>
      <c r="H955">
        <v>7.74</v>
      </c>
      <c r="I955">
        <v>48</v>
      </c>
      <c r="J955">
        <v>474058</v>
      </c>
      <c r="K955" t="s">
        <v>23</v>
      </c>
      <c r="L955" t="s">
        <v>34</v>
      </c>
      <c r="M955" t="s">
        <v>27</v>
      </c>
      <c r="N955" t="s">
        <v>31</v>
      </c>
      <c r="O955">
        <v>1</v>
      </c>
    </row>
    <row r="956" spans="1:15">
      <c r="A956" t="s">
        <v>272</v>
      </c>
      <c r="B956">
        <v>59</v>
      </c>
      <c r="C956" t="s">
        <v>16</v>
      </c>
      <c r="D956">
        <v>1433300</v>
      </c>
      <c r="E956" t="s">
        <v>17</v>
      </c>
      <c r="F956">
        <v>335</v>
      </c>
      <c r="G956">
        <v>1876958</v>
      </c>
      <c r="H956">
        <v>13.89</v>
      </c>
      <c r="I956">
        <v>36</v>
      </c>
      <c r="J956">
        <v>474248</v>
      </c>
      <c r="K956" t="s">
        <v>23</v>
      </c>
      <c r="L956" t="s">
        <v>34</v>
      </c>
      <c r="M956" t="s">
        <v>27</v>
      </c>
      <c r="N956" t="s">
        <v>28</v>
      </c>
      <c r="O956">
        <v>0</v>
      </c>
    </row>
    <row r="957" spans="1:15">
      <c r="A957" t="s">
        <v>319</v>
      </c>
      <c r="B957">
        <v>59</v>
      </c>
      <c r="C957" t="s">
        <v>33</v>
      </c>
      <c r="D957">
        <v>1434008</v>
      </c>
      <c r="E957" t="s">
        <v>17</v>
      </c>
      <c r="F957">
        <v>481</v>
      </c>
      <c r="G957">
        <v>1879466</v>
      </c>
      <c r="H957">
        <v>16.41</v>
      </c>
      <c r="I957">
        <v>60</v>
      </c>
      <c r="J957">
        <v>474591</v>
      </c>
      <c r="K957" t="s">
        <v>11</v>
      </c>
      <c r="L957" t="s">
        <v>19</v>
      </c>
      <c r="M957" t="s">
        <v>20</v>
      </c>
      <c r="N957" t="s">
        <v>28</v>
      </c>
      <c r="O957">
        <v>0</v>
      </c>
    </row>
    <row r="958" spans="1:15">
      <c r="A958" t="s">
        <v>339</v>
      </c>
      <c r="B958">
        <v>59</v>
      </c>
      <c r="C958" t="s">
        <v>33</v>
      </c>
      <c r="D958">
        <v>1434785</v>
      </c>
      <c r="E958" t="s">
        <v>25</v>
      </c>
      <c r="F958">
        <v>804</v>
      </c>
      <c r="G958">
        <v>1880799</v>
      </c>
      <c r="H958">
        <v>8.92</v>
      </c>
      <c r="I958">
        <v>24</v>
      </c>
      <c r="J958">
        <v>475548</v>
      </c>
      <c r="K958" t="s">
        <v>23</v>
      </c>
      <c r="L958" t="s">
        <v>19</v>
      </c>
      <c r="M958" t="s">
        <v>20</v>
      </c>
      <c r="N958" t="s">
        <v>21</v>
      </c>
      <c r="O958">
        <v>0</v>
      </c>
    </row>
    <row r="959" spans="1:15">
      <c r="A959" t="s">
        <v>355</v>
      </c>
      <c r="B959">
        <v>59</v>
      </c>
      <c r="C959" t="s">
        <v>16</v>
      </c>
      <c r="D959">
        <v>1436894</v>
      </c>
      <c r="E959" t="s">
        <v>25</v>
      </c>
      <c r="F959">
        <v>322</v>
      </c>
      <c r="G959">
        <v>1881282</v>
      </c>
      <c r="H959">
        <v>8.19</v>
      </c>
      <c r="I959">
        <v>48</v>
      </c>
      <c r="J959">
        <v>475589</v>
      </c>
      <c r="K959" t="s">
        <v>11</v>
      </c>
      <c r="L959" t="s">
        <v>19</v>
      </c>
      <c r="M959" t="s">
        <v>27</v>
      </c>
      <c r="N959" t="s">
        <v>28</v>
      </c>
      <c r="O959">
        <v>0</v>
      </c>
    </row>
    <row r="960" spans="1:15">
      <c r="A960" t="s">
        <v>372</v>
      </c>
      <c r="B960">
        <v>59</v>
      </c>
      <c r="C960" t="s">
        <v>16</v>
      </c>
      <c r="D960">
        <v>1439404</v>
      </c>
      <c r="E960" t="s">
        <v>25</v>
      </c>
      <c r="F960">
        <v>455</v>
      </c>
      <c r="G960">
        <v>1881447</v>
      </c>
      <c r="H960">
        <v>9.51</v>
      </c>
      <c r="I960">
        <v>36</v>
      </c>
      <c r="J960">
        <v>475607</v>
      </c>
      <c r="K960" t="s">
        <v>11</v>
      </c>
      <c r="L960" t="s">
        <v>34</v>
      </c>
      <c r="M960" t="s">
        <v>27</v>
      </c>
      <c r="N960" t="s">
        <v>31</v>
      </c>
      <c r="O960">
        <v>0</v>
      </c>
    </row>
    <row r="961" spans="1:15">
      <c r="A961" t="s">
        <v>443</v>
      </c>
      <c r="B961">
        <v>59</v>
      </c>
      <c r="C961" t="s">
        <v>16</v>
      </c>
      <c r="D961">
        <v>1439416</v>
      </c>
      <c r="E961" t="s">
        <v>25</v>
      </c>
      <c r="F961">
        <v>844</v>
      </c>
      <c r="G961">
        <v>1886956</v>
      </c>
      <c r="H961">
        <v>9.51</v>
      </c>
      <c r="I961">
        <v>60</v>
      </c>
      <c r="J961">
        <v>475681</v>
      </c>
      <c r="K961" t="s">
        <v>30</v>
      </c>
      <c r="L961" t="s">
        <v>34</v>
      </c>
      <c r="M961" t="s">
        <v>27</v>
      </c>
      <c r="N961" t="s">
        <v>31</v>
      </c>
      <c r="O961">
        <v>0</v>
      </c>
    </row>
    <row r="962" spans="1:15">
      <c r="A962" t="s">
        <v>482</v>
      </c>
      <c r="B962">
        <v>59</v>
      </c>
      <c r="C962" t="s">
        <v>33</v>
      </c>
      <c r="D962">
        <v>1440515</v>
      </c>
      <c r="E962" t="s">
        <v>25</v>
      </c>
      <c r="F962">
        <v>632</v>
      </c>
      <c r="G962">
        <v>1887850</v>
      </c>
      <c r="H962">
        <v>11.57</v>
      </c>
      <c r="I962">
        <v>36</v>
      </c>
      <c r="J962">
        <v>476061</v>
      </c>
      <c r="K962" t="s">
        <v>23</v>
      </c>
      <c r="L962" t="s">
        <v>34</v>
      </c>
      <c r="M962" t="s">
        <v>20</v>
      </c>
      <c r="N962" t="s">
        <v>31</v>
      </c>
      <c r="O962">
        <v>0</v>
      </c>
    </row>
    <row r="963" spans="1:15">
      <c r="A963" t="s">
        <v>519</v>
      </c>
      <c r="B963">
        <v>59</v>
      </c>
      <c r="C963" t="s">
        <v>33</v>
      </c>
      <c r="D963">
        <v>1441144</v>
      </c>
      <c r="E963" t="s">
        <v>25</v>
      </c>
      <c r="F963">
        <v>851</v>
      </c>
      <c r="G963">
        <v>1893787</v>
      </c>
      <c r="H963">
        <v>10.94</v>
      </c>
      <c r="I963">
        <v>60</v>
      </c>
      <c r="J963">
        <v>476160</v>
      </c>
      <c r="K963" t="s">
        <v>18</v>
      </c>
      <c r="L963" t="s">
        <v>19</v>
      </c>
      <c r="M963" t="s">
        <v>27</v>
      </c>
      <c r="N963" t="s">
        <v>21</v>
      </c>
      <c r="O963">
        <v>0</v>
      </c>
    </row>
    <row r="964" spans="1:15">
      <c r="A964" t="s">
        <v>534</v>
      </c>
      <c r="B964">
        <v>59</v>
      </c>
      <c r="C964" t="s">
        <v>16</v>
      </c>
      <c r="D964">
        <v>1442564</v>
      </c>
      <c r="E964" t="s">
        <v>17</v>
      </c>
      <c r="F964">
        <v>304</v>
      </c>
      <c r="G964">
        <v>1893984</v>
      </c>
      <c r="H964">
        <v>10.01</v>
      </c>
      <c r="I964">
        <v>12</v>
      </c>
      <c r="J964">
        <v>476328</v>
      </c>
      <c r="K964" t="s">
        <v>11</v>
      </c>
      <c r="L964" t="s">
        <v>19</v>
      </c>
      <c r="M964" t="s">
        <v>20</v>
      </c>
      <c r="N964" t="s">
        <v>31</v>
      </c>
      <c r="O964">
        <v>1</v>
      </c>
    </row>
    <row r="965" spans="1:15">
      <c r="A965" t="s">
        <v>541</v>
      </c>
      <c r="B965">
        <v>59</v>
      </c>
      <c r="C965" t="s">
        <v>16</v>
      </c>
      <c r="D965">
        <v>1442959</v>
      </c>
      <c r="E965" t="s">
        <v>17</v>
      </c>
      <c r="F965">
        <v>407</v>
      </c>
      <c r="G965">
        <v>1898202</v>
      </c>
      <c r="H965">
        <v>11.54</v>
      </c>
      <c r="I965">
        <v>12</v>
      </c>
      <c r="J965">
        <v>476473</v>
      </c>
      <c r="K965" t="s">
        <v>26</v>
      </c>
      <c r="L965" t="s">
        <v>34</v>
      </c>
      <c r="M965" t="s">
        <v>27</v>
      </c>
      <c r="N965" t="s">
        <v>28</v>
      </c>
      <c r="O965">
        <v>1</v>
      </c>
    </row>
    <row r="966" spans="1:15">
      <c r="A966" t="s">
        <v>569</v>
      </c>
      <c r="B966">
        <v>59</v>
      </c>
      <c r="C966" t="s">
        <v>33</v>
      </c>
      <c r="D966">
        <v>1443196</v>
      </c>
      <c r="E966" t="s">
        <v>17</v>
      </c>
      <c r="F966">
        <v>706</v>
      </c>
      <c r="G966">
        <v>1902580</v>
      </c>
      <c r="H966">
        <v>11.74</v>
      </c>
      <c r="I966">
        <v>36</v>
      </c>
      <c r="J966">
        <v>476529</v>
      </c>
      <c r="K966" t="s">
        <v>30</v>
      </c>
      <c r="L966" t="s">
        <v>34</v>
      </c>
      <c r="M966" t="s">
        <v>20</v>
      </c>
      <c r="N966" t="s">
        <v>28</v>
      </c>
      <c r="O966">
        <v>0</v>
      </c>
    </row>
    <row r="967" spans="1:15">
      <c r="A967" t="s">
        <v>570</v>
      </c>
      <c r="B967">
        <v>59</v>
      </c>
      <c r="C967" t="s">
        <v>16</v>
      </c>
      <c r="D967">
        <v>1443887</v>
      </c>
      <c r="E967" t="s">
        <v>17</v>
      </c>
      <c r="F967">
        <v>315</v>
      </c>
      <c r="G967">
        <v>1903232</v>
      </c>
      <c r="H967">
        <v>9.67</v>
      </c>
      <c r="I967">
        <v>48</v>
      </c>
      <c r="J967">
        <v>476797</v>
      </c>
      <c r="K967" t="s">
        <v>30</v>
      </c>
      <c r="L967" t="s">
        <v>19</v>
      </c>
      <c r="M967" t="s">
        <v>20</v>
      </c>
      <c r="N967" t="s">
        <v>31</v>
      </c>
      <c r="O967">
        <v>0</v>
      </c>
    </row>
    <row r="968" spans="1:15">
      <c r="A968" t="s">
        <v>640</v>
      </c>
      <c r="B968">
        <v>59</v>
      </c>
      <c r="C968" t="s">
        <v>16</v>
      </c>
      <c r="D968">
        <v>1445610</v>
      </c>
      <c r="E968" t="s">
        <v>25</v>
      </c>
      <c r="F968">
        <v>370</v>
      </c>
      <c r="G968">
        <v>1904134</v>
      </c>
      <c r="H968">
        <v>13.34</v>
      </c>
      <c r="I968">
        <v>48</v>
      </c>
      <c r="J968">
        <v>477441</v>
      </c>
      <c r="K968" t="s">
        <v>23</v>
      </c>
      <c r="L968" t="s">
        <v>34</v>
      </c>
      <c r="M968" t="s">
        <v>20</v>
      </c>
      <c r="N968" t="s">
        <v>21</v>
      </c>
      <c r="O968">
        <v>1</v>
      </c>
    </row>
    <row r="969" spans="1:15">
      <c r="A969" t="s">
        <v>731</v>
      </c>
      <c r="B969">
        <v>59</v>
      </c>
      <c r="C969" t="s">
        <v>16</v>
      </c>
      <c r="D969">
        <v>1446666</v>
      </c>
      <c r="E969" t="s">
        <v>25</v>
      </c>
      <c r="F969">
        <v>424</v>
      </c>
      <c r="G969">
        <v>1905552</v>
      </c>
      <c r="H969">
        <v>14.96</v>
      </c>
      <c r="I969">
        <v>12</v>
      </c>
      <c r="J969">
        <v>477678</v>
      </c>
      <c r="K969" t="s">
        <v>23</v>
      </c>
      <c r="L969" t="s">
        <v>34</v>
      </c>
      <c r="M969" t="s">
        <v>27</v>
      </c>
      <c r="N969" t="s">
        <v>21</v>
      </c>
      <c r="O969">
        <v>1</v>
      </c>
    </row>
    <row r="970" spans="1:15">
      <c r="A970" t="s">
        <v>743</v>
      </c>
      <c r="B970">
        <v>59</v>
      </c>
      <c r="C970" t="s">
        <v>16</v>
      </c>
      <c r="D970">
        <v>1447363</v>
      </c>
      <c r="E970" t="s">
        <v>17</v>
      </c>
      <c r="F970">
        <v>717</v>
      </c>
      <c r="G970">
        <v>1906298</v>
      </c>
      <c r="H970">
        <v>8.69</v>
      </c>
      <c r="I970">
        <v>60</v>
      </c>
      <c r="J970">
        <v>478215</v>
      </c>
      <c r="K970" t="s">
        <v>11</v>
      </c>
      <c r="L970" t="s">
        <v>19</v>
      </c>
      <c r="M970" t="s">
        <v>27</v>
      </c>
      <c r="N970" t="s">
        <v>21</v>
      </c>
      <c r="O970">
        <v>0</v>
      </c>
    </row>
    <row r="971" spans="1:15">
      <c r="A971" t="s">
        <v>775</v>
      </c>
      <c r="B971">
        <v>59</v>
      </c>
      <c r="C971" t="s">
        <v>33</v>
      </c>
      <c r="D971">
        <v>1448228</v>
      </c>
      <c r="E971" t="s">
        <v>25</v>
      </c>
      <c r="F971">
        <v>683</v>
      </c>
      <c r="G971">
        <v>1908434</v>
      </c>
      <c r="H971">
        <v>13.09</v>
      </c>
      <c r="I971">
        <v>36</v>
      </c>
      <c r="J971">
        <v>478772</v>
      </c>
      <c r="K971" t="s">
        <v>11</v>
      </c>
      <c r="L971" t="s">
        <v>34</v>
      </c>
      <c r="M971" t="s">
        <v>20</v>
      </c>
      <c r="N971" t="s">
        <v>28</v>
      </c>
      <c r="O971">
        <v>0</v>
      </c>
    </row>
    <row r="972" spans="1:15">
      <c r="A972" t="s">
        <v>830</v>
      </c>
      <c r="B972">
        <v>59</v>
      </c>
      <c r="C972" t="s">
        <v>33</v>
      </c>
      <c r="D972">
        <v>1448639</v>
      </c>
      <c r="E972" t="s">
        <v>25</v>
      </c>
      <c r="F972">
        <v>741</v>
      </c>
      <c r="G972">
        <v>1909679</v>
      </c>
      <c r="H972">
        <v>14.49</v>
      </c>
      <c r="I972">
        <v>60</v>
      </c>
      <c r="J972">
        <v>480080</v>
      </c>
      <c r="K972" t="s">
        <v>26</v>
      </c>
      <c r="L972" t="s">
        <v>34</v>
      </c>
      <c r="M972" t="s">
        <v>27</v>
      </c>
      <c r="N972" t="s">
        <v>31</v>
      </c>
      <c r="O972">
        <v>0</v>
      </c>
    </row>
    <row r="973" spans="1:15">
      <c r="A973" t="s">
        <v>894</v>
      </c>
      <c r="B973">
        <v>59</v>
      </c>
      <c r="C973" t="s">
        <v>16</v>
      </c>
      <c r="D973">
        <v>1448959</v>
      </c>
      <c r="E973" t="s">
        <v>17</v>
      </c>
      <c r="F973">
        <v>897</v>
      </c>
      <c r="G973">
        <v>1913388</v>
      </c>
      <c r="H973">
        <v>9.2100000000000009</v>
      </c>
      <c r="I973">
        <v>36</v>
      </c>
      <c r="J973">
        <v>480327</v>
      </c>
      <c r="K973" t="s">
        <v>23</v>
      </c>
      <c r="L973" t="s">
        <v>19</v>
      </c>
      <c r="M973" t="s">
        <v>20</v>
      </c>
      <c r="N973" t="s">
        <v>21</v>
      </c>
      <c r="O973">
        <v>0</v>
      </c>
    </row>
    <row r="974" spans="1:15">
      <c r="A974" t="s">
        <v>922</v>
      </c>
      <c r="B974">
        <v>59</v>
      </c>
      <c r="C974" t="s">
        <v>16</v>
      </c>
      <c r="D974">
        <v>1449355</v>
      </c>
      <c r="E974" t="s">
        <v>25</v>
      </c>
      <c r="F974">
        <v>710</v>
      </c>
      <c r="G974">
        <v>1917070</v>
      </c>
      <c r="H974">
        <v>14.6</v>
      </c>
      <c r="I974">
        <v>36</v>
      </c>
      <c r="J974">
        <v>480546</v>
      </c>
      <c r="K974" t="s">
        <v>11</v>
      </c>
      <c r="L974" t="s">
        <v>34</v>
      </c>
      <c r="M974" t="s">
        <v>27</v>
      </c>
      <c r="N974" t="s">
        <v>28</v>
      </c>
      <c r="O974">
        <v>0</v>
      </c>
    </row>
    <row r="975" spans="1:15">
      <c r="A975" t="s">
        <v>968</v>
      </c>
      <c r="B975">
        <v>59</v>
      </c>
      <c r="C975" t="s">
        <v>16</v>
      </c>
      <c r="D975">
        <v>1450068</v>
      </c>
      <c r="E975" t="s">
        <v>25</v>
      </c>
      <c r="F975">
        <v>833</v>
      </c>
      <c r="G975">
        <v>1917439</v>
      </c>
      <c r="H975">
        <v>11.46</v>
      </c>
      <c r="I975">
        <v>12</v>
      </c>
      <c r="J975">
        <v>480974</v>
      </c>
      <c r="K975" t="s">
        <v>30</v>
      </c>
      <c r="L975" t="s">
        <v>19</v>
      </c>
      <c r="M975" t="s">
        <v>27</v>
      </c>
      <c r="N975" t="s">
        <v>28</v>
      </c>
      <c r="O975">
        <v>0</v>
      </c>
    </row>
    <row r="976" spans="1:15">
      <c r="A976" t="s">
        <v>971</v>
      </c>
      <c r="B976">
        <v>59</v>
      </c>
      <c r="C976" t="s">
        <v>16</v>
      </c>
      <c r="D976">
        <v>1450936</v>
      </c>
      <c r="E976" t="s">
        <v>17</v>
      </c>
      <c r="F976">
        <v>325</v>
      </c>
      <c r="G976">
        <v>1917467</v>
      </c>
      <c r="H976">
        <v>11.98</v>
      </c>
      <c r="I976">
        <v>48</v>
      </c>
      <c r="J976">
        <v>481696</v>
      </c>
      <c r="K976" t="s">
        <v>23</v>
      </c>
      <c r="L976" t="s">
        <v>19</v>
      </c>
      <c r="M976" t="s">
        <v>27</v>
      </c>
      <c r="N976" t="s">
        <v>28</v>
      </c>
      <c r="O976">
        <v>0</v>
      </c>
    </row>
    <row r="977" spans="1:15">
      <c r="A977" t="s">
        <v>993</v>
      </c>
      <c r="B977">
        <v>59</v>
      </c>
      <c r="C977" t="s">
        <v>16</v>
      </c>
      <c r="D977">
        <v>1451086</v>
      </c>
      <c r="E977" t="s">
        <v>17</v>
      </c>
      <c r="F977">
        <v>470</v>
      </c>
      <c r="G977">
        <v>1917478</v>
      </c>
      <c r="H977">
        <v>13.28</v>
      </c>
      <c r="I977">
        <v>36</v>
      </c>
      <c r="J977">
        <v>482893</v>
      </c>
      <c r="K977" t="s">
        <v>30</v>
      </c>
      <c r="L977" t="s">
        <v>34</v>
      </c>
      <c r="M977" t="s">
        <v>27</v>
      </c>
      <c r="N977" t="s">
        <v>31</v>
      </c>
      <c r="O977">
        <v>1</v>
      </c>
    </row>
    <row r="978" spans="1:15">
      <c r="A978" t="s">
        <v>997</v>
      </c>
      <c r="B978">
        <v>59</v>
      </c>
      <c r="C978" t="s">
        <v>33</v>
      </c>
      <c r="D978">
        <v>1451582</v>
      </c>
      <c r="E978" t="s">
        <v>25</v>
      </c>
      <c r="F978">
        <v>388</v>
      </c>
      <c r="G978">
        <v>1919597</v>
      </c>
      <c r="H978">
        <v>10.32</v>
      </c>
      <c r="I978">
        <v>60</v>
      </c>
      <c r="J978">
        <v>483536</v>
      </c>
      <c r="K978" t="s">
        <v>11</v>
      </c>
      <c r="L978" t="s">
        <v>34</v>
      </c>
      <c r="M978" t="s">
        <v>27</v>
      </c>
      <c r="N978" t="s">
        <v>21</v>
      </c>
      <c r="O978">
        <v>0</v>
      </c>
    </row>
    <row r="979" spans="1:15">
      <c r="A979" t="s">
        <v>1022</v>
      </c>
      <c r="B979">
        <v>59</v>
      </c>
      <c r="C979" t="s">
        <v>16</v>
      </c>
      <c r="D979">
        <v>1454461</v>
      </c>
      <c r="E979" t="s">
        <v>25</v>
      </c>
      <c r="F979">
        <v>688</v>
      </c>
      <c r="G979">
        <v>1920306</v>
      </c>
      <c r="H979">
        <v>14.88</v>
      </c>
      <c r="I979">
        <v>36</v>
      </c>
      <c r="J979">
        <v>483936</v>
      </c>
      <c r="K979" t="s">
        <v>11</v>
      </c>
      <c r="L979" t="s">
        <v>19</v>
      </c>
      <c r="M979" t="s">
        <v>27</v>
      </c>
      <c r="N979" t="s">
        <v>31</v>
      </c>
      <c r="O979">
        <v>0</v>
      </c>
    </row>
    <row r="980" spans="1:15">
      <c r="A980" t="s">
        <v>103</v>
      </c>
      <c r="B980">
        <v>60</v>
      </c>
      <c r="C980" t="s">
        <v>16</v>
      </c>
      <c r="D980">
        <v>1454955</v>
      </c>
      <c r="E980" t="s">
        <v>25</v>
      </c>
      <c r="F980">
        <v>370</v>
      </c>
      <c r="G980">
        <v>1921014</v>
      </c>
      <c r="H980">
        <v>7.79</v>
      </c>
      <c r="I980">
        <v>48</v>
      </c>
      <c r="J980">
        <v>484260</v>
      </c>
      <c r="K980" t="s">
        <v>30</v>
      </c>
      <c r="L980" t="s">
        <v>19</v>
      </c>
      <c r="M980" t="s">
        <v>20</v>
      </c>
      <c r="N980" t="s">
        <v>31</v>
      </c>
      <c r="O980">
        <v>1</v>
      </c>
    </row>
    <row r="981" spans="1:15">
      <c r="A981" t="s">
        <v>105</v>
      </c>
      <c r="B981">
        <v>60</v>
      </c>
      <c r="C981" t="s">
        <v>16</v>
      </c>
      <c r="D981">
        <v>1455975</v>
      </c>
      <c r="E981" t="s">
        <v>25</v>
      </c>
      <c r="F981">
        <v>662</v>
      </c>
      <c r="G981">
        <v>1922229</v>
      </c>
      <c r="H981">
        <v>7.68</v>
      </c>
      <c r="I981">
        <v>60</v>
      </c>
      <c r="J981">
        <v>485059</v>
      </c>
      <c r="K981" t="s">
        <v>30</v>
      </c>
      <c r="L981" t="s">
        <v>19</v>
      </c>
      <c r="M981" t="s">
        <v>27</v>
      </c>
      <c r="N981" t="s">
        <v>28</v>
      </c>
      <c r="O981">
        <v>0</v>
      </c>
    </row>
    <row r="982" spans="1:15">
      <c r="A982" t="s">
        <v>116</v>
      </c>
      <c r="B982">
        <v>60</v>
      </c>
      <c r="C982" t="s">
        <v>33</v>
      </c>
      <c r="D982">
        <v>1458262</v>
      </c>
      <c r="E982" t="s">
        <v>17</v>
      </c>
      <c r="F982">
        <v>527</v>
      </c>
      <c r="G982">
        <v>1927413</v>
      </c>
      <c r="H982">
        <v>14.31</v>
      </c>
      <c r="I982">
        <v>24</v>
      </c>
      <c r="J982">
        <v>486330</v>
      </c>
      <c r="K982" t="s">
        <v>30</v>
      </c>
      <c r="L982" t="s">
        <v>19</v>
      </c>
      <c r="M982" t="s">
        <v>27</v>
      </c>
      <c r="N982" t="s">
        <v>28</v>
      </c>
      <c r="O982">
        <v>1</v>
      </c>
    </row>
    <row r="983" spans="1:15">
      <c r="A983" t="s">
        <v>177</v>
      </c>
      <c r="B983">
        <v>60</v>
      </c>
      <c r="C983" t="s">
        <v>33</v>
      </c>
      <c r="D983">
        <v>1459321</v>
      </c>
      <c r="E983" t="s">
        <v>17</v>
      </c>
      <c r="F983">
        <v>836</v>
      </c>
      <c r="G983">
        <v>1928995</v>
      </c>
      <c r="H983">
        <v>8.86</v>
      </c>
      <c r="I983">
        <v>36</v>
      </c>
      <c r="J983">
        <v>486760</v>
      </c>
      <c r="K983" t="s">
        <v>26</v>
      </c>
      <c r="L983" t="s">
        <v>34</v>
      </c>
      <c r="M983" t="s">
        <v>20</v>
      </c>
      <c r="N983" t="s">
        <v>28</v>
      </c>
      <c r="O983">
        <v>0</v>
      </c>
    </row>
    <row r="984" spans="1:15">
      <c r="A984" t="s">
        <v>193</v>
      </c>
      <c r="B984">
        <v>60</v>
      </c>
      <c r="C984" t="s">
        <v>16</v>
      </c>
      <c r="D984">
        <v>1460597</v>
      </c>
      <c r="E984" t="s">
        <v>17</v>
      </c>
      <c r="F984">
        <v>755</v>
      </c>
      <c r="G984">
        <v>1934253</v>
      </c>
      <c r="H984">
        <v>10.83</v>
      </c>
      <c r="I984">
        <v>48</v>
      </c>
      <c r="J984">
        <v>486954</v>
      </c>
      <c r="K984" t="s">
        <v>23</v>
      </c>
      <c r="L984" t="s">
        <v>19</v>
      </c>
      <c r="M984" t="s">
        <v>20</v>
      </c>
      <c r="N984" t="s">
        <v>21</v>
      </c>
      <c r="O984">
        <v>0</v>
      </c>
    </row>
    <row r="985" spans="1:15">
      <c r="A985" t="s">
        <v>333</v>
      </c>
      <c r="B985">
        <v>60</v>
      </c>
      <c r="C985" t="s">
        <v>16</v>
      </c>
      <c r="D985">
        <v>1461656</v>
      </c>
      <c r="E985" t="s">
        <v>17</v>
      </c>
      <c r="G985">
        <v>1939823</v>
      </c>
      <c r="H985">
        <v>15.45</v>
      </c>
      <c r="I985">
        <v>60</v>
      </c>
      <c r="J985">
        <v>487113</v>
      </c>
      <c r="K985" t="s">
        <v>23</v>
      </c>
      <c r="L985" t="s">
        <v>34</v>
      </c>
      <c r="M985" t="s">
        <v>27</v>
      </c>
      <c r="N985" t="s">
        <v>31</v>
      </c>
      <c r="O985">
        <v>1</v>
      </c>
    </row>
    <row r="986" spans="1:15">
      <c r="A986" t="s">
        <v>337</v>
      </c>
      <c r="B986">
        <v>60</v>
      </c>
      <c r="C986" t="s">
        <v>16</v>
      </c>
      <c r="D986">
        <v>1461722</v>
      </c>
      <c r="E986" t="s">
        <v>17</v>
      </c>
      <c r="F986">
        <v>585</v>
      </c>
      <c r="G986">
        <v>1940183</v>
      </c>
      <c r="H986">
        <v>14.87</v>
      </c>
      <c r="I986">
        <v>24</v>
      </c>
      <c r="J986">
        <v>487338</v>
      </c>
      <c r="K986" t="s">
        <v>11</v>
      </c>
      <c r="L986" t="s">
        <v>34</v>
      </c>
      <c r="M986" t="s">
        <v>20</v>
      </c>
      <c r="N986" t="s">
        <v>28</v>
      </c>
      <c r="O986">
        <v>0</v>
      </c>
    </row>
    <row r="987" spans="1:15">
      <c r="A987" t="s">
        <v>352</v>
      </c>
      <c r="B987">
        <v>60</v>
      </c>
      <c r="C987" t="s">
        <v>33</v>
      </c>
      <c r="D987">
        <v>1462527</v>
      </c>
      <c r="E987" t="s">
        <v>17</v>
      </c>
      <c r="F987">
        <v>815</v>
      </c>
      <c r="G987">
        <v>1943107</v>
      </c>
      <c r="H987">
        <v>8.02</v>
      </c>
      <c r="I987">
        <v>12</v>
      </c>
      <c r="J987">
        <v>487720</v>
      </c>
      <c r="K987" t="s">
        <v>23</v>
      </c>
      <c r="L987" t="s">
        <v>34</v>
      </c>
      <c r="M987" t="s">
        <v>27</v>
      </c>
      <c r="N987" t="s">
        <v>31</v>
      </c>
      <c r="O987">
        <v>0</v>
      </c>
    </row>
    <row r="988" spans="1:15">
      <c r="A988" t="s">
        <v>359</v>
      </c>
      <c r="B988">
        <v>60</v>
      </c>
      <c r="C988" t="s">
        <v>33</v>
      </c>
      <c r="D988">
        <v>1462940</v>
      </c>
      <c r="E988" t="s">
        <v>17</v>
      </c>
      <c r="F988">
        <v>697</v>
      </c>
      <c r="G988">
        <v>1944521</v>
      </c>
      <c r="H988">
        <v>15.44</v>
      </c>
      <c r="I988">
        <v>36</v>
      </c>
      <c r="J988">
        <v>488470</v>
      </c>
      <c r="K988" t="s">
        <v>18</v>
      </c>
      <c r="L988" t="s">
        <v>34</v>
      </c>
      <c r="M988" t="s">
        <v>27</v>
      </c>
      <c r="N988" t="s">
        <v>31</v>
      </c>
      <c r="O988">
        <v>0</v>
      </c>
    </row>
    <row r="989" spans="1:15">
      <c r="A989" t="s">
        <v>367</v>
      </c>
      <c r="B989">
        <v>60</v>
      </c>
      <c r="C989" t="s">
        <v>16</v>
      </c>
      <c r="D989">
        <v>1463385</v>
      </c>
      <c r="E989" t="s">
        <v>17</v>
      </c>
      <c r="F989">
        <v>843</v>
      </c>
      <c r="G989">
        <v>1944934</v>
      </c>
      <c r="H989">
        <v>16.22</v>
      </c>
      <c r="I989">
        <v>24</v>
      </c>
      <c r="J989">
        <v>490033</v>
      </c>
      <c r="K989" t="s">
        <v>11</v>
      </c>
      <c r="L989" t="s">
        <v>19</v>
      </c>
      <c r="M989" t="s">
        <v>27</v>
      </c>
      <c r="N989" t="s">
        <v>28</v>
      </c>
      <c r="O989">
        <v>0</v>
      </c>
    </row>
    <row r="990" spans="1:15">
      <c r="A990" t="s">
        <v>375</v>
      </c>
      <c r="B990">
        <v>60</v>
      </c>
      <c r="C990" t="s">
        <v>33</v>
      </c>
      <c r="D990">
        <v>1465982</v>
      </c>
      <c r="E990" t="s">
        <v>17</v>
      </c>
      <c r="F990">
        <v>674</v>
      </c>
      <c r="G990">
        <v>1947175</v>
      </c>
      <c r="H990">
        <v>13.25</v>
      </c>
      <c r="I990">
        <v>24</v>
      </c>
      <c r="J990">
        <v>490755</v>
      </c>
      <c r="K990" t="s">
        <v>30</v>
      </c>
      <c r="L990" t="s">
        <v>34</v>
      </c>
      <c r="M990" t="s">
        <v>20</v>
      </c>
      <c r="N990" t="s">
        <v>21</v>
      </c>
      <c r="O990">
        <v>0</v>
      </c>
    </row>
    <row r="991" spans="1:15">
      <c r="A991" t="s">
        <v>396</v>
      </c>
      <c r="B991">
        <v>60</v>
      </c>
      <c r="C991" t="s">
        <v>16</v>
      </c>
      <c r="D991">
        <v>1467765</v>
      </c>
      <c r="E991" t="s">
        <v>17</v>
      </c>
      <c r="F991">
        <v>599</v>
      </c>
      <c r="G991">
        <v>1948486</v>
      </c>
      <c r="H991">
        <v>11.55</v>
      </c>
      <c r="I991">
        <v>12</v>
      </c>
      <c r="J991">
        <v>491866</v>
      </c>
      <c r="K991" t="s">
        <v>30</v>
      </c>
      <c r="L991" t="s">
        <v>19</v>
      </c>
      <c r="M991" t="s">
        <v>20</v>
      </c>
      <c r="N991" t="s">
        <v>28</v>
      </c>
      <c r="O991">
        <v>0</v>
      </c>
    </row>
    <row r="992" spans="1:15">
      <c r="A992" t="s">
        <v>403</v>
      </c>
      <c r="B992">
        <v>60</v>
      </c>
      <c r="C992" t="s">
        <v>33</v>
      </c>
      <c r="D992">
        <v>1468920</v>
      </c>
      <c r="E992" t="s">
        <v>17</v>
      </c>
      <c r="F992">
        <v>357</v>
      </c>
      <c r="G992">
        <v>1949398</v>
      </c>
      <c r="H992">
        <v>8.91</v>
      </c>
      <c r="I992">
        <v>60</v>
      </c>
      <c r="J992">
        <v>492027</v>
      </c>
      <c r="K992" t="s">
        <v>30</v>
      </c>
      <c r="L992" t="s">
        <v>19</v>
      </c>
      <c r="M992" t="s">
        <v>20</v>
      </c>
      <c r="N992" t="s">
        <v>28</v>
      </c>
      <c r="O992">
        <v>0</v>
      </c>
    </row>
    <row r="993" spans="1:15">
      <c r="A993" t="s">
        <v>412</v>
      </c>
      <c r="B993">
        <v>60</v>
      </c>
      <c r="C993" t="s">
        <v>16</v>
      </c>
      <c r="D993">
        <v>1470656</v>
      </c>
      <c r="E993" t="s">
        <v>25</v>
      </c>
      <c r="F993">
        <v>665</v>
      </c>
      <c r="G993">
        <v>1950838</v>
      </c>
      <c r="H993">
        <v>15.6</v>
      </c>
      <c r="I993">
        <v>36</v>
      </c>
      <c r="J993">
        <v>492340</v>
      </c>
      <c r="K993" t="s">
        <v>30</v>
      </c>
      <c r="L993" t="s">
        <v>19</v>
      </c>
      <c r="M993" t="s">
        <v>27</v>
      </c>
      <c r="N993" t="s">
        <v>28</v>
      </c>
      <c r="O993">
        <v>0</v>
      </c>
    </row>
    <row r="994" spans="1:15">
      <c r="A994" t="s">
        <v>427</v>
      </c>
      <c r="B994">
        <v>60</v>
      </c>
      <c r="C994" t="s">
        <v>16</v>
      </c>
      <c r="D994">
        <v>1472888</v>
      </c>
      <c r="E994" t="s">
        <v>25</v>
      </c>
      <c r="F994">
        <v>848</v>
      </c>
      <c r="G994">
        <v>1951600</v>
      </c>
      <c r="H994">
        <v>8.35</v>
      </c>
      <c r="I994">
        <v>12</v>
      </c>
      <c r="J994">
        <v>492790</v>
      </c>
      <c r="K994" t="s">
        <v>23</v>
      </c>
      <c r="L994" t="s">
        <v>34</v>
      </c>
      <c r="M994" t="s">
        <v>20</v>
      </c>
      <c r="N994" t="s">
        <v>21</v>
      </c>
      <c r="O994">
        <v>0</v>
      </c>
    </row>
    <row r="995" spans="1:15">
      <c r="A995" t="s">
        <v>456</v>
      </c>
      <c r="B995">
        <v>60</v>
      </c>
      <c r="C995" t="s">
        <v>16</v>
      </c>
      <c r="D995">
        <v>1476923</v>
      </c>
      <c r="E995" t="s">
        <v>17</v>
      </c>
      <c r="F995">
        <v>375</v>
      </c>
      <c r="G995">
        <v>1952868</v>
      </c>
      <c r="H995">
        <v>14.59</v>
      </c>
      <c r="I995">
        <v>36</v>
      </c>
      <c r="J995">
        <v>493351</v>
      </c>
      <c r="K995" t="s">
        <v>18</v>
      </c>
      <c r="L995" t="s">
        <v>34</v>
      </c>
      <c r="M995" t="s">
        <v>20</v>
      </c>
      <c r="N995" t="s">
        <v>28</v>
      </c>
      <c r="O995">
        <v>0</v>
      </c>
    </row>
    <row r="996" spans="1:15">
      <c r="A996" t="s">
        <v>475</v>
      </c>
      <c r="B996">
        <v>60</v>
      </c>
      <c r="C996" t="s">
        <v>16</v>
      </c>
      <c r="D996">
        <v>1481722</v>
      </c>
      <c r="E996" t="s">
        <v>17</v>
      </c>
      <c r="F996">
        <v>809</v>
      </c>
      <c r="G996">
        <v>1956773</v>
      </c>
      <c r="H996">
        <v>11.52</v>
      </c>
      <c r="I996">
        <v>60</v>
      </c>
      <c r="J996">
        <v>493404</v>
      </c>
      <c r="K996" t="s">
        <v>26</v>
      </c>
      <c r="L996" t="s">
        <v>34</v>
      </c>
      <c r="M996" t="s">
        <v>20</v>
      </c>
      <c r="N996" t="s">
        <v>21</v>
      </c>
      <c r="O996">
        <v>0</v>
      </c>
    </row>
    <row r="997" spans="1:15">
      <c r="A997" t="s">
        <v>532</v>
      </c>
      <c r="B997">
        <v>60</v>
      </c>
      <c r="C997" t="s">
        <v>16</v>
      </c>
      <c r="D997">
        <v>1483204</v>
      </c>
      <c r="E997" t="s">
        <v>17</v>
      </c>
      <c r="F997">
        <v>454</v>
      </c>
      <c r="G997">
        <v>1958906</v>
      </c>
      <c r="H997">
        <v>8.8800000000000008</v>
      </c>
      <c r="I997">
        <v>12</v>
      </c>
      <c r="J997">
        <v>493959</v>
      </c>
      <c r="K997" t="s">
        <v>30</v>
      </c>
      <c r="L997" t="s">
        <v>34</v>
      </c>
      <c r="M997" t="s">
        <v>20</v>
      </c>
      <c r="N997" t="s">
        <v>31</v>
      </c>
      <c r="O997">
        <v>0</v>
      </c>
    </row>
    <row r="998" spans="1:15">
      <c r="A998" t="s">
        <v>543</v>
      </c>
      <c r="B998">
        <v>60</v>
      </c>
      <c r="C998" t="s">
        <v>33</v>
      </c>
      <c r="D998">
        <v>1484137</v>
      </c>
      <c r="E998" t="s">
        <v>25</v>
      </c>
      <c r="F998">
        <v>851</v>
      </c>
      <c r="G998">
        <v>1961338</v>
      </c>
      <c r="H998">
        <v>10.039999999999999</v>
      </c>
      <c r="I998">
        <v>60</v>
      </c>
      <c r="J998">
        <v>494521</v>
      </c>
      <c r="K998" t="s">
        <v>30</v>
      </c>
      <c r="L998" t="s">
        <v>34</v>
      </c>
      <c r="M998" t="s">
        <v>20</v>
      </c>
      <c r="N998" t="s">
        <v>28</v>
      </c>
      <c r="O998">
        <v>0</v>
      </c>
    </row>
    <row r="999" spans="1:15">
      <c r="A999" t="s">
        <v>548</v>
      </c>
      <c r="B999">
        <v>60</v>
      </c>
      <c r="C999" t="s">
        <v>16</v>
      </c>
      <c r="D999">
        <v>1484584</v>
      </c>
      <c r="E999" t="s">
        <v>17</v>
      </c>
      <c r="F999">
        <v>679</v>
      </c>
      <c r="G999">
        <v>1961369</v>
      </c>
      <c r="H999">
        <v>8.0399999999999991</v>
      </c>
      <c r="I999">
        <v>60</v>
      </c>
      <c r="J999">
        <v>494875</v>
      </c>
      <c r="K999" t="s">
        <v>11</v>
      </c>
      <c r="L999" t="s">
        <v>19</v>
      </c>
      <c r="M999" t="s">
        <v>20</v>
      </c>
      <c r="N999" t="s">
        <v>31</v>
      </c>
      <c r="O999">
        <v>0</v>
      </c>
    </row>
    <row r="1000" spans="1:15">
      <c r="A1000" t="s">
        <v>594</v>
      </c>
      <c r="B1000">
        <v>60</v>
      </c>
      <c r="C1000" t="s">
        <v>16</v>
      </c>
      <c r="D1000">
        <v>1485375</v>
      </c>
      <c r="E1000" t="s">
        <v>25</v>
      </c>
      <c r="F1000">
        <v>326</v>
      </c>
      <c r="G1000">
        <v>1961879</v>
      </c>
      <c r="H1000">
        <v>11.65</v>
      </c>
      <c r="I1000">
        <v>12</v>
      </c>
      <c r="J1000">
        <v>495052</v>
      </c>
      <c r="K1000" t="s">
        <v>18</v>
      </c>
      <c r="L1000" t="s">
        <v>19</v>
      </c>
      <c r="M1000" t="s">
        <v>20</v>
      </c>
      <c r="N1000" t="s">
        <v>21</v>
      </c>
      <c r="O1000">
        <v>0</v>
      </c>
    </row>
    <row r="1001" spans="1:15">
      <c r="A1001" t="s">
        <v>693</v>
      </c>
      <c r="B1001">
        <v>60</v>
      </c>
      <c r="C1001" t="s">
        <v>33</v>
      </c>
      <c r="D1001">
        <v>1485742</v>
      </c>
      <c r="E1001" t="s">
        <v>25</v>
      </c>
      <c r="F1001">
        <v>686</v>
      </c>
      <c r="G1001">
        <v>1963120</v>
      </c>
      <c r="H1001">
        <v>14.14</v>
      </c>
      <c r="I1001">
        <v>12</v>
      </c>
      <c r="J1001">
        <v>496039</v>
      </c>
      <c r="K1001" t="s">
        <v>26</v>
      </c>
      <c r="L1001" t="s">
        <v>34</v>
      </c>
      <c r="M1001" t="s">
        <v>20</v>
      </c>
      <c r="N1001" t="s">
        <v>21</v>
      </c>
      <c r="O1001">
        <v>0</v>
      </c>
    </row>
    <row r="1002" spans="1:15">
      <c r="A1002" t="s">
        <v>714</v>
      </c>
      <c r="B1002">
        <v>60</v>
      </c>
      <c r="C1002" t="s">
        <v>33</v>
      </c>
      <c r="D1002">
        <v>1487054</v>
      </c>
      <c r="E1002" t="s">
        <v>17</v>
      </c>
      <c r="F1002">
        <v>861</v>
      </c>
      <c r="G1002">
        <v>1965258</v>
      </c>
      <c r="H1002">
        <v>14.45</v>
      </c>
      <c r="I1002">
        <v>48</v>
      </c>
      <c r="J1002">
        <v>496115</v>
      </c>
      <c r="K1002" t="s">
        <v>30</v>
      </c>
      <c r="L1002" t="s">
        <v>19</v>
      </c>
      <c r="M1002" t="s">
        <v>20</v>
      </c>
      <c r="N1002" t="s">
        <v>28</v>
      </c>
      <c r="O1002">
        <v>0</v>
      </c>
    </row>
    <row r="1003" spans="1:15">
      <c r="A1003" t="s">
        <v>757</v>
      </c>
      <c r="B1003">
        <v>60</v>
      </c>
      <c r="C1003" t="s">
        <v>33</v>
      </c>
      <c r="D1003">
        <v>1488009</v>
      </c>
      <c r="E1003" t="s">
        <v>17</v>
      </c>
      <c r="F1003">
        <v>318</v>
      </c>
      <c r="G1003">
        <v>1968962</v>
      </c>
      <c r="H1003">
        <v>14.18</v>
      </c>
      <c r="I1003">
        <v>48</v>
      </c>
      <c r="J1003">
        <v>496636</v>
      </c>
      <c r="K1003" t="s">
        <v>30</v>
      </c>
      <c r="L1003" t="s">
        <v>19</v>
      </c>
      <c r="M1003" t="s">
        <v>27</v>
      </c>
      <c r="N1003" t="s">
        <v>31</v>
      </c>
      <c r="O1003">
        <v>1</v>
      </c>
    </row>
    <row r="1004" spans="1:15">
      <c r="A1004" t="s">
        <v>778</v>
      </c>
      <c r="B1004">
        <v>60</v>
      </c>
      <c r="C1004" t="s">
        <v>16</v>
      </c>
      <c r="D1004">
        <v>1489246</v>
      </c>
      <c r="E1004" t="s">
        <v>25</v>
      </c>
      <c r="F1004">
        <v>825</v>
      </c>
      <c r="G1004">
        <v>1969451</v>
      </c>
      <c r="H1004">
        <v>13.95</v>
      </c>
      <c r="I1004">
        <v>36</v>
      </c>
      <c r="J1004">
        <v>496744</v>
      </c>
      <c r="K1004" t="s">
        <v>11</v>
      </c>
      <c r="L1004" t="s">
        <v>19</v>
      </c>
      <c r="M1004" t="s">
        <v>20</v>
      </c>
      <c r="N1004" t="s">
        <v>28</v>
      </c>
      <c r="O1004">
        <v>0</v>
      </c>
    </row>
    <row r="1005" spans="1:15">
      <c r="A1005" t="s">
        <v>789</v>
      </c>
      <c r="B1005">
        <v>60</v>
      </c>
      <c r="C1005" t="s">
        <v>33</v>
      </c>
      <c r="D1005">
        <v>1490690</v>
      </c>
      <c r="E1005" t="s">
        <v>25</v>
      </c>
      <c r="F1005">
        <v>412</v>
      </c>
      <c r="G1005">
        <v>1970351</v>
      </c>
      <c r="H1005">
        <v>13.13</v>
      </c>
      <c r="I1005">
        <v>48</v>
      </c>
      <c r="J1005">
        <v>497270</v>
      </c>
      <c r="K1005" t="s">
        <v>23</v>
      </c>
      <c r="L1005" t="s">
        <v>34</v>
      </c>
      <c r="M1005" t="s">
        <v>27</v>
      </c>
      <c r="N1005" t="s">
        <v>21</v>
      </c>
      <c r="O1005">
        <v>1</v>
      </c>
    </row>
    <row r="1006" spans="1:15">
      <c r="A1006" t="s">
        <v>840</v>
      </c>
      <c r="B1006">
        <v>60</v>
      </c>
      <c r="C1006" t="s">
        <v>16</v>
      </c>
      <c r="D1006">
        <v>1490761</v>
      </c>
      <c r="E1006" t="s">
        <v>25</v>
      </c>
      <c r="F1006">
        <v>795</v>
      </c>
      <c r="G1006">
        <v>1971041</v>
      </c>
      <c r="H1006">
        <v>10.41</v>
      </c>
      <c r="I1006">
        <v>36</v>
      </c>
      <c r="J1006">
        <v>497372</v>
      </c>
      <c r="K1006" t="s">
        <v>30</v>
      </c>
      <c r="L1006" t="s">
        <v>34</v>
      </c>
      <c r="M1006" t="s">
        <v>27</v>
      </c>
      <c r="N1006" t="s">
        <v>28</v>
      </c>
      <c r="O1006">
        <v>0</v>
      </c>
    </row>
    <row r="1007" spans="1:15">
      <c r="A1007" t="s">
        <v>870</v>
      </c>
      <c r="B1007">
        <v>60</v>
      </c>
      <c r="C1007" t="s">
        <v>33</v>
      </c>
      <c r="D1007">
        <v>1493082</v>
      </c>
      <c r="E1007" t="s">
        <v>25</v>
      </c>
      <c r="F1007">
        <v>430</v>
      </c>
      <c r="G1007">
        <v>1981105</v>
      </c>
      <c r="H1007">
        <v>16.37</v>
      </c>
      <c r="I1007">
        <v>48</v>
      </c>
      <c r="J1007">
        <v>498206</v>
      </c>
      <c r="K1007" t="s">
        <v>23</v>
      </c>
      <c r="L1007" t="s">
        <v>34</v>
      </c>
      <c r="M1007" t="s">
        <v>27</v>
      </c>
      <c r="N1007" t="s">
        <v>28</v>
      </c>
      <c r="O1007">
        <v>1</v>
      </c>
    </row>
  </sheetData>
  <autoFilter ref="C1:C1011" xr:uid="{00000000-0001-0000-0000-000000000000}"/>
  <sortState xmlns:xlrd2="http://schemas.microsoft.com/office/spreadsheetml/2017/richdata2" ref="J2:J1011">
    <sortCondition ref="J2:J1011"/>
  </sortState>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DF87-F7EF-4063-9596-C61B1E0DB376}">
  <dimension ref="A1:E20"/>
  <sheetViews>
    <sheetView workbookViewId="0">
      <selection activeCell="G2" sqref="G2"/>
    </sheetView>
  </sheetViews>
  <sheetFormatPr defaultRowHeight="14.4"/>
  <sheetData>
    <row r="1" spans="1:5">
      <c r="A1" s="1" t="s">
        <v>0</v>
      </c>
      <c r="B1" s="1" t="s">
        <v>10</v>
      </c>
      <c r="D1" t="s">
        <v>0</v>
      </c>
      <c r="E1" t="s">
        <v>1045</v>
      </c>
    </row>
    <row r="2" spans="1:5">
      <c r="A2" t="s">
        <v>69</v>
      </c>
      <c r="B2" t="s">
        <v>26</v>
      </c>
      <c r="D2" t="s">
        <v>331</v>
      </c>
      <c r="E2" t="str">
        <f>VLOOKUP(D2,$A$2:$B$21,2,FALSE)</f>
        <v>Home</v>
      </c>
    </row>
    <row r="3" spans="1:5">
      <c r="A3" t="s">
        <v>142</v>
      </c>
      <c r="B3" t="s">
        <v>11</v>
      </c>
      <c r="C3" s="1"/>
      <c r="D3" s="1"/>
    </row>
    <row r="4" spans="1:5">
      <c r="A4" t="s">
        <v>199</v>
      </c>
      <c r="B4" t="s">
        <v>11</v>
      </c>
    </row>
    <row r="5" spans="1:5">
      <c r="A5" t="s">
        <v>256</v>
      </c>
      <c r="B5" t="s">
        <v>30</v>
      </c>
    </row>
    <row r="6" spans="1:5">
      <c r="A6" t="s">
        <v>331</v>
      </c>
      <c r="B6" t="s">
        <v>23</v>
      </c>
    </row>
    <row r="7" spans="1:5">
      <c r="A7" t="s">
        <v>365</v>
      </c>
      <c r="B7" t="s">
        <v>26</v>
      </c>
    </row>
    <row r="8" spans="1:5">
      <c r="A8" t="s">
        <v>368</v>
      </c>
      <c r="B8" t="s">
        <v>18</v>
      </c>
    </row>
    <row r="9" spans="1:5">
      <c r="A9" t="s">
        <v>435</v>
      </c>
      <c r="B9" t="s">
        <v>23</v>
      </c>
    </row>
    <row r="10" spans="1:5">
      <c r="A10" t="s">
        <v>525</v>
      </c>
      <c r="B10" t="s">
        <v>11</v>
      </c>
    </row>
    <row r="11" spans="1:5">
      <c r="A11" t="s">
        <v>625</v>
      </c>
      <c r="B11" t="s">
        <v>11</v>
      </c>
    </row>
    <row r="12" spans="1:5">
      <c r="A12" t="s">
        <v>629</v>
      </c>
      <c r="B12" t="s">
        <v>26</v>
      </c>
    </row>
    <row r="13" spans="1:5">
      <c r="A13" t="s">
        <v>661</v>
      </c>
      <c r="B13" t="s">
        <v>11</v>
      </c>
    </row>
    <row r="14" spans="1:5">
      <c r="A14" t="s">
        <v>673</v>
      </c>
      <c r="B14" t="s">
        <v>18</v>
      </c>
    </row>
    <row r="15" spans="1:5">
      <c r="A15" t="s">
        <v>703</v>
      </c>
      <c r="B15" t="s">
        <v>26</v>
      </c>
    </row>
    <row r="16" spans="1:5">
      <c r="A16" t="s">
        <v>777</v>
      </c>
      <c r="B16" t="s">
        <v>30</v>
      </c>
    </row>
    <row r="17" spans="1:2">
      <c r="A17" t="s">
        <v>817</v>
      </c>
      <c r="B17" t="s">
        <v>26</v>
      </c>
    </row>
    <row r="18" spans="1:2">
      <c r="A18" t="s">
        <v>821</v>
      </c>
      <c r="B18" t="s">
        <v>11</v>
      </c>
    </row>
    <row r="19" spans="1:2">
      <c r="A19" t="s">
        <v>900</v>
      </c>
      <c r="B19" t="s">
        <v>18</v>
      </c>
    </row>
    <row r="20" spans="1:2">
      <c r="A20" t="s">
        <v>902</v>
      </c>
      <c r="B20"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vt:lpstr>
      <vt:lpstr>BankLoan Dataset</vt:lpstr>
      <vt:lpstr>Vlookup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kiranpuri541@gmail.com</cp:lastModifiedBy>
  <dcterms:created xsi:type="dcterms:W3CDTF">2026-08-03T12:59:56Z</dcterms:created>
  <dcterms:modified xsi:type="dcterms:W3CDTF">2026-08-10T12:43:51Z</dcterms:modified>
</cp:coreProperties>
</file>