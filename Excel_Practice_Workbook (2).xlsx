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889BF06-56EF-4A96-BA4B-3B48301AAB91}" xr6:coauthVersionLast="47" xr6:coauthVersionMax="47" xr10:uidLastSave="{00000000-0000-0000-0000-000000000000}"/>
  <bookViews>
    <workbookView xWindow="-108" yWindow="-108" windowWidth="23256" windowHeight="12456" tabRatio="894" xr2:uid="{00000000-000D-0000-FFFF-FFFF00000000}"/>
  </bookViews>
  <sheets>
    <sheet name="01_Basic_Sales" sheetId="1" r:id="rId1"/>
    <sheet name="02_Basic_Cleaning" sheetId="2" r:id="rId2"/>
    <sheet name="03_Intermediate_Lookup" sheetId="3" r:id="rId3"/>
    <sheet name="04_Intermediate_Logic" sheetId="4" r:id="rId4"/>
    <sheet name="05_Advanced_IndexMatch" sheetId="5" r:id="rId5"/>
    <sheet name="06_Advanced_Arrays" sheetId="6" r:id="rId6"/>
    <sheet name="07_Advanced_Cleaning" sheetId="7" r:id="rId7"/>
  </sheets>
  <definedNames>
    <definedName name="_xlnm._FilterDatabase" localSheetId="0" hidden="1">'01_Basic_Sales'!$D$3:$D$53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7" l="1"/>
  <c r="C27" i="7"/>
  <c r="C25" i="7"/>
  <c r="C24" i="7"/>
  <c r="C23" i="7"/>
  <c r="C22" i="7"/>
  <c r="C21" i="7"/>
  <c r="C20" i="7"/>
  <c r="C19" i="7"/>
  <c r="C18" i="7"/>
  <c r="C78" i="6"/>
  <c r="C80" i="6" a="1"/>
  <c r="C80" i="6" s="1"/>
  <c r="C79" i="6"/>
  <c r="C77" i="6" a="1"/>
  <c r="C77" i="6" s="1"/>
  <c r="C76" i="6"/>
  <c r="C74" i="6"/>
  <c r="C75" i="6"/>
  <c r="C73" i="6" a="1"/>
  <c r="C73" i="6"/>
  <c r="C72" i="6"/>
  <c r="C71" i="6" a="1"/>
  <c r="C71" i="6" s="1"/>
  <c r="C70" i="6" a="1"/>
  <c r="C70" i="6" s="1"/>
  <c r="C69" i="6"/>
  <c r="C44" i="5" a="1"/>
  <c r="C44" i="5" s="1"/>
  <c r="C43" i="5"/>
  <c r="C42" i="5" a="1"/>
  <c r="C42" i="5" s="1"/>
  <c r="C41" i="5"/>
  <c r="C40" i="5"/>
  <c r="C39" i="5"/>
  <c r="C38" i="5"/>
  <c r="C37" i="5"/>
  <c r="C36" i="5"/>
  <c r="C35" i="5"/>
  <c r="J22" i="5"/>
  <c r="J23" i="5"/>
  <c r="J24" i="5"/>
  <c r="J25" i="5"/>
  <c r="J26" i="5"/>
  <c r="J27" i="5"/>
  <c r="J28" i="5"/>
  <c r="J29" i="5"/>
  <c r="J30" i="5"/>
  <c r="J21" i="5"/>
  <c r="I22" i="5"/>
  <c r="I23" i="5"/>
  <c r="I24" i="5"/>
  <c r="I25" i="5"/>
  <c r="I26" i="5"/>
  <c r="I27" i="5"/>
  <c r="I28" i="5"/>
  <c r="I29" i="5"/>
  <c r="I30" i="5"/>
  <c r="I21" i="5"/>
  <c r="H22" i="5"/>
  <c r="H23" i="5"/>
  <c r="H24" i="5"/>
  <c r="H25" i="5"/>
  <c r="H26" i="5"/>
  <c r="H27" i="5"/>
  <c r="H28" i="5"/>
  <c r="H29" i="5"/>
  <c r="H30" i="5"/>
  <c r="H21" i="5"/>
  <c r="G22" i="5"/>
  <c r="G23" i="5"/>
  <c r="G24" i="5"/>
  <c r="G25" i="5"/>
  <c r="G26" i="5"/>
  <c r="G27" i="5"/>
  <c r="G28" i="5"/>
  <c r="G29" i="5"/>
  <c r="G30" i="5"/>
  <c r="G21" i="5"/>
  <c r="F22" i="5"/>
  <c r="F23" i="5"/>
  <c r="F24" i="5"/>
  <c r="F25" i="5"/>
  <c r="F26" i="5"/>
  <c r="F27" i="5"/>
  <c r="F28" i="5"/>
  <c r="F29" i="5"/>
  <c r="F30" i="5"/>
  <c r="F21" i="5"/>
  <c r="C46" i="4"/>
  <c r="C45" i="4"/>
  <c r="C44" i="4"/>
  <c r="C43" i="4"/>
  <c r="C42" i="4"/>
  <c r="C41" i="4"/>
  <c r="C40" i="4"/>
  <c r="C39" i="4"/>
  <c r="C38" i="4"/>
  <c r="C37" i="4"/>
  <c r="J4" i="4"/>
  <c r="J5" i="4"/>
  <c r="J6" i="4"/>
  <c r="J7" i="4"/>
  <c r="J8" i="4"/>
  <c r="J9" i="4"/>
  <c r="J10" i="4"/>
  <c r="C36" i="4"/>
  <c r="C35" i="4"/>
  <c r="J12" i="4"/>
  <c r="J13" i="4"/>
  <c r="J14" i="4"/>
  <c r="J15" i="4"/>
  <c r="J16" i="4"/>
  <c r="J17" i="4"/>
  <c r="J18" i="4"/>
  <c r="J19" i="4"/>
  <c r="J20" i="4"/>
  <c r="J21" i="4"/>
  <c r="J22" i="4"/>
  <c r="J23" i="4"/>
  <c r="J11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4" i="4"/>
  <c r="C45" i="3"/>
  <c r="C44" i="3"/>
  <c r="C43" i="3"/>
  <c r="C42" i="3"/>
  <c r="C41" i="3"/>
  <c r="C40" i="3"/>
  <c r="C39" i="3"/>
  <c r="C38" i="3"/>
  <c r="C37" i="3"/>
  <c r="C36" i="3"/>
  <c r="J23" i="3"/>
  <c r="J24" i="3"/>
  <c r="J25" i="3"/>
  <c r="J26" i="3"/>
  <c r="J27" i="3"/>
  <c r="J28" i="3"/>
  <c r="J29" i="3"/>
  <c r="J30" i="3"/>
  <c r="J31" i="3"/>
  <c r="J22" i="3"/>
  <c r="I23" i="3"/>
  <c r="I24" i="3"/>
  <c r="I25" i="3"/>
  <c r="I26" i="3"/>
  <c r="I27" i="3"/>
  <c r="I28" i="3"/>
  <c r="I29" i="3"/>
  <c r="I30" i="3"/>
  <c r="I31" i="3"/>
  <c r="I22" i="3"/>
  <c r="H23" i="3"/>
  <c r="H24" i="3"/>
  <c r="H25" i="3"/>
  <c r="H26" i="3"/>
  <c r="H27" i="3"/>
  <c r="H28" i="3"/>
  <c r="H29" i="3"/>
  <c r="H30" i="3"/>
  <c r="H31" i="3"/>
  <c r="H22" i="3"/>
  <c r="G23" i="3"/>
  <c r="G24" i="3"/>
  <c r="G25" i="3"/>
  <c r="G26" i="3"/>
  <c r="G27" i="3"/>
  <c r="G28" i="3"/>
  <c r="G29" i="3"/>
  <c r="G30" i="3"/>
  <c r="G31" i="3"/>
  <c r="G22" i="3"/>
  <c r="F23" i="3"/>
  <c r="F24" i="3"/>
  <c r="F25" i="3"/>
  <c r="F26" i="3"/>
  <c r="F27" i="3"/>
  <c r="F28" i="3"/>
  <c r="F29" i="3"/>
  <c r="F30" i="3"/>
  <c r="F31" i="3"/>
  <c r="F22" i="3"/>
  <c r="E23" i="3"/>
  <c r="E24" i="3"/>
  <c r="E25" i="3"/>
  <c r="E26" i="3"/>
  <c r="E27" i="3"/>
  <c r="E28" i="3"/>
  <c r="E29" i="3"/>
  <c r="E30" i="3"/>
  <c r="E31" i="3"/>
  <c r="E22" i="3"/>
  <c r="D23" i="3"/>
  <c r="D24" i="3"/>
  <c r="D25" i="3"/>
  <c r="D26" i="3"/>
  <c r="D27" i="3"/>
  <c r="D28" i="3"/>
  <c r="D29" i="3"/>
  <c r="D30" i="3"/>
  <c r="D31" i="3"/>
  <c r="D22" i="3"/>
  <c r="C29" i="2"/>
  <c r="C28" i="2"/>
  <c r="C27" i="2"/>
  <c r="C26" i="2"/>
  <c r="C25" i="2"/>
  <c r="C24" i="2"/>
  <c r="C23" i="2"/>
  <c r="C22" i="2"/>
  <c r="C21" i="2"/>
  <c r="C20" i="2"/>
  <c r="C19" i="2"/>
  <c r="J4" i="2"/>
  <c r="C18" i="2"/>
  <c r="B69" i="1"/>
  <c r="C66" i="1"/>
  <c r="C67" i="1" a="1"/>
  <c r="C67" i="1" s="1"/>
  <c r="C65" i="1" l="1"/>
  <c r="C64" i="1"/>
  <c r="C63" i="1"/>
  <c r="C62" i="1"/>
  <c r="C61" i="1"/>
  <c r="C60" i="1"/>
  <c r="C59" i="1"/>
  <c r="C58" i="1"/>
  <c r="C5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<sst xmlns="http://schemas.openxmlformats.org/spreadsheetml/2006/main" count="1381" uniqueCount="726">
  <si>
    <t>📊  BASIC EXCEL PRACTICE  |  Sheet 1: Sales Data</t>
  </si>
  <si>
    <t>🎯  INSTRUCTIONS:  Use this data to complete the tasks listed below the table.  Write your formulas in the highlighted Answer columns.  Do NOT modify the raw data.</t>
  </si>
  <si>
    <t>Order ID</t>
  </si>
  <si>
    <t>Product</t>
  </si>
  <si>
    <t>Category</t>
  </si>
  <si>
    <t>Region</t>
  </si>
  <si>
    <t>Salesperson</t>
  </si>
  <si>
    <t>Units Sold</t>
  </si>
  <si>
    <t>Unit Price</t>
  </si>
  <si>
    <t>Revenue</t>
  </si>
  <si>
    <t>Month</t>
  </si>
  <si>
    <t>Quarter</t>
  </si>
  <si>
    <t>ORD-1001</t>
  </si>
  <si>
    <t>Mouse</t>
  </si>
  <si>
    <t>Accessories</t>
  </si>
  <si>
    <t>South</t>
  </si>
  <si>
    <t>Bob</t>
  </si>
  <si>
    <t>Jan</t>
  </si>
  <si>
    <t>Q1</t>
  </si>
  <si>
    <t>ORD-1002</t>
  </si>
  <si>
    <t>Keyboard</t>
  </si>
  <si>
    <t>West</t>
  </si>
  <si>
    <t>Alice</t>
  </si>
  <si>
    <t>Dec</t>
  </si>
  <si>
    <t>Q4</t>
  </si>
  <si>
    <t>ORD-1003</t>
  </si>
  <si>
    <t>Laptop</t>
  </si>
  <si>
    <t>Electronics</t>
  </si>
  <si>
    <t>North</t>
  </si>
  <si>
    <t>Eva</t>
  </si>
  <si>
    <t>Feb</t>
  </si>
  <si>
    <t>ORD-1004</t>
  </si>
  <si>
    <t>Monitor</t>
  </si>
  <si>
    <t>David</t>
  </si>
  <si>
    <t>ORD-1005</t>
  </si>
  <si>
    <t>Headset</t>
  </si>
  <si>
    <t>Audio</t>
  </si>
  <si>
    <t>Carol</t>
  </si>
  <si>
    <t>ORD-1006</t>
  </si>
  <si>
    <t>Mar</t>
  </si>
  <si>
    <t>ORD-1007</t>
  </si>
  <si>
    <t>Tablet</t>
  </si>
  <si>
    <t>East</t>
  </si>
  <si>
    <t>ORD-1008</t>
  </si>
  <si>
    <t>Printer</t>
  </si>
  <si>
    <t>Sep</t>
  </si>
  <si>
    <t>Q3</t>
  </si>
  <si>
    <t>ORD-1009</t>
  </si>
  <si>
    <t>Frank</t>
  </si>
  <si>
    <t>Nov</t>
  </si>
  <si>
    <t>ORD-1010</t>
  </si>
  <si>
    <t>ORD-1011</t>
  </si>
  <si>
    <t>ORD-1012</t>
  </si>
  <si>
    <t>Webcam</t>
  </si>
  <si>
    <t>ORD-1013</t>
  </si>
  <si>
    <t>ORD-1014</t>
  </si>
  <si>
    <t>ORD-1015</t>
  </si>
  <si>
    <t>ORD-1016</t>
  </si>
  <si>
    <t>Jul</t>
  </si>
  <si>
    <t>ORD-1017</t>
  </si>
  <si>
    <t>Apr</t>
  </si>
  <si>
    <t>Q2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</si>
  <si>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</si>
  <si>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</si>
  <si>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</si>
  <si>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</si>
  <si>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</si>
  <si>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</si>
  <si>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</si>
  <si>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</si>
  <si>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</si>
  <si>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</si>
  <si>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</si>
  <si>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</si>
  <si>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Oct</t>
  </si>
  <si>
    <t>ORD-1030</t>
  </si>
  <si>
    <t>ORD-1031</t>
  </si>
  <si>
    <t>ORD-1032</t>
  </si>
  <si>
    <t>Aug</t>
  </si>
  <si>
    <t>ORD-1033</t>
  </si>
  <si>
    <t>ORD-1034</t>
  </si>
  <si>
    <t>ORD-1035</t>
  </si>
  <si>
    <t>Jun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</si>
  <si>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</si>
  <si>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</si>
  <si>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</si>
  <si>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</si>
  <si>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</si>
  <si>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</si>
  <si>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</si>
  <si>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</si>
  <si>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</si>
  <si>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</si>
  <si>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</si>
  <si>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</si>
  <si>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</si>
  <si>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</si>
  <si>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</si>
  <si>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✏️  TASKS — Write your formulas in Column B of the Answer Table below</t>
  </si>
  <si>
    <t>#</t>
  </si>
  <si>
    <t>Task Description</t>
  </si>
  <si>
    <t>Your Formula / Answer</t>
  </si>
  <si>
    <t>Hint</t>
  </si>
  <si>
    <t>1</t>
  </si>
  <si>
    <t>Calculate TOTAL Revenue for all 50 orders</t>
  </si>
  <si>
    <t>💡 SUM(range)</t>
  </si>
  <si>
    <t>2</t>
  </si>
  <si>
    <t>Find the AVERAGE Unit Price</t>
  </si>
  <si>
    <t>💡 AVERAGE(range)</t>
  </si>
  <si>
    <t>3</t>
  </si>
  <si>
    <t>Count how many orders have Units Sold &gt; 25</t>
  </si>
  <si>
    <t>💡 COUNTIF(range,criteria)</t>
  </si>
  <si>
    <t>4</t>
  </si>
  <si>
    <t>Find the MAXIMUM Revenue in a single order</t>
  </si>
  <si>
    <t>💡 MAX(range)</t>
  </si>
  <si>
    <t>5</t>
  </si>
  <si>
    <t>Find the MINIMUM Units Sold</t>
  </si>
  <si>
    <t>💡 MIN(range)</t>
  </si>
  <si>
    <t>6</t>
  </si>
  <si>
    <t>Count total number of orders</t>
  </si>
  <si>
    <t>💡 COUNTA counts non-empty</t>
  </si>
  <si>
    <t>7</t>
  </si>
  <si>
    <t>Total Revenue for the 'North' region only</t>
  </si>
  <si>
    <t>💡 SUMIF(range,criteria,sum_range)</t>
  </si>
  <si>
    <t>8</t>
  </si>
  <si>
    <t>Count orders in 'Electronics' category</t>
  </si>
  <si>
    <t>💡 COUNTIF</t>
  </si>
  <si>
    <t>9</t>
  </si>
  <si>
    <t>Average Revenue for orders where Units&gt;20</t>
  </si>
  <si>
    <t>💡 AVERAGEIF</t>
  </si>
  <si>
    <t>10</t>
  </si>
  <si>
    <t>In col I (row 4), add IF: 'High' if Revenue&gt;5000 else 'Low'</t>
  </si>
  <si>
    <t>💡 IF(test,true,false)</t>
  </si>
  <si>
    <t>11</t>
  </si>
  <si>
    <t>Sort the table by Revenue (Largest→Smallest) — describe the top product</t>
  </si>
  <si>
    <t>💡 Data → Sort</t>
  </si>
  <si>
    <t>12</t>
  </si>
  <si>
    <t>Apply a filter to show only 'West' region orders — how many rows?</t>
  </si>
  <si>
    <t>💡 Data → Filter</t>
  </si>
  <si>
    <t>🧹  BASIC EXCEL PRACTICE  |  Sheet 2: Data Cleaning &amp; Text Functions</t>
  </si>
  <si>
    <t>🎯  INSTRUCTIONS: The employee table below has messy data. Use text functions and cleaning tasks in the Answer section.</t>
  </si>
  <si>
    <t>Emp ID</t>
  </si>
  <si>
    <t>Full Name (Messy)</t>
  </si>
  <si>
    <t>Email</t>
  </si>
  <si>
    <t>Department</t>
  </si>
  <si>
    <t>Salary</t>
  </si>
  <si>
    <t>Join Date</t>
  </si>
  <si>
    <t>City</t>
  </si>
  <si>
    <t>Phone</t>
  </si>
  <si>
    <t>Status</t>
  </si>
  <si>
    <t>Score</t>
  </si>
  <si>
    <t>EMP1001</t>
  </si>
  <si>
    <t xml:space="preserve">  alice johnson </t>
  </si>
  <si>
    <t>alice.johnso@company.com</t>
  </si>
  <si>
    <t>HR</t>
  </si>
  <si>
    <t>2019-03-15</t>
  </si>
  <si>
    <t>new york</t>
  </si>
  <si>
    <t>1234567890</t>
  </si>
  <si>
    <t>Active</t>
  </si>
  <si>
    <t>EMP1002</t>
  </si>
  <si>
    <t>BOB SMITH</t>
  </si>
  <si>
    <t>bob.smith@company.com</t>
  </si>
  <si>
    <t>IT</t>
  </si>
  <si>
    <t>2017-08-22</t>
  </si>
  <si>
    <t>LONDON</t>
  </si>
  <si>
    <t>(987) 654-3210</t>
  </si>
  <si>
    <t>active</t>
  </si>
  <si>
    <t>EMP1003</t>
  </si>
  <si>
    <t xml:space="preserve">  carol  white  </t>
  </si>
  <si>
    <t>carol..white@company.com</t>
  </si>
  <si>
    <t>Finance</t>
  </si>
  <si>
    <t>2020-11-01</t>
  </si>
  <si>
    <t xml:space="preserve">  Paris  </t>
  </si>
  <si>
    <t>555-111-2222</t>
  </si>
  <si>
    <t>ACTIVE</t>
  </si>
  <si>
    <t>EMP1004</t>
  </si>
  <si>
    <t>david JONES</t>
  </si>
  <si>
    <t>david.jones@company.com</t>
  </si>
  <si>
    <t>Marketing</t>
  </si>
  <si>
    <t>2018-05-10</t>
  </si>
  <si>
    <t>chicago</t>
  </si>
  <si>
    <t>9876543210</t>
  </si>
  <si>
    <t>Inactive</t>
  </si>
  <si>
    <t>EMP1005</t>
  </si>
  <si>
    <t xml:space="preserve">Eva Brown </t>
  </si>
  <si>
    <t>eva.brown@company.com</t>
  </si>
  <si>
    <t>2016-12-30</t>
  </si>
  <si>
    <t>TOKYO</t>
  </si>
  <si>
    <t>123.456.7890</t>
  </si>
  <si>
    <t>EMP1006</t>
  </si>
  <si>
    <t xml:space="preserve"> frank miller</t>
  </si>
  <si>
    <t>frank.miller@company.com</t>
  </si>
  <si>
    <t>2021-07-14</t>
  </si>
  <si>
    <t xml:space="preserve">Mumbai </t>
  </si>
  <si>
    <t>(111)222-3333</t>
  </si>
  <si>
    <t>inactive</t>
  </si>
  <si>
    <t>EMP1007</t>
  </si>
  <si>
    <t xml:space="preserve">GRACE LEE  </t>
  </si>
  <si>
    <t>grace.lee@company.com</t>
  </si>
  <si>
    <t>2019-09-05</t>
  </si>
  <si>
    <t>berlin</t>
  </si>
  <si>
    <t>444 555 6666</t>
  </si>
  <si>
    <t>EMP1008</t>
  </si>
  <si>
    <t>henry DAVIS</t>
  </si>
  <si>
    <t>henry.davis@company.com</t>
  </si>
  <si>
    <t>2022-01-20</t>
  </si>
  <si>
    <t>SYDNEY</t>
  </si>
  <si>
    <t>777-888-9999</t>
  </si>
  <si>
    <t>INACTIVE</t>
  </si>
  <si>
    <t>EMP1009</t>
  </si>
  <si>
    <t xml:space="preserve">  iris WILSON</t>
  </si>
  <si>
    <t>iris.wilson@company.com</t>
  </si>
  <si>
    <t>2020-04-18</t>
  </si>
  <si>
    <t xml:space="preserve"> toronto</t>
  </si>
  <si>
    <t>0001234567</t>
  </si>
  <si>
    <t>EMP1010</t>
  </si>
  <si>
    <t>jack TAYLOR</t>
  </si>
  <si>
    <t>jack.taylor@company.com</t>
  </si>
  <si>
    <t>2023-06-01</t>
  </si>
  <si>
    <t xml:space="preserve">dubai </t>
  </si>
  <si>
    <t>(999) 000-1111</t>
  </si>
  <si>
    <t>✏️  CLEANING &amp; TEXT FUNCTION TASKS</t>
  </si>
  <si>
    <t>Task</t>
  </si>
  <si>
    <t>Formula to Write (in the given cell)</t>
  </si>
  <si>
    <t>Excel Function Used</t>
  </si>
  <si>
    <t>TRIM the name in B4 → write result in J4 (after Score)</t>
  </si>
  <si>
    <t>💡 TRIM()</t>
  </si>
  <si>
    <t>PROPER case the trimmed name from task 1</t>
  </si>
  <si>
    <t>💡 PROPER()</t>
  </si>
  <si>
    <t>UPPER case city in G4</t>
  </si>
  <si>
    <t>💡 UPPER()</t>
  </si>
  <si>
    <t>Extract FIRST NAME from B5 using LEFT+FIND</t>
  </si>
  <si>
    <t>💡 LEFT, FIND</t>
  </si>
  <si>
    <t>Extract LAST NAME from B5 using MID/RIGHT+FIND</t>
  </si>
  <si>
    <t>💡 MID, FIND, RIGHT</t>
  </si>
  <si>
    <t>LEN: How many characters (incl. spaces) in B4?</t>
  </si>
  <si>
    <t>💡 LEN()</t>
  </si>
  <si>
    <t>SUBSTITUTE: Remove all spaces from phone in H4</t>
  </si>
  <si>
    <t>💡 SUBSTITUTE()</t>
  </si>
  <si>
    <t>Standardise Status col: use IF+UPPER to make all 'Active'/'Inactive'</t>
  </si>
  <si>
    <t>💡 IF, UPPER</t>
  </si>
  <si>
    <t>ISNUMBER: Check if Score in J4 is a number (TRUE/FALSE)</t>
  </si>
  <si>
    <t>💡 ISNUMBER()</t>
  </si>
  <si>
    <t>ISBLANK: Check which Score cells are empty (try J5)</t>
  </si>
  <si>
    <t>💡 ISBLANK()</t>
  </si>
  <si>
    <t>CONCATENATE Full Name + Department with a dash</t>
  </si>
  <si>
    <t>💡 &amp; operator / CONCAT</t>
  </si>
  <si>
    <t>TEXT: Format Salary in E4 as text like '$45,000'</t>
  </si>
  <si>
    <t>💡 TEXT(value,format)</t>
  </si>
  <si>
    <t>🔍  INTERMEDIATE EXCEL  |  Sheet 3: VLOOKUP, HLOOKUP &amp; Lookup Functions</t>
  </si>
  <si>
    <t>🎯  INSTRUCTIONS: Two reference tables are provided. Use VLOOKUP / HLOOKUP / MATCH / INDEX to complete the tasks below.</t>
  </si>
  <si>
    <t>📋  Reference Table 1: Product Catalogue</t>
  </si>
  <si>
    <t>Product Code</t>
  </si>
  <si>
    <t>Product Name</t>
  </si>
  <si>
    <t>Stock Qty</t>
  </si>
  <si>
    <t>P001</t>
  </si>
  <si>
    <t>Laptop Pro</t>
  </si>
  <si>
    <t>P002</t>
  </si>
  <si>
    <t>Wireless Mouse</t>
  </si>
  <si>
    <t>P003</t>
  </si>
  <si>
    <t>Mechanical Keyboard</t>
  </si>
  <si>
    <t>P004</t>
  </si>
  <si>
    <t>4K Monitor</t>
  </si>
  <si>
    <t>P005</t>
  </si>
  <si>
    <t>USB-C Hub</t>
  </si>
  <si>
    <t>P006</t>
  </si>
  <si>
    <t>Webcam HD</t>
  </si>
  <si>
    <t>P007</t>
  </si>
  <si>
    <t>Gaming Headset</t>
  </si>
  <si>
    <t>P008</t>
  </si>
  <si>
    <t>External SSD</t>
  </si>
  <si>
    <t>Storage</t>
  </si>
  <si>
    <t>P009</t>
  </si>
  <si>
    <t>Tablet Air</t>
  </si>
  <si>
    <t>P010</t>
  </si>
  <si>
    <t>Printer Laser</t>
  </si>
  <si>
    <t>📋  Reference Table 2: Discount Rate by Order Quantity (for HLOOKUP)</t>
  </si>
  <si>
    <t>0%</t>
  </si>
  <si>
    <t>2%</t>
  </si>
  <si>
    <t>5%</t>
  </si>
  <si>
    <t>8%</t>
  </si>
  <si>
    <t>12%</t>
  </si>
  <si>
    <t>15%</t>
  </si>
  <si>
    <t>20%</t>
  </si>
  <si>
    <t>📦  Order Transactions – Complete the missing columns using formulas</t>
  </si>
  <si>
    <t>Order #</t>
  </si>
  <si>
    <t>Qty Ordered</t>
  </si>
  <si>
    <t>Unit Price
(VLOOKUP)</t>
  </si>
  <si>
    <t>Product Name
(VLOOKUP)</t>
  </si>
  <si>
    <t>Category
(VLOOKUP)</t>
  </si>
  <si>
    <t>Total Before
Discount</t>
  </si>
  <si>
    <t>Discount %
(HLOOKUP)</t>
  </si>
  <si>
    <t>Discount Amt</t>
  </si>
  <si>
    <t>Final Total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</si>
  <si>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</si>
  <si>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</si>
  <si>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</si>
  <si>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</si>
  <si>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</si>
  <si>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</si>
  <si>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</si>
  <si>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</si>
  <si>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</si>
  <si>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</si>
  <si>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✏️  LOOKUP TASKS</t>
  </si>
  <si>
    <t>Answer Formula</t>
  </si>
  <si>
    <t>D22: Use VLOOKUP to get Unit Price from Product Catalogue (Table 1) based on Product Code in B22</t>
  </si>
  <si>
    <t>💡 VLOOKUP(lookup,table,col_index,0)</t>
  </si>
  <si>
    <t>E22: VLOOKUP for Product Name (col 2 of catalogue)</t>
  </si>
  <si>
    <t>💡 col_index = 2</t>
  </si>
  <si>
    <t>F22: VLOOKUP for Category (col 3)</t>
  </si>
  <si>
    <t>💡 col_index = 3</t>
  </si>
  <si>
    <t>G22: Total Before Discount = Qty × Unit Price</t>
  </si>
  <si>
    <t>💡 Simple multiplication</t>
  </si>
  <si>
    <t>H22: Use HLOOKUP on Discount Table to find discount % for Qty in C22</t>
  </si>
  <si>
    <t>💡 HLOOKUP with TRUE for range lookup</t>
  </si>
  <si>
    <t>I22: Discount Amount = Total × Discount%</t>
  </si>
  <si>
    <t>💡 Convert % text to number</t>
  </si>
  <si>
    <t>J22: Final Total = Total - Discount Amount</t>
  </si>
  <si>
    <t>💡 Subtraction</t>
  </si>
  <si>
    <t>Use MATCH to find the row position of 'P005' in the catalogue</t>
  </si>
  <si>
    <t>💡 MATCH(value,array,0)</t>
  </si>
  <si>
    <t>Use INDEX+MATCH to get the price of 'P009'</t>
  </si>
  <si>
    <t>💡 INDEX(array,MATCH(...))</t>
  </si>
  <si>
    <t>Which product has the HIGHEST stock quantity? (use INDEX+MATCH+MAX)</t>
  </si>
  <si>
    <t>💡 Nested INDEX MATCH MAX</t>
  </si>
  <si>
    <t>🧠  INTERMEDIATE EXCEL  |  Sheet 4: IF Logic, Nested IF, AND/OR, COUNTIFS/SUMIFS</t>
  </si>
  <si>
    <t>🎯  INSTRUCTIONS: Student exam results table. Use IF, AND, OR, nested IFs, COUNTIFS, SUMIFS to complete tasks.</t>
  </si>
  <si>
    <t>Student ID</t>
  </si>
  <si>
    <t>Name</t>
  </si>
  <si>
    <t>Math</t>
  </si>
  <si>
    <t>Science</t>
  </si>
  <si>
    <t>English</t>
  </si>
  <si>
    <t>History</t>
  </si>
  <si>
    <t>Total Score</t>
  </si>
  <si>
    <t>Average</t>
  </si>
  <si>
    <t>Grade</t>
  </si>
  <si>
    <t>S2025</t>
  </si>
  <si>
    <t>Aanya Sharma</t>
  </si>
  <si>
    <t>S2026</t>
  </si>
  <si>
    <t>Rahul Gupta</t>
  </si>
  <si>
    <t>S2027</t>
  </si>
  <si>
    <t>Priya Singh</t>
  </si>
  <si>
    <t>S2028</t>
  </si>
  <si>
    <t>Arjun Mehta</t>
  </si>
  <si>
    <t>S2029</t>
  </si>
  <si>
    <t>Neha Patel</t>
  </si>
  <si>
    <t>S2030</t>
  </si>
  <si>
    <t>Vikram Rao</t>
  </si>
  <si>
    <t>S2031</t>
  </si>
  <si>
    <t>Simran Kaur</t>
  </si>
  <si>
    <t>S2032</t>
  </si>
  <si>
    <t>Rohan Das</t>
  </si>
  <si>
    <t>S2033</t>
  </si>
  <si>
    <t>Divya Nair</t>
  </si>
  <si>
    <t>S2034</t>
  </si>
  <si>
    <t>Karan Malhotra</t>
  </si>
  <si>
    <t>S2035</t>
  </si>
  <si>
    <t>Anjali Verma</t>
  </si>
  <si>
    <t>S2036</t>
  </si>
  <si>
    <t>Siddharth Joshi</t>
  </si>
  <si>
    <t>S2037</t>
  </si>
  <si>
    <t>Meera Iyer</t>
  </si>
  <si>
    <t>S2038</t>
  </si>
  <si>
    <t>Aditya Kumar</t>
  </si>
  <si>
    <t>S2039</t>
  </si>
  <si>
    <t>Pooja Reddy</t>
  </si>
  <si>
    <t>S2040</t>
  </si>
  <si>
    <t>Ravi Chopra</t>
  </si>
  <si>
    <t>S2041</t>
  </si>
  <si>
    <t>Sneha Bose</t>
  </si>
  <si>
    <t>S2042</t>
  </si>
  <si>
    <t>Amit Tiwari</t>
  </si>
  <si>
    <t>S2043</t>
  </si>
  <si>
    <t>Kavya Pillai</t>
  </si>
  <si>
    <t>S2044</t>
  </si>
  <si>
    <t>Deepak Shah</t>
  </si>
  <si>
    <t>📊  Grading Rubric (Reference)</t>
  </si>
  <si>
    <t>Score Range</t>
  </si>
  <si>
    <t>A</t>
  </si>
  <si>
    <t>90-100</t>
  </si>
  <si>
    <t>B</t>
  </si>
  <si>
    <t>75-89</t>
  </si>
  <si>
    <t>C</t>
  </si>
  <si>
    <t>60-74</t>
  </si>
  <si>
    <t>D</t>
  </si>
  <si>
    <t>50-59</t>
  </si>
  <si>
    <t>F</t>
  </si>
  <si>
    <t>Below 50</t>
  </si>
  <si>
    <t>✏️  LOGIC &amp; CONDITIONAL TASKS</t>
  </si>
  <si>
    <t>Formula</t>
  </si>
  <si>
    <t>G4: Total Score = SUM of Math+Science+English+History</t>
  </si>
  <si>
    <t>💡 SUM(C4:F4)</t>
  </si>
  <si>
    <t>H4: Average score for the student</t>
  </si>
  <si>
    <t>💡 AVERAGE(C4:F4)</t>
  </si>
  <si>
    <t>I4: Grade using nested IF based on Average (A/B/C/D/F)</t>
  </si>
  <si>
    <t>💡 Nested IF</t>
  </si>
  <si>
    <t>J4: Status – 'Pass' if Average≥50, else 'Fail'</t>
  </si>
  <si>
    <t>💡 Simple IF</t>
  </si>
  <si>
    <t>Count students who scored ≥75 in BOTH Math AND Science</t>
  </si>
  <si>
    <t>💡 COUNTIFS(range1,crit1,range2,crit2)</t>
  </si>
  <si>
    <t>Total score for all students who 'Pass'</t>
  </si>
  <si>
    <t>💡 SUMIF</t>
  </si>
  <si>
    <t>Count students with Grade 'A'</t>
  </si>
  <si>
    <t>Average Math score for students with grade 'B'</t>
  </si>
  <si>
    <t>J4 (modify): Pass only if BOTH Average≥50 AND English≥50</t>
  </si>
  <si>
    <t>💡 AND() inside IF</t>
  </si>
  <si>
    <t>Flag: 'Review' if ANY subject score &lt; 40, else 'OK'</t>
  </si>
  <si>
    <t>💡 OR() inside IF</t>
  </si>
  <si>
    <t>Conditional: 'Distinction' if Avg≥85, 'Merit' if ≥70, else 'Pass/Fail'</t>
  </si>
  <si>
    <t>💡 3-level nested IF</t>
  </si>
  <si>
    <t>Count students who passed AND scored ≥80 in Math</t>
  </si>
  <si>
    <t>💡 COUNTIFS</t>
  </si>
  <si>
    <t>⚡  ADVANCED EXCEL  |  Sheet 5: INDEX-MATCH, XLOOKUP &amp; Dynamic Lookups</t>
  </si>
  <si>
    <t>🎯  INSTRUCTIONS: Hospital patient/inventory dataset. Use INDEX-MATCH, XLOOKUP, two-way lookup, and dynamic range formulas.</t>
  </si>
  <si>
    <t>💊  Medicine Inventory Table</t>
  </si>
  <si>
    <t>Med ID</t>
  </si>
  <si>
    <t>Medicine Name</t>
  </si>
  <si>
    <t>Supplier</t>
  </si>
  <si>
    <t>Unit Cost</t>
  </si>
  <si>
    <t>Stock (Units)</t>
  </si>
  <si>
    <t>M001</t>
  </si>
  <si>
    <t>Paracetamol 500mg</t>
  </si>
  <si>
    <t>Analgesic</t>
  </si>
  <si>
    <t>PharmaCo</t>
  </si>
  <si>
    <t>M002</t>
  </si>
  <si>
    <t>Amoxicillin 250mg</t>
  </si>
  <si>
    <t>Antibiotic</t>
  </si>
  <si>
    <t>MediSupply</t>
  </si>
  <si>
    <t>M003</t>
  </si>
  <si>
    <t>Metformin 500mg</t>
  </si>
  <si>
    <t>Diabetes</t>
  </si>
  <si>
    <t>DiabCare</t>
  </si>
  <si>
    <t>M004</t>
  </si>
  <si>
    <t>Lisinopril 10mg</t>
  </si>
  <si>
    <t>Cardiac</t>
  </si>
  <si>
    <t>HeartMed</t>
  </si>
  <si>
    <t>M005</t>
  </si>
  <si>
    <t>Omeprazole 20mg</t>
  </si>
  <si>
    <t>Gastric</t>
  </si>
  <si>
    <t>GastroPharma</t>
  </si>
  <si>
    <t>M006</t>
  </si>
  <si>
    <t>Atorvastatin 40mg</t>
  </si>
  <si>
    <t>Cholesterol</t>
  </si>
  <si>
    <t>M007</t>
  </si>
  <si>
    <t>Salbutamol Inhaler</t>
  </si>
  <si>
    <t>Respiratory</t>
  </si>
  <si>
    <t>BreathEasy</t>
  </si>
  <si>
    <t>M008</t>
  </si>
  <si>
    <t>Cetirizine 10mg</t>
  </si>
  <si>
    <t>Allergy</t>
  </si>
  <si>
    <t>AllergyPlus</t>
  </si>
  <si>
    <t>M009</t>
  </si>
  <si>
    <t>Ibuprofen 400mg</t>
  </si>
  <si>
    <t>M010</t>
  </si>
  <si>
    <t>Azithromycin 500mg</t>
  </si>
  <si>
    <t>M011</t>
  </si>
  <si>
    <t>Insulin Glargine</t>
  </si>
  <si>
    <t>M012</t>
  </si>
  <si>
    <t>Amlodipine 5mg</t>
  </si>
  <si>
    <t>🏥  Patient Prescription Records</t>
  </si>
  <si>
    <t>Prescription #</t>
  </si>
  <si>
    <t>Patient Name</t>
  </si>
  <si>
    <t>Qty Prescribed</t>
  </si>
  <si>
    <t>Ward</t>
  </si>
  <si>
    <t>Med Name
(lookup)</t>
  </si>
  <si>
    <t>Unit Cost
(lookup)</t>
  </si>
  <si>
    <t>Total Cost</t>
  </si>
  <si>
    <t>Supplier
(lookup)</t>
  </si>
  <si>
    <t>Category
(lookup)</t>
  </si>
  <si>
    <t>RX001</t>
  </si>
  <si>
    <t>Sharma, A.</t>
  </si>
  <si>
    <t>Ward A</t>
  </si>
  <si>
    <t>RX002</t>
  </si>
  <si>
    <t>Patel, R.</t>
  </si>
  <si>
    <t>ICU</t>
  </si>
  <si>
    <t>RX003</t>
  </si>
  <si>
    <t>Gupta, S.</t>
  </si>
  <si>
    <t>Ward B</t>
  </si>
  <si>
    <t>RX004</t>
  </si>
  <si>
    <t>Singh, K.</t>
  </si>
  <si>
    <t>Diabetes Ward</t>
  </si>
  <si>
    <t>RX005</t>
  </si>
  <si>
    <t>Rao, V.</t>
  </si>
  <si>
    <t>Cardiac Ward</t>
  </si>
  <si>
    <t>RX006</t>
  </si>
  <si>
    <t>Mehta, D.</t>
  </si>
  <si>
    <t>RX007</t>
  </si>
  <si>
    <t>Kaur, S.</t>
  </si>
  <si>
    <t>Ward C</t>
  </si>
  <si>
    <t>RX008</t>
  </si>
  <si>
    <t>Das, R.</t>
  </si>
  <si>
    <t>RX009</t>
  </si>
  <si>
    <t>Nair, A.</t>
  </si>
  <si>
    <t>RX010</t>
  </si>
  <si>
    <t>Kumar, P.</t>
  </si>
  <si>
    <t>✏️  ADVANCED LOOKUP TASKS</t>
  </si>
  <si>
    <t>F21: INDEX-MATCH to get Medicine Name from Med ID in C21</t>
  </si>
  <si>
    <t>💡 INDEX(name_col,MATCH(id,id_col,0))</t>
  </si>
  <si>
    <t>G21: INDEX-MATCH to get Unit Cost</t>
  </si>
  <si>
    <t>💡 Same pattern, different column</t>
  </si>
  <si>
    <t>H21: Total Cost = Qty × Unit Cost</t>
  </si>
  <si>
    <t>💡 Multiply</t>
  </si>
  <si>
    <t>I21: XLOOKUP to get Supplier (use XLOOKUP if available, else VLOOKUP)</t>
  </si>
  <si>
    <t>💡 XLOOKUP(value,lookup,return,if_not_found)</t>
  </si>
  <si>
    <t>J21: XLOOKUP for Category</t>
  </si>
  <si>
    <t>💡 XLOOKUP</t>
  </si>
  <si>
    <t>Find the Medicine Name with the HIGHEST unit cost (INDEX+MATCH+MAX)</t>
  </si>
  <si>
    <t>Find the LOWEST cost medicine in the 'Antibiotic' category</t>
  </si>
  <si>
    <t>💡 MINIFS(range,criteria_range,criteria)</t>
  </si>
  <si>
    <t>Two-way lookup: Cost of 'Analgesic' category from supplier 'PharmaCo'</t>
  </si>
  <si>
    <t>💡 Array formula – Ctrl+Shift+Enter</t>
  </si>
  <si>
    <t>Total prescribed cost for all ICU patients</t>
  </si>
  <si>
    <t>Which supplier supplies the most unique medicines? (use COUNTIF)</t>
  </si>
  <si>
    <t>💡 Advanced array formula</t>
  </si>
  <si>
    <t>🔢  ADVANCED EXCEL  |  Sheet 6: Array Formulas, SUMPRODUCT &amp; Aggregation</t>
  </si>
  <si>
    <t>🎯  INSTRUCTIONS: E-commerce order data. Master SUMPRODUCT, array formulas, AGGREGATE, and multi-criteria calculations.</t>
  </si>
  <si>
    <t>Qty</t>
  </si>
  <si>
    <t>Discount%</t>
  </si>
  <si>
    <t>Net Revenue</t>
  </si>
  <si>
    <t>EC1001</t>
  </si>
  <si>
    <t>Sandals</t>
  </si>
  <si>
    <t>Footwear</t>
  </si>
  <si>
    <t>EC1002</t>
  </si>
  <si>
    <t>Watch</t>
  </si>
  <si>
    <t>May</t>
  </si>
  <si>
    <t>EC1003</t>
  </si>
  <si>
    <t>Dress</t>
  </si>
  <si>
    <t>Clothing</t>
  </si>
  <si>
    <t>EC1004</t>
  </si>
  <si>
    <t>EC1005</t>
  </si>
  <si>
    <t>Jacket</t>
  </si>
  <si>
    <t>EC1006</t>
  </si>
  <si>
    <t>Sneakers</t>
  </si>
  <si>
    <t>EC1007</t>
  </si>
  <si>
    <t>Belt</t>
  </si>
  <si>
    <t>EC1008</t>
  </si>
  <si>
    <t>EC1009</t>
  </si>
  <si>
    <t>EC1010</t>
  </si>
  <si>
    <t>EC1011</t>
  </si>
  <si>
    <t>Boots</t>
  </si>
  <si>
    <t>EC1012</t>
  </si>
  <si>
    <t>Shirt</t>
  </si>
  <si>
    <t>EC1013</t>
  </si>
  <si>
    <t>Jeans</t>
  </si>
  <si>
    <t>EC1014</t>
  </si>
  <si>
    <t>EC1015</t>
  </si>
  <si>
    <t>EC1016</t>
  </si>
  <si>
    <t>EC1017</t>
  </si>
  <si>
    <t>EC1018</t>
  </si>
  <si>
    <t>EC1019</t>
  </si>
  <si>
    <t>Bag</t>
  </si>
  <si>
    <t>EC1020</t>
  </si>
  <si>
    <t>EC1021</t>
  </si>
  <si>
    <t>EC1022</t>
  </si>
  <si>
    <t>EC1023</t>
  </si>
  <si>
    <t>EC1024</t>
  </si>
  <si>
    <t>EC1025</t>
  </si>
  <si>
    <t>EC1026</t>
  </si>
  <si>
    <t>EC1027</t>
  </si>
  <si>
    <t>EC1028</t>
  </si>
  <si>
    <t>EC1029</t>
  </si>
  <si>
    <t>EC1030</t>
  </si>
  <si>
    <t>EC1031</t>
  </si>
  <si>
    <t>EC1032</t>
  </si>
  <si>
    <t>EC1033</t>
  </si>
  <si>
    <t>EC1034</t>
  </si>
  <si>
    <t>EC1035</t>
  </si>
  <si>
    <t>EC1036</t>
  </si>
  <si>
    <t>EC1037</t>
  </si>
  <si>
    <t>EC1038</t>
  </si>
  <si>
    <t>EC1039</t>
  </si>
  <si>
    <t>EC1040</t>
  </si>
  <si>
    <t>EC1041</t>
  </si>
  <si>
    <t>EC1042</t>
  </si>
  <si>
    <t>EC1043</t>
  </si>
  <si>
    <t>EC1044</t>
  </si>
  <si>
    <t>EC1045</t>
  </si>
  <si>
    <t>EC1046</t>
  </si>
  <si>
    <t>EC1047</t>
  </si>
  <si>
    <t>EC1048</t>
  </si>
  <si>
    <t>EC1049</t>
  </si>
  <si>
    <t>EC1050</t>
  </si>
  <si>
    <t>EC1051</t>
  </si>
  <si>
    <t>EC1052</t>
  </si>
  <si>
    <t>EC1053</t>
  </si>
  <si>
    <t>EC1054</t>
  </si>
  <si>
    <t>EC1055</t>
  </si>
  <si>
    <t>EC1056</t>
  </si>
  <si>
    <t>EC1057</t>
  </si>
  <si>
    <t>EC1058</t>
  </si>
  <si>
    <t>EC1059</t>
  </si>
  <si>
    <t>EC1060</t>
  </si>
  <si>
    <t>✏️  ARRAY &amp; SUMPRODUCT TASKS</t>
  </si>
  <si>
    <t>Total Revenue using SUMPRODUCT (Qty × Price for all rows)</t>
  </si>
  <si>
    <t>💡 SUMPRODUCT(array1,array2)</t>
  </si>
  <si>
    <t>Total revenue for 'Clothing' category using SUMPRODUCT</t>
  </si>
  <si>
    <t>💡 Boolean array × values</t>
  </si>
  <si>
    <t>Count orders where Qty&gt;10 AND Price&gt;999</t>
  </si>
  <si>
    <t>💡 SUMPRODUCT with multiple conditions</t>
  </si>
  <si>
    <t>Average Net Revenue for 'Footwear' in 'East' region</t>
  </si>
  <si>
    <t>💡 AVERAGEIFS</t>
  </si>
  <si>
    <t>SUMPRODUCT: Total revenue for Jan in North region</t>
  </si>
  <si>
    <t>💡 3-condition SUMPRODUCT</t>
  </si>
  <si>
    <t>Rank the revenue in G4 among all orders (no ties)</t>
  </si>
  <si>
    <t>💡 RANK(value,ref,order)</t>
  </si>
  <si>
    <t>LARGE: Find the 3rd highest Net Revenue</t>
  </si>
  <si>
    <t>💡 LARGE(array,k)</t>
  </si>
  <si>
    <t>SMALL: Find the 2nd lowest Net Revenue</t>
  </si>
  <si>
    <t>💡 SMALL(array,k)</t>
  </si>
  <si>
    <t>Count distinct products in B4:B63 (unique count)</t>
  </si>
  <si>
    <t>💡 Classic unique count formula</t>
  </si>
  <si>
    <t>AGGREGATE: Sum of G4:G63 ignoring error values</t>
  </si>
  <si>
    <t>💡 AGGREGATE(func_num,options,array)</t>
  </si>
  <si>
    <t>Weighted average: Avg price weighted by qty</t>
  </si>
  <si>
    <t>💡 Weighted average pattern</t>
  </si>
  <si>
    <t>How many months have total revenue &gt; 50000? (helper needed)</t>
  </si>
  <si>
    <t>💡 Multi-step aggregation</t>
  </si>
  <si>
    <t>🧹  ADVANCED EXCEL  |  Sheet 7: Advanced Data Cleaning, Duplicates &amp; Data Validation</t>
  </si>
  <si>
    <t>🎯  INSTRUCTIONS: Messy CRM contact data. Use advanced text, date, error-handling functions and Data Validation tools.</t>
  </si>
  <si>
    <t>Contact ID</t>
  </si>
  <si>
    <t>Full Name</t>
  </si>
  <si>
    <t>Email Address</t>
  </si>
  <si>
    <t>Date of Birth</t>
  </si>
  <si>
    <t>Revenue (₹)</t>
  </si>
  <si>
    <t>Lead Source</t>
  </si>
  <si>
    <t>Notes</t>
  </si>
  <si>
    <t>C001</t>
  </si>
  <si>
    <t xml:space="preserve">  Rohit Sharma  </t>
  </si>
  <si>
    <t>rohit.sharma@GMAIL.COM</t>
  </si>
  <si>
    <t>98765-43210</t>
  </si>
  <si>
    <t>15/03/1988</t>
  </si>
  <si>
    <t xml:space="preserve">  250000  </t>
  </si>
  <si>
    <t>Website</t>
  </si>
  <si>
    <t>Good prospect</t>
  </si>
  <si>
    <t>C002</t>
  </si>
  <si>
    <t>PRIYA PATEL</t>
  </si>
  <si>
    <t>priya@yahoo</t>
  </si>
  <si>
    <t>9988776655</t>
  </si>
  <si>
    <t>1990-07-22</t>
  </si>
  <si>
    <t>175000</t>
  </si>
  <si>
    <t>Social Media</t>
  </si>
  <si>
    <t>Needs followup</t>
  </si>
  <si>
    <t>C003</t>
  </si>
  <si>
    <t>Amit Kumar</t>
  </si>
  <si>
    <t>amit.kumar@company.co.in</t>
  </si>
  <si>
    <t>(022) 2345-6789</t>
  </si>
  <si>
    <t>22.11.1985</t>
  </si>
  <si>
    <t>3,50,000</t>
  </si>
  <si>
    <t>Referral</t>
  </si>
  <si>
    <t>VIP</t>
  </si>
  <si>
    <t>C004</t>
  </si>
  <si>
    <t xml:space="preserve">  sneha reddy</t>
  </si>
  <si>
    <t>sneha_reddy@outlook.com</t>
  </si>
  <si>
    <t>05-09-1993</t>
  </si>
  <si>
    <t>Email Campaign</t>
  </si>
  <si>
    <t>C005</t>
  </si>
  <si>
    <t>VIKRAM SINGH</t>
  </si>
  <si>
    <t>vikram@singh</t>
  </si>
  <si>
    <t>011-9876-5432</t>
  </si>
  <si>
    <t>1979/12/30</t>
  </si>
  <si>
    <t>125000</t>
  </si>
  <si>
    <t>Cold Call</t>
  </si>
  <si>
    <t>C006</t>
  </si>
  <si>
    <t>Anjali Gupta</t>
  </si>
  <si>
    <t>anjali.gupta@gmail.com</t>
  </si>
  <si>
    <t>9123456780</t>
  </si>
  <si>
    <t>18/08/1995</t>
  </si>
  <si>
    <t>425000</t>
  </si>
  <si>
    <t>Hot lead</t>
  </si>
  <si>
    <t>C007</t>
  </si>
  <si>
    <t xml:space="preserve">  RAHUL MEHTA  </t>
  </si>
  <si>
    <t>RAHUL.MEHTA@COMPANY.COM</t>
  </si>
  <si>
    <t>733-4455-667</t>
  </si>
  <si>
    <t>30-02-1987</t>
  </si>
  <si>
    <t>280000</t>
  </si>
  <si>
    <t>Verify DOB</t>
  </si>
  <si>
    <t>C008</t>
  </si>
  <si>
    <t>deepika nair</t>
  </si>
  <si>
    <t>deepika@nair</t>
  </si>
  <si>
    <t>8899001122</t>
  </si>
  <si>
    <t>1992.04.15</t>
  </si>
  <si>
    <t xml:space="preserve">  0  </t>
  </si>
  <si>
    <t>C009</t>
  </si>
  <si>
    <t>karan.malhotra@business.net</t>
  </si>
  <si>
    <t>(+91) 98001 23456</t>
  </si>
  <si>
    <t>07/07/1983</t>
  </si>
  <si>
    <t>600000</t>
  </si>
  <si>
    <t>Event</t>
  </si>
  <si>
    <t>CEO</t>
  </si>
  <si>
    <t>C010</t>
  </si>
  <si>
    <t xml:space="preserve">  SONIA CHOPRA</t>
  </si>
  <si>
    <t>sonia@</t>
  </si>
  <si>
    <t>9012345678</t>
  </si>
  <si>
    <t>1998-13-01</t>
  </si>
  <si>
    <t>180000</t>
  </si>
  <si>
    <t>Invalid DOB</t>
  </si>
  <si>
    <t>✏️  ADVANCED CLEANING TASKS</t>
  </si>
  <si>
    <t>Formula / Steps</t>
  </si>
  <si>
    <t>Clean Full Name: TRIM + PROPER in one formula</t>
  </si>
  <si>
    <t>💡 Nested functions</t>
  </si>
  <si>
    <t>Lowercase email: Use LOWER to standardise C4</t>
  </si>
  <si>
    <t>💡 LOWER() + TRIM()</t>
  </si>
  <si>
    <t>Validate email: Check if '@' exists in C4 (TRUE/FALSE)</t>
  </si>
  <si>
    <t>💡 ISNUMBER + FIND</t>
  </si>
  <si>
    <t>Extract domain from email C4 (text after @)</t>
  </si>
  <si>
    <t>💡 MID + FIND + LEN</t>
  </si>
  <si>
    <t>Clean Revenue F4: Remove spaces and commas, convert to number</t>
  </si>
  <si>
    <t>💡 VALUE + SUBSTITUTE</t>
  </si>
  <si>
    <t>Handle blank Score H4: Return 0 if blank, else number</t>
  </si>
  <si>
    <t>💡 IF + ISBLANK + VALUE</t>
  </si>
  <si>
    <t>IFERROR: Wrap a VLOOKUP so it shows 'Not Found' instead of error</t>
  </si>
  <si>
    <t>💡 IFERROR(formula,value_if_error)</t>
  </si>
  <si>
    <t>Identify duplicates: Flag 'Duplicate' if email appears more than once</t>
  </si>
  <si>
    <t>💡 COUNTIF for duplicate check</t>
  </si>
  <si>
    <t>Data Validation: Add a dropdown to Lead Source column (Website/Social Media/Referral/Cold Call/Event)</t>
  </si>
  <si>
    <t>💡 Manual task – no formula</t>
  </si>
  <si>
    <t>DATEVALUE: Convert text date '15/03/1988' in E4 to a real Excel date</t>
  </si>
  <si>
    <t>💡 DATEVALUE() or manual fix</t>
  </si>
  <si>
    <t>Calculate age from DOB (if date is valid): TODAY()-DATEVALUE(E4))/365.25</t>
  </si>
  <si>
    <t>💡 IFERROR + TODAY + DATEVALUE</t>
  </si>
  <si>
    <t>Conditional format Score column: Red if &lt;60, Yellow 60-79, Green ≥80</t>
  </si>
  <si>
    <t>💡 Manual task – Conditional Formatting</t>
  </si>
  <si>
    <t xml:space="preserve">Min Qty </t>
  </si>
  <si>
    <t xml:space="preserve">Discount 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</si>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</sst>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\$#,##0"/>
    <numFmt numFmtId="166" formatCode="\₹#,##0"/>
    <numFmt numFmtId="167" formatCode="0\%"/>
    <numFmt numFmtId="168" formatCode="\₹#,##0.00"/>
  </numFmts>
  <fonts count="2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1B5E20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999999"/>
      <name val="Arial"/>
      <charset val="1"/>
    </font>
    <font>
      <i/>
      <sz val="9"/>
      <color rgb="FF1A5276"/>
      <name val="Arial"/>
      <charset val="1"/>
    </font>
    <font>
      <i/>
      <sz val="10"/>
      <color rgb="FF856404"/>
      <name val="Arial"/>
      <charset val="1"/>
    </font>
    <font>
      <i/>
      <sz val="10"/>
      <color rgb="FF283593"/>
      <name val="Arial"/>
      <charset val="1"/>
    </font>
    <font>
      <b/>
      <sz val="11"/>
      <color rgb="FF1B5E20"/>
      <name val="Arial"/>
      <charset val="1"/>
    </font>
    <font>
      <i/>
      <sz val="9"/>
      <color rgb="FF999999"/>
      <name val="Arial"/>
      <charset val="1"/>
    </font>
    <font>
      <i/>
      <sz val="10"/>
      <color rgb="FF0D47A1"/>
      <name val="Arial"/>
      <charset val="1"/>
    </font>
    <font>
      <b/>
      <sz val="11"/>
      <color rgb="FFBF360C"/>
      <name val="Arial"/>
      <charset val="1"/>
    </font>
    <font>
      <i/>
      <sz val="10"/>
      <color rgb="FF4A148C"/>
      <name val="Arial"/>
      <charset val="1"/>
    </font>
    <font>
      <i/>
      <sz val="10"/>
      <color rgb="FFE65100"/>
      <name val="Arial"/>
      <charset val="1"/>
    </font>
    <font>
      <i/>
      <sz val="10"/>
      <color rgb="FFBF360C"/>
      <name val="Arial"/>
      <charset val="1"/>
    </font>
    <font>
      <sz val="10"/>
      <color theme="1"/>
      <name val="Arial Unicode MS"/>
    </font>
    <font>
      <i/>
      <sz val="10"/>
      <color rgb="FF999999"/>
      <name val="Arial"/>
      <family val="2"/>
    </font>
    <font>
      <i/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E8F5E9"/>
        <bgColor rgb="FFEBF5FB"/>
      </patternFill>
    </fill>
    <fill>
      <patternFill patternType="solid">
        <fgColor rgb="FF2E75B6"/>
        <bgColor rgb="FF1F77B4"/>
      </patternFill>
    </fill>
    <fill>
      <patternFill patternType="solid">
        <fgColor rgb="FFFFFFFF"/>
        <bgColor rgb="FFFFF8E1"/>
      </patternFill>
    </fill>
    <fill>
      <patternFill patternType="solid">
        <fgColor rgb="FFF2F2F2"/>
        <bgColor rgb="FFEBF5FB"/>
      </patternFill>
    </fill>
    <fill>
      <patternFill patternType="solid">
        <fgColor rgb="FF375623"/>
        <bgColor rgb="FF1B5E20"/>
      </patternFill>
    </fill>
    <fill>
      <patternFill patternType="solid">
        <fgColor rgb="FFE2EFDA"/>
        <bgColor rgb="FFE8F5E9"/>
      </patternFill>
    </fill>
    <fill>
      <patternFill patternType="solid">
        <fgColor rgb="FFFFFF00"/>
        <bgColor rgb="FF99CC00"/>
      </patternFill>
    </fill>
    <fill>
      <patternFill patternType="solid">
        <fgColor rgb="FFEBF5FB"/>
        <bgColor rgb="FFE3F2FD"/>
      </patternFill>
    </fill>
    <fill>
      <patternFill patternType="solid">
        <fgColor rgb="FFFFF3CD"/>
        <bgColor rgb="FFFFF8E1"/>
      </patternFill>
    </fill>
    <fill>
      <patternFill patternType="solid">
        <fgColor rgb="FFC0392B"/>
        <bgColor rgb="FFBF360C"/>
      </patternFill>
    </fill>
    <fill>
      <patternFill patternType="solid">
        <fgColor rgb="FF922B21"/>
        <bgColor rgb="FFBF360C"/>
      </patternFill>
    </fill>
    <fill>
      <patternFill patternType="solid">
        <fgColor rgb="FFFADBD8"/>
        <bgColor rgb="FFFCE4D6"/>
      </patternFill>
    </fill>
    <fill>
      <patternFill patternType="solid">
        <fgColor rgb="FFE8EAF6"/>
        <bgColor rgb="FFEFEBE9"/>
      </patternFill>
    </fill>
    <fill>
      <patternFill patternType="solid">
        <fgColor rgb="FF283593"/>
        <bgColor rgb="FF1F3864"/>
      </patternFill>
    </fill>
    <fill>
      <patternFill patternType="solid">
        <fgColor rgb="FF3949AB"/>
        <bgColor rgb="FF283593"/>
      </patternFill>
    </fill>
    <fill>
      <patternFill patternType="solid">
        <fgColor rgb="FF1B5E20"/>
        <bgColor rgb="FF375623"/>
      </patternFill>
    </fill>
    <fill>
      <patternFill patternType="solid">
        <fgColor rgb="FF2E7D32"/>
        <bgColor rgb="FF1B5E20"/>
      </patternFill>
    </fill>
    <fill>
      <patternFill patternType="solid">
        <fgColor rgb="FFBF360C"/>
        <bgColor rgb="FFC0392B"/>
      </patternFill>
    </fill>
    <fill>
      <patternFill patternType="solid">
        <fgColor rgb="FFD84315"/>
        <bgColor rgb="FFE65100"/>
      </patternFill>
    </fill>
    <fill>
      <patternFill patternType="solid">
        <fgColor rgb="FFFCE4D6"/>
        <bgColor rgb="FFFADBD8"/>
      </patternFill>
    </fill>
    <fill>
      <patternFill patternType="solid">
        <fgColor rgb="FFE3F2FD"/>
        <bgColor rgb="FFEBF5FB"/>
      </patternFill>
    </fill>
    <fill>
      <patternFill patternType="solid">
        <fgColor rgb="FF1565C0"/>
        <bgColor rgb="FF1F77B4"/>
      </patternFill>
    </fill>
    <fill>
      <patternFill patternType="solid">
        <fgColor rgb="FFE65100"/>
        <bgColor rgb="FFD84315"/>
      </patternFill>
    </fill>
    <fill>
      <patternFill patternType="solid">
        <fgColor rgb="FFEF6C00"/>
        <bgColor rgb="FFFF7F0E"/>
      </patternFill>
    </fill>
    <fill>
      <patternFill patternType="solid">
        <fgColor rgb="FFF3E5F5"/>
        <bgColor rgb="FFEFEBE9"/>
      </patternFill>
    </fill>
    <fill>
      <patternFill patternType="solid">
        <fgColor rgb="FF4A148C"/>
        <bgColor rgb="FF6A1B9A"/>
      </patternFill>
    </fill>
    <fill>
      <patternFill patternType="solid">
        <fgColor rgb="FF6A1B9A"/>
        <bgColor rgb="FF4A148C"/>
      </patternFill>
    </fill>
    <fill>
      <patternFill patternType="solid">
        <fgColor rgb="FFFFF8E1"/>
        <bgColor rgb="FFFFF3CD"/>
      </patternFill>
    </fill>
    <fill>
      <patternFill patternType="solid">
        <fgColor rgb="FF6D4C41"/>
        <bgColor rgb="FF8C564B"/>
      </patternFill>
    </fill>
    <fill>
      <patternFill patternType="solid">
        <fgColor rgb="FF4E342E"/>
        <bgColor rgb="FF6D4C41"/>
      </patternFill>
    </fill>
    <fill>
      <patternFill patternType="solid">
        <fgColor rgb="FFEFEBE9"/>
        <bgColor rgb="FFE8EAF6"/>
      </patternFill>
    </fill>
    <fill>
      <patternFill patternType="solid">
        <fgColor theme="0"/>
        <bgColor rgb="FF99CC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/>
    </xf>
    <xf numFmtId="0" fontId="5" fillId="0" borderId="0" xfId="0" applyFont="1"/>
    <xf numFmtId="0" fontId="3" fillId="1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2" fillId="9" borderId="1" xfId="0" applyFont="1" applyFill="1" applyBorder="1"/>
    <xf numFmtId="0" fontId="0" fillId="6" borderId="1" xfId="0" applyFill="1" applyBorder="1"/>
    <xf numFmtId="0" fontId="3" fillId="20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7" fillId="9" borderId="1" xfId="0" applyFont="1" applyFill="1" applyBorder="1"/>
    <xf numFmtId="0" fontId="3" fillId="24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0" fontId="0" fillId="22" borderId="1" xfId="0" applyFill="1" applyBorder="1"/>
    <xf numFmtId="0" fontId="3" fillId="29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left" vertical="center"/>
    </xf>
    <xf numFmtId="167" fontId="4" fillId="5" borderId="1" xfId="0" applyNumberFormat="1" applyFont="1" applyFill="1" applyBorder="1" applyAlignment="1">
      <alignment horizontal="left" vertical="center"/>
    </xf>
    <xf numFmtId="168" fontId="4" fillId="5" borderId="1" xfId="0" applyNumberFormat="1" applyFont="1" applyFill="1" applyBorder="1" applyAlignment="1">
      <alignment horizontal="left" vertical="center"/>
    </xf>
    <xf numFmtId="166" fontId="4" fillId="6" borderId="1" xfId="0" applyNumberFormat="1" applyFont="1" applyFill="1" applyBorder="1" applyAlignment="1">
      <alignment horizontal="left" vertical="center"/>
    </xf>
    <xf numFmtId="167" fontId="4" fillId="6" borderId="1" xfId="0" applyNumberFormat="1" applyFont="1" applyFill="1" applyBorder="1" applyAlignment="1">
      <alignment horizontal="left" vertical="center"/>
    </xf>
    <xf numFmtId="168" fontId="4" fillId="6" borderId="1" xfId="0" applyNumberFormat="1" applyFont="1" applyFill="1" applyBorder="1" applyAlignment="1">
      <alignment horizontal="left" vertical="center"/>
    </xf>
    <xf numFmtId="0" fontId="3" fillId="31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3" fillId="32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left" vertical="center"/>
    </xf>
    <xf numFmtId="0" fontId="12" fillId="34" borderId="1" xfId="0" applyFont="1" applyFill="1" applyBorder="1" applyAlignment="1">
      <alignment horizontal="center" vertical="center"/>
    </xf>
    <xf numFmtId="0" fontId="19" fillId="9" borderId="1" xfId="0" applyFont="1" applyFill="1" applyBorder="1"/>
    <xf numFmtId="0" fontId="20" fillId="34" borderId="1" xfId="0" applyFont="1" applyFill="1" applyBorder="1"/>
    <xf numFmtId="4" fontId="20" fillId="34" borderId="1" xfId="0" applyNumberFormat="1" applyFont="1" applyFill="1" applyBorder="1"/>
    <xf numFmtId="0" fontId="0" fillId="0" borderId="2" xfId="0" applyBorder="1"/>
    <xf numFmtId="0" fontId="0" fillId="0" borderId="1" xfId="0" applyBorder="1"/>
    <xf numFmtId="0" fontId="18" fillId="0" borderId="2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left" vertical="center" wrapText="1"/>
    </xf>
    <xf numFmtId="0" fontId="1" fillId="12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left" vertical="center" wrapText="1"/>
    </xf>
    <xf numFmtId="0" fontId="1" fillId="16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3" fillId="23" borderId="0" xfId="0" applyFont="1" applyFill="1" applyAlignment="1">
      <alignment horizontal="left" vertical="center" wrapText="1"/>
    </xf>
    <xf numFmtId="0" fontId="1" fillId="25" borderId="0" xfId="0" applyFont="1" applyFill="1" applyAlignment="1">
      <alignment horizontal="center" vertical="center"/>
    </xf>
    <xf numFmtId="0" fontId="15" fillId="27" borderId="0" xfId="0" applyFont="1" applyFill="1" applyAlignment="1">
      <alignment horizontal="left" vertical="center" wrapText="1"/>
    </xf>
    <xf numFmtId="0" fontId="1" fillId="28" borderId="0" xfId="0" applyFont="1" applyFill="1" applyAlignment="1">
      <alignment horizontal="center" vertical="center"/>
    </xf>
    <xf numFmtId="0" fontId="16" fillId="30" borderId="0" xfId="0" applyFont="1" applyFill="1" applyAlignment="1">
      <alignment horizontal="left" vertical="center" wrapText="1"/>
    </xf>
    <xf numFmtId="0" fontId="17" fillId="22" borderId="0" xfId="0" applyFont="1" applyFill="1" applyAlignment="1">
      <alignment horizontal="left" vertical="center" wrapText="1"/>
    </xf>
    <xf numFmtId="0" fontId="1" fillId="31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colors>
    <indexedColors>
      <rgbColor rgb="FF000000"/>
      <rgbColor rgb="FFFFFFFF"/>
      <rgbColor rgb="FFD62728"/>
      <rgbColor rgb="FF00FF00"/>
      <rgbColor rgb="FF0000FF"/>
      <rgbColor rgb="FFFFFF00"/>
      <rgbColor rgb="FFFF00FF"/>
      <rgbColor rgb="FF00FFFF"/>
      <rgbColor rgb="FFBF360C"/>
      <rgbColor rgb="FF2E7D32"/>
      <rgbColor rgb="FF0D47A1"/>
      <rgbColor rgb="FF856404"/>
      <rgbColor rgb="FF6A1B9A"/>
      <rgbColor rgb="FF1F77B4"/>
      <rgbColor rgb="FFF3E5F5"/>
      <rgbColor rgb="FF7F7F7F"/>
      <rgbColor rgb="FFEBF5FB"/>
      <rgbColor rgb="FF8C564B"/>
      <rgbColor rgb="FFFFF8E1"/>
      <rgbColor rgb="FFE3F2FD"/>
      <rgbColor rgb="FF4A148C"/>
      <rgbColor rgb="FFE377C2"/>
      <rgbColor rgb="FF1565C0"/>
      <rgbColor rgb="FFE8EAF6"/>
      <rgbColor rgb="FF3949AB"/>
      <rgbColor rgb="FFFF00FF"/>
      <rgbColor rgb="FFF2F2F2"/>
      <rgbColor rgb="FF00FFFF"/>
      <rgbColor rgb="FF6D4C41"/>
      <rgbColor rgb="FFD84315"/>
      <rgbColor rgb="FF1A5276"/>
      <rgbColor rgb="FF0000FF"/>
      <rgbColor rgb="FF00CCFF"/>
      <rgbColor rgb="FFE8F5E9"/>
      <rgbColor rgb="FFE2EFDA"/>
      <rgbColor rgb="FFFFF3CD"/>
      <rgbColor rgb="FFEFEBE9"/>
      <rgbColor rgb="FFFCE4D6"/>
      <rgbColor rgb="FFFDEDEC"/>
      <rgbColor rgb="FFFADBD8"/>
      <rgbColor rgb="FF2E75B6"/>
      <rgbColor rgb="FF33CCCC"/>
      <rgbColor rgb="FF99CC00"/>
      <rgbColor rgb="FFE65100"/>
      <rgbColor rgb="FFFF7F0E"/>
      <rgbColor rgb="FFEF6C00"/>
      <rgbColor rgb="FF9467BD"/>
      <rgbColor rgb="FF999999"/>
      <rgbColor rgb="FF1F3864"/>
      <rgbColor rgb="FF2CA02C"/>
      <rgbColor rgb="FF1B5E20"/>
      <rgbColor rgb="FF375623"/>
      <rgbColor rgb="FF922B21"/>
      <rgbColor rgb="FFC0392B"/>
      <rgbColor rgb="FF283593"/>
      <rgbColor rgb="FF4E34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1F77B4"/>
  </sheetPr>
  <dimension ref="A1:J115"/>
  <sheetViews>
    <sheetView tabSelected="1" zoomScale="80" zoomScaleNormal="100" workbookViewId="0">
      <pane ySplit="3" topLeftCell="A4" activePane="bottomLeft" state="frozen"/>
      <selection pane="bottomLeft" activeCell="H59" sqref="H59"/>
    </sheetView>
  </sheetViews>
  <sheetFormatPr defaultColWidth="8.6640625" defaultRowHeight="14.4"/>
  <cols>
    <col min="1" max="1" width="18" customWidth="1"/>
    <col min="2" max="2" width="42" customWidth="1"/>
    <col min="3" max="3" width="30" customWidth="1"/>
    <col min="4" max="4" width="35" customWidth="1"/>
    <col min="5" max="6" width="12" customWidth="1"/>
    <col min="7" max="10" width="14" customWidth="1"/>
  </cols>
  <sheetData>
    <row r="1" spans="1:10" ht="30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21.75" customHeight="1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</row>
    <row r="3" spans="1:1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idden="1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>
        <v>48</v>
      </c>
      <c r="G4" s="3">
        <v>149.99</v>
      </c>
      <c r="H4" s="3">
        <v>7199.52</v>
      </c>
      <c r="I4" s="2" t="s">
        <v>17</v>
      </c>
      <c r="J4" s="2" t="s">
        <v>18</v>
      </c>
    </row>
    <row r="5" spans="1:10">
      <c r="A5" s="4" t="s">
        <v>19</v>
      </c>
      <c r="B5" s="4" t="s">
        <v>20</v>
      </c>
      <c r="C5" s="4" t="s">
        <v>14</v>
      </c>
      <c r="D5" s="4" t="s">
        <v>21</v>
      </c>
      <c r="E5" s="4" t="s">
        <v>22</v>
      </c>
      <c r="F5" s="4">
        <v>7</v>
      </c>
      <c r="G5" s="5">
        <v>49.99</v>
      </c>
      <c r="H5" s="5">
        <v>349.93</v>
      </c>
      <c r="I5" s="4" t="s">
        <v>23</v>
      </c>
      <c r="J5" s="4" t="s">
        <v>24</v>
      </c>
    </row>
    <row r="6" spans="1:10" hidden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>
        <v>14</v>
      </c>
      <c r="G6" s="3">
        <v>99.99</v>
      </c>
      <c r="H6" s="3">
        <v>1399.86</v>
      </c>
      <c r="I6" s="2" t="s">
        <v>30</v>
      </c>
      <c r="J6" s="2" t="s">
        <v>18</v>
      </c>
    </row>
    <row r="7" spans="1:10" hidden="1">
      <c r="A7" s="4" t="s">
        <v>31</v>
      </c>
      <c r="B7" s="4" t="s">
        <v>32</v>
      </c>
      <c r="C7" s="4" t="s">
        <v>27</v>
      </c>
      <c r="D7" s="4" t="s">
        <v>15</v>
      </c>
      <c r="E7" s="4" t="s">
        <v>33</v>
      </c>
      <c r="F7" s="4">
        <v>42</v>
      </c>
      <c r="G7" s="5">
        <v>249.99</v>
      </c>
      <c r="H7" s="5">
        <v>10499.58</v>
      </c>
      <c r="I7" s="4" t="s">
        <v>23</v>
      </c>
      <c r="J7" s="4" t="s">
        <v>24</v>
      </c>
    </row>
    <row r="8" spans="1:10">
      <c r="A8" s="2" t="s">
        <v>34</v>
      </c>
      <c r="B8" s="2" t="s">
        <v>35</v>
      </c>
      <c r="C8" s="2" t="s">
        <v>36</v>
      </c>
      <c r="D8" s="2" t="s">
        <v>21</v>
      </c>
      <c r="E8" s="2" t="s">
        <v>37</v>
      </c>
      <c r="F8" s="2">
        <v>49</v>
      </c>
      <c r="G8" s="3">
        <v>79.989999999999995</v>
      </c>
      <c r="H8" s="3">
        <v>3919.51</v>
      </c>
      <c r="I8" s="2" t="s">
        <v>17</v>
      </c>
      <c r="J8" s="2" t="s">
        <v>18</v>
      </c>
    </row>
    <row r="9" spans="1:10" hidden="1">
      <c r="A9" s="4" t="s">
        <v>38</v>
      </c>
      <c r="B9" s="4" t="s">
        <v>35</v>
      </c>
      <c r="C9" s="4" t="s">
        <v>36</v>
      </c>
      <c r="D9" s="4" t="s">
        <v>28</v>
      </c>
      <c r="E9" s="4" t="s">
        <v>22</v>
      </c>
      <c r="F9" s="4">
        <v>14</v>
      </c>
      <c r="G9" s="5">
        <v>199.99</v>
      </c>
      <c r="H9" s="5">
        <v>2799.86</v>
      </c>
      <c r="I9" s="4" t="s">
        <v>39</v>
      </c>
      <c r="J9" s="4" t="s">
        <v>18</v>
      </c>
    </row>
    <row r="10" spans="1:10" hidden="1">
      <c r="A10" s="2" t="s">
        <v>40</v>
      </c>
      <c r="B10" s="2" t="s">
        <v>41</v>
      </c>
      <c r="C10" s="2" t="s">
        <v>27</v>
      </c>
      <c r="D10" s="2" t="s">
        <v>42</v>
      </c>
      <c r="E10" s="2" t="s">
        <v>22</v>
      </c>
      <c r="F10" s="2">
        <v>23</v>
      </c>
      <c r="G10" s="3">
        <v>199.99</v>
      </c>
      <c r="H10" s="3">
        <v>4599.7700000000004</v>
      </c>
      <c r="I10" s="2" t="s">
        <v>30</v>
      </c>
      <c r="J10" s="2" t="s">
        <v>18</v>
      </c>
    </row>
    <row r="11" spans="1:10" hidden="1">
      <c r="A11" s="4" t="s">
        <v>43</v>
      </c>
      <c r="B11" s="4" t="s">
        <v>44</v>
      </c>
      <c r="C11" s="4" t="s">
        <v>27</v>
      </c>
      <c r="D11" s="4" t="s">
        <v>28</v>
      </c>
      <c r="E11" s="4" t="s">
        <v>29</v>
      </c>
      <c r="F11" s="4">
        <v>8</v>
      </c>
      <c r="G11" s="5">
        <v>249.99</v>
      </c>
      <c r="H11" s="5">
        <v>1999.92</v>
      </c>
      <c r="I11" s="4" t="s">
        <v>45</v>
      </c>
      <c r="J11" s="4" t="s">
        <v>46</v>
      </c>
    </row>
    <row r="12" spans="1:10" hidden="1">
      <c r="A12" s="2" t="s">
        <v>47</v>
      </c>
      <c r="B12" s="2" t="s">
        <v>35</v>
      </c>
      <c r="C12" s="2" t="s">
        <v>36</v>
      </c>
      <c r="D12" s="2" t="s">
        <v>15</v>
      </c>
      <c r="E12" s="2" t="s">
        <v>48</v>
      </c>
      <c r="F12" s="2">
        <v>40</v>
      </c>
      <c r="G12" s="3">
        <v>199.99</v>
      </c>
      <c r="H12" s="3">
        <v>7999.6</v>
      </c>
      <c r="I12" s="2" t="s">
        <v>49</v>
      </c>
      <c r="J12" s="2" t="s">
        <v>24</v>
      </c>
    </row>
    <row r="13" spans="1:10" hidden="1">
      <c r="A13" s="4" t="s">
        <v>50</v>
      </c>
      <c r="B13" s="4" t="s">
        <v>13</v>
      </c>
      <c r="C13" s="4" t="s">
        <v>14</v>
      </c>
      <c r="D13" s="4" t="s">
        <v>42</v>
      </c>
      <c r="E13" s="4" t="s">
        <v>22</v>
      </c>
      <c r="F13" s="4">
        <v>43</v>
      </c>
      <c r="G13" s="5">
        <v>99.99</v>
      </c>
      <c r="H13" s="5">
        <v>4299.57</v>
      </c>
      <c r="I13" s="4" t="s">
        <v>17</v>
      </c>
      <c r="J13" s="4" t="s">
        <v>18</v>
      </c>
    </row>
    <row r="14" spans="1:10">
      <c r="A14" s="2" t="s">
        <v>51</v>
      </c>
      <c r="B14" s="2" t="s">
        <v>32</v>
      </c>
      <c r="C14" s="2" t="s">
        <v>27</v>
      </c>
      <c r="D14" s="2" t="s">
        <v>21</v>
      </c>
      <c r="E14" s="2" t="s">
        <v>48</v>
      </c>
      <c r="F14" s="2">
        <v>25</v>
      </c>
      <c r="G14" s="3">
        <v>149.99</v>
      </c>
      <c r="H14" s="3">
        <v>3749.75</v>
      </c>
      <c r="I14" s="2" t="s">
        <v>30</v>
      </c>
      <c r="J14" s="2" t="s">
        <v>18</v>
      </c>
    </row>
    <row r="15" spans="1:10" hidden="1">
      <c r="A15" s="4" t="s">
        <v>52</v>
      </c>
      <c r="B15" s="4" t="s">
        <v>53</v>
      </c>
      <c r="C15" s="4" t="s">
        <v>14</v>
      </c>
      <c r="D15" s="4" t="s">
        <v>15</v>
      </c>
      <c r="E15" s="4" t="s">
        <v>48</v>
      </c>
      <c r="F15" s="4">
        <v>24</v>
      </c>
      <c r="G15" s="5">
        <v>199.99</v>
      </c>
      <c r="H15" s="5">
        <v>4799.76</v>
      </c>
      <c r="I15" s="4" t="s">
        <v>39</v>
      </c>
      <c r="J15" s="4" t="s">
        <v>18</v>
      </c>
    </row>
    <row r="16" spans="1:10" hidden="1">
      <c r="A16" s="2" t="s">
        <v>54</v>
      </c>
      <c r="B16" s="2" t="s">
        <v>35</v>
      </c>
      <c r="C16" s="2" t="s">
        <v>36</v>
      </c>
      <c r="D16" s="2" t="s">
        <v>15</v>
      </c>
      <c r="E16" s="2" t="s">
        <v>29</v>
      </c>
      <c r="F16" s="2">
        <v>44</v>
      </c>
      <c r="G16" s="3">
        <v>49.99</v>
      </c>
      <c r="H16" s="3">
        <v>2199.56</v>
      </c>
      <c r="I16" s="2" t="s">
        <v>23</v>
      </c>
      <c r="J16" s="2" t="s">
        <v>24</v>
      </c>
    </row>
    <row r="17" spans="1:10" hidden="1">
      <c r="A17" s="4" t="s">
        <v>55</v>
      </c>
      <c r="B17" s="4" t="s">
        <v>32</v>
      </c>
      <c r="C17" s="4" t="s">
        <v>27</v>
      </c>
      <c r="D17" s="4" t="s">
        <v>42</v>
      </c>
      <c r="E17" s="4" t="s">
        <v>48</v>
      </c>
      <c r="F17" s="4">
        <v>30</v>
      </c>
      <c r="G17" s="5">
        <v>249.99</v>
      </c>
      <c r="H17" s="5">
        <v>7499.7</v>
      </c>
      <c r="I17" s="4" t="s">
        <v>39</v>
      </c>
      <c r="J17" s="4" t="s">
        <v>18</v>
      </c>
    </row>
    <row r="18" spans="1:10" hidden="1">
      <c r="A18" s="2" t="s">
        <v>56</v>
      </c>
      <c r="B18" s="2" t="s">
        <v>32</v>
      </c>
      <c r="C18" s="2" t="s">
        <v>27</v>
      </c>
      <c r="D18" s="2" t="s">
        <v>15</v>
      </c>
      <c r="E18" s="2" t="s">
        <v>22</v>
      </c>
      <c r="F18" s="2">
        <v>21</v>
      </c>
      <c r="G18" s="3">
        <v>29.99</v>
      </c>
      <c r="H18" s="3">
        <v>629.79</v>
      </c>
      <c r="I18" s="2" t="s">
        <v>49</v>
      </c>
      <c r="J18" s="2" t="s">
        <v>24</v>
      </c>
    </row>
    <row r="19" spans="1:10" hidden="1">
      <c r="A19" s="4" t="s">
        <v>57</v>
      </c>
      <c r="B19" s="4" t="s">
        <v>53</v>
      </c>
      <c r="C19" s="4" t="s">
        <v>14</v>
      </c>
      <c r="D19" s="4" t="s">
        <v>15</v>
      </c>
      <c r="E19" s="4" t="s">
        <v>29</v>
      </c>
      <c r="F19" s="4">
        <v>18</v>
      </c>
      <c r="G19" s="5">
        <v>49.99</v>
      </c>
      <c r="H19" s="5">
        <v>899.82</v>
      </c>
      <c r="I19" s="4" t="s">
        <v>58</v>
      </c>
      <c r="J19" s="4" t="s">
        <v>46</v>
      </c>
    </row>
    <row r="20" spans="1:10">
      <c r="A20" s="2" t="s">
        <v>59</v>
      </c>
      <c r="B20" s="2" t="s">
        <v>53</v>
      </c>
      <c r="C20" s="2" t="s">
        <v>14</v>
      </c>
      <c r="D20" s="2" t="s">
        <v>21</v>
      </c>
      <c r="E20" s="2" t="s">
        <v>48</v>
      </c>
      <c r="F20" s="2">
        <v>42</v>
      </c>
      <c r="G20" s="3">
        <v>399.99</v>
      </c>
      <c r="H20" s="3">
        <v>16799.580000000002</v>
      </c>
      <c r="I20" s="2" t="s">
        <v>60</v>
      </c>
      <c r="J20" s="2" t="s">
        <v>61</v>
      </c>
    </row>
    <row r="21" spans="1:10" hidden="1">
      <c r="A21" s="4" t="s">
        <v>62</v>
      </c>
      <c r="B21" s="4" t="s">
        <v>44</v>
      </c>
      <c r="C21" s="4" t="s">
        <v>27</v>
      </c>
      <c r="D21" s="4" t="s">
        <v>15</v>
      </c>
      <c r="E21" s="4" t="s">
        <v>48</v>
      </c>
      <c r="F21" s="4">
        <v>17</v>
      </c>
      <c r="G21" s="5">
        <v>79.989999999999995</v>
      </c>
      <c r="H21" s="5">
        <v>1359.83</v>
      </c>
      <c r="I21" s="4" t="s">
        <v>39</v>
      </c>
      <c r="J21" s="4" t="s">
        <v>18</v>
      </c>
    </row>
    <row r="22" spans="1:10">
      <c r="A22" s="2" t="s">
        <v>63</v>
      </c>
      <c r="B22" s="2" t="s">
        <v>35</v>
      </c>
      <c r="C22" s="2" t="s">
        <v>36</v>
      </c>
      <c r="D22" s="2" t="s">
        <v>21</v>
      </c>
      <c r="E22" s="2" t="s">
        <v>37</v>
      </c>
      <c r="F22" s="2">
        <v>38</v>
      </c>
      <c r="G22" s="3">
        <v>249.99</v>
      </c>
      <c r="H22" s="3">
        <v>9499.6200000000008</v>
      </c>
      <c r="I22" s="2" t="s">
        <v>23</v>
      </c>
      <c r="J22" s="2" t="s">
        <v>24</v>
      </c>
    </row>
    <row r="23" spans="1:10" hidden="1">
      <c r="A23" s="4" t="s">
        <v>64</v>
      </c>
      <c r="B23" s="4" t="s">
        <v>32</v>
      </c>
      <c r="C23" s="4" t="s">
        <v>27</v>
      </c>
      <c r="D23" s="4" t="s">
        <v>28</v>
      </c>
      <c r="E23" s="4" t="s">
        <v>22</v>
      </c>
      <c r="F23" s="4">
        <v>33</v>
      </c>
      <c r="G23" s="5">
        <v>399.99</v>
      </c>
      <c r="H23" s="5">
        <v>13199.67</v>
      </c>
      <c r="I23" s="4" t="s">
        <v>39</v>
      </c>
      <c r="J23" s="4" t="s">
        <v>18</v>
      </c>
    </row>
    <row r="24" spans="1:10">
      <c r="A24" s="2" t="s">
        <v>65</v>
      </c>
      <c r="B24" s="2" t="s">
        <v>13</v>
      </c>
      <c r="C24" s="2" t="s">
        <v>14</v>
      </c>
      <c r="D24" s="2" t="s">
        <v>21</v>
      </c>
      <c r="E24" s="2" t="s">
        <v>29</v>
      </c>
      <c r="F24" s="2">
        <v>41</v>
      </c>
      <c r="G24" s="3">
        <v>79.989999999999995</v>
      </c>
      <c r="H24" s="3">
        <v>3279.59</v>
      </c>
      <c r="I24" s="2" t="s">
        <v>39</v>
      </c>
      <c r="J24" s="2" t="s">
        <v>18</v>
      </c>
    </row>
    <row r="25" spans="1:10" hidden="1">
      <c r="A25" s="4" t="s">
        <v>66</v>
      </c>
      <c r="B25" s="4" t="s">
        <v>13</v>
      </c>
      <c r="C25" s="4" t="s">
        <v>14</v>
      </c>
      <c r="D25" s="4" t="s">
        <v>42</v>
      </c>
      <c r="E25" s="4" t="s">
        <v>29</v>
      </c>
      <c r="F25" s="4">
        <v>25</v>
      </c>
      <c r="G25" s="5">
        <v>399.99</v>
      </c>
      <c r="H25" s="5">
        <v>9999.75</v>
      </c>
      <c r="I25" s="4" t="s">
        <v>58</v>
      </c>
      <c r="J25" s="4" t="s">
        <v>46</v>
      </c>
    </row>
    <row r="26" spans="1:10" hidden="1">
      <c r="A26" s="2" t="s">
        <v>67</v>
      </c>
      <c r="B26" s="2" t="s">
        <v>26</v>
      </c>
      <c r="C26" s="2" t="s">
        <v>27</v>
      </c>
      <c r="D26" s="2" t="s">
        <v>42</v>
      </c>
      <c r="E26" s="2" t="s">
        <v>48</v>
      </c>
      <c r="F26" s="2">
        <v>47</v>
      </c>
      <c r="G26" s="3">
        <v>49.99</v>
      </c>
      <c r="H26" s="3">
        <v>2349.5300000000002</v>
      </c>
      <c r="I26" s="2" t="s">
        <v>49</v>
      </c>
      <c r="J26" s="2" t="s">
        <v>24</v>
      </c>
    </row>
    <row r="27" spans="1:10" hidden="1">
      <c r="A27" s="4" t="s">
        <v>68</v>
      </c>
      <c r="B27" s="4" t="s">
        <v>53</v>
      </c>
      <c r="C27" s="4" t="s">
        <v>14</v>
      </c>
      <c r="D27" s="4" t="s">
        <v>15</v>
      </c>
      <c r="E27" s="4" t="s">
        <v>33</v>
      </c>
      <c r="F27" s="4">
        <v>19</v>
      </c>
      <c r="G27" s="5">
        <v>249.99</v>
      </c>
      <c r="H27" s="5">
        <v>4749.8100000000004</v>
      </c>
      <c r="I27" s="4" t="s">
        <v>30</v>
      </c>
      <c r="J27" s="4" t="s">
        <v>18</v>
      </c>
    </row>
    <row r="28" spans="1:10" hidden="1">
      <c r="A28" s="2" t="s">
        <v>69</v>
      </c>
      <c r="B28" s="2" t="s">
        <v>26</v>
      </c>
      <c r="C28" s="2" t="s">
        <v>27</v>
      </c>
      <c r="D28" s="2" t="s">
        <v>15</v>
      </c>
      <c r="E28" s="2" t="s">
        <v>29</v>
      </c>
      <c r="F28" s="2">
        <v>47</v>
      </c>
      <c r="G28" s="3">
        <v>149.99</v>
      </c>
      <c r="H28" s="3">
        <v>7049.53</v>
      </c>
      <c r="I28" s="2" t="s">
        <v>23</v>
      </c>
      <c r="J28" s="2" t="s">
        <v>24</v>
      </c>
    </row>
    <row r="29" spans="1:10" hidden="1">
      <c r="A29" s="4" t="s">
        <v>70</v>
      </c>
      <c r="B29" s="4" t="s">
        <v>13</v>
      </c>
      <c r="C29" s="4" t="s">
        <v>14</v>
      </c>
      <c r="D29" s="4" t="s">
        <v>15</v>
      </c>
      <c r="E29" s="4" t="s">
        <v>37</v>
      </c>
      <c r="F29" s="4">
        <v>20</v>
      </c>
      <c r="G29" s="5">
        <v>99.99</v>
      </c>
      <c r="H29" s="5">
        <v>1999.8</v>
      </c>
      <c r="I29" s="4" t="s">
        <v>49</v>
      </c>
      <c r="J29" s="4" t="s">
        <v>24</v>
      </c>
    </row>
    <row r="30" spans="1:10" hidden="1">
      <c r="A30" s="2" t="s">
        <v>71</v>
      </c>
      <c r="B30" s="2" t="s">
        <v>20</v>
      </c>
      <c r="C30" s="2" t="s">
        <v>14</v>
      </c>
      <c r="D30" s="2" t="s">
        <v>42</v>
      </c>
      <c r="E30" s="2" t="s">
        <v>33</v>
      </c>
      <c r="F30" s="2">
        <v>50</v>
      </c>
      <c r="G30" s="3">
        <v>29.99</v>
      </c>
      <c r="H30" s="3">
        <v>1499.5</v>
      </c>
      <c r="I30" s="2" t="s">
        <v>45</v>
      </c>
      <c r="J30" s="2" t="s">
        <v>46</v>
      </c>
    </row>
    <row r="31" spans="1:10" hidden="1">
      <c r="A31" s="4" t="s">
        <v>72</v>
      </c>
      <c r="B31" s="4" t="s">
        <v>26</v>
      </c>
      <c r="C31" s="4" t="s">
        <v>27</v>
      </c>
      <c r="D31" s="4" t="s">
        <v>15</v>
      </c>
      <c r="E31" s="4" t="s">
        <v>22</v>
      </c>
      <c r="F31" s="4">
        <v>24</v>
      </c>
      <c r="G31" s="5">
        <v>149.99</v>
      </c>
      <c r="H31" s="5">
        <v>3599.76</v>
      </c>
      <c r="I31" s="4" t="s">
        <v>30</v>
      </c>
      <c r="J31" s="4" t="s">
        <v>18</v>
      </c>
    </row>
    <row r="32" spans="1:10">
      <c r="A32" s="2" t="s">
        <v>73</v>
      </c>
      <c r="B32" s="2" t="s">
        <v>32</v>
      </c>
      <c r="C32" s="2" t="s">
        <v>27</v>
      </c>
      <c r="D32" s="2" t="s">
        <v>21</v>
      </c>
      <c r="E32" s="2" t="s">
        <v>22</v>
      </c>
      <c r="F32" s="2">
        <v>6</v>
      </c>
      <c r="G32" s="3">
        <v>49.99</v>
      </c>
      <c r="H32" s="3">
        <v>299.94</v>
      </c>
      <c r="I32" s="2" t="s">
        <v>74</v>
      </c>
      <c r="J32" s="2" t="s">
        <v>24</v>
      </c>
    </row>
    <row r="33" spans="1:10" hidden="1">
      <c r="A33" s="4" t="s">
        <v>75</v>
      </c>
      <c r="B33" s="4" t="s">
        <v>20</v>
      </c>
      <c r="C33" s="4" t="s">
        <v>14</v>
      </c>
      <c r="D33" s="4" t="s">
        <v>15</v>
      </c>
      <c r="E33" s="4" t="s">
        <v>37</v>
      </c>
      <c r="F33" s="4">
        <v>43</v>
      </c>
      <c r="G33" s="5">
        <v>399.99</v>
      </c>
      <c r="H33" s="5">
        <v>17199.57</v>
      </c>
      <c r="I33" s="4" t="s">
        <v>39</v>
      </c>
      <c r="J33" s="4" t="s">
        <v>18</v>
      </c>
    </row>
    <row r="34" spans="1:10" hidden="1">
      <c r="A34" s="2" t="s">
        <v>76</v>
      </c>
      <c r="B34" s="2" t="s">
        <v>41</v>
      </c>
      <c r="C34" s="2" t="s">
        <v>27</v>
      </c>
      <c r="D34" s="2" t="s">
        <v>42</v>
      </c>
      <c r="E34" s="2" t="s">
        <v>33</v>
      </c>
      <c r="F34" s="2">
        <v>35</v>
      </c>
      <c r="G34" s="3">
        <v>99.99</v>
      </c>
      <c r="H34" s="3">
        <v>3499.65</v>
      </c>
      <c r="I34" s="2" t="s">
        <v>60</v>
      </c>
      <c r="J34" s="2" t="s">
        <v>61</v>
      </c>
    </row>
    <row r="35" spans="1:10" hidden="1">
      <c r="A35" s="4" t="s">
        <v>77</v>
      </c>
      <c r="B35" s="4" t="s">
        <v>53</v>
      </c>
      <c r="C35" s="4" t="s">
        <v>14</v>
      </c>
      <c r="D35" s="4" t="s">
        <v>28</v>
      </c>
      <c r="E35" s="4" t="s">
        <v>16</v>
      </c>
      <c r="F35" s="4">
        <v>34</v>
      </c>
      <c r="G35" s="5">
        <v>399.99</v>
      </c>
      <c r="H35" s="5">
        <v>13599.66</v>
      </c>
      <c r="I35" s="4" t="s">
        <v>78</v>
      </c>
      <c r="J35" s="4" t="s">
        <v>46</v>
      </c>
    </row>
    <row r="36" spans="1:10" hidden="1">
      <c r="A36" s="2" t="s">
        <v>79</v>
      </c>
      <c r="B36" s="2" t="s">
        <v>32</v>
      </c>
      <c r="C36" s="2" t="s">
        <v>27</v>
      </c>
      <c r="D36" s="2" t="s">
        <v>15</v>
      </c>
      <c r="E36" s="2" t="s">
        <v>29</v>
      </c>
      <c r="F36" s="2">
        <v>22</v>
      </c>
      <c r="G36" s="3">
        <v>29.99</v>
      </c>
      <c r="H36" s="3">
        <v>659.78</v>
      </c>
      <c r="I36" s="2" t="s">
        <v>30</v>
      </c>
      <c r="J36" s="2" t="s">
        <v>18</v>
      </c>
    </row>
    <row r="37" spans="1:10" hidden="1">
      <c r="A37" s="4" t="s">
        <v>80</v>
      </c>
      <c r="B37" s="4" t="s">
        <v>32</v>
      </c>
      <c r="C37" s="4" t="s">
        <v>27</v>
      </c>
      <c r="D37" s="4" t="s">
        <v>15</v>
      </c>
      <c r="E37" s="4" t="s">
        <v>22</v>
      </c>
      <c r="F37" s="4">
        <v>5</v>
      </c>
      <c r="G37" s="5">
        <v>29.99</v>
      </c>
      <c r="H37" s="5">
        <v>149.94999999999999</v>
      </c>
      <c r="I37" s="4" t="s">
        <v>17</v>
      </c>
      <c r="J37" s="4" t="s">
        <v>18</v>
      </c>
    </row>
    <row r="38" spans="1:10" hidden="1">
      <c r="A38" s="2" t="s">
        <v>81</v>
      </c>
      <c r="B38" s="2" t="s">
        <v>26</v>
      </c>
      <c r="C38" s="2" t="s">
        <v>27</v>
      </c>
      <c r="D38" s="2" t="s">
        <v>42</v>
      </c>
      <c r="E38" s="2" t="s">
        <v>48</v>
      </c>
      <c r="F38" s="2">
        <v>5</v>
      </c>
      <c r="G38" s="3">
        <v>99.99</v>
      </c>
      <c r="H38" s="3">
        <v>499.95</v>
      </c>
      <c r="I38" s="2" t="s">
        <v>82</v>
      </c>
      <c r="J38" s="2" t="s">
        <v>61</v>
      </c>
    </row>
    <row r="39" spans="1:10">
      <c r="A39" s="4" t="s">
        <v>83</v>
      </c>
      <c r="B39" s="4" t="s">
        <v>44</v>
      </c>
      <c r="C39" s="4" t="s">
        <v>27</v>
      </c>
      <c r="D39" s="4" t="s">
        <v>21</v>
      </c>
      <c r="E39" s="4" t="s">
        <v>16</v>
      </c>
      <c r="F39" s="4">
        <v>35</v>
      </c>
      <c r="G39" s="5">
        <v>79.989999999999995</v>
      </c>
      <c r="H39" s="5">
        <v>2799.65</v>
      </c>
      <c r="I39" s="4" t="s">
        <v>60</v>
      </c>
      <c r="J39" s="4" t="s">
        <v>61</v>
      </c>
    </row>
    <row r="40" spans="1:10" hidden="1">
      <c r="A40" s="2" t="s">
        <v>84</v>
      </c>
      <c r="B40" s="2" t="s">
        <v>44</v>
      </c>
      <c r="C40" s="2" t="s">
        <v>27</v>
      </c>
      <c r="D40" s="2" t="s">
        <v>28</v>
      </c>
      <c r="E40" s="2" t="s">
        <v>48</v>
      </c>
      <c r="F40" s="2">
        <v>13</v>
      </c>
      <c r="G40" s="3">
        <v>49.99</v>
      </c>
      <c r="H40" s="3">
        <v>649.87</v>
      </c>
      <c r="I40" s="2" t="s">
        <v>58</v>
      </c>
      <c r="J40" s="2" t="s">
        <v>46</v>
      </c>
    </row>
    <row r="41" spans="1:10">
      <c r="A41" s="4" t="s">
        <v>85</v>
      </c>
      <c r="B41" s="4" t="s">
        <v>41</v>
      </c>
      <c r="C41" s="4" t="s">
        <v>27</v>
      </c>
      <c r="D41" s="4" t="s">
        <v>21</v>
      </c>
      <c r="E41" s="4" t="s">
        <v>48</v>
      </c>
      <c r="F41" s="4">
        <v>28</v>
      </c>
      <c r="G41" s="5">
        <v>249.99</v>
      </c>
      <c r="H41" s="5">
        <v>6999.72</v>
      </c>
      <c r="I41" s="4" t="s">
        <v>82</v>
      </c>
      <c r="J41" s="4" t="s">
        <v>61</v>
      </c>
    </row>
    <row r="42" spans="1:10" hidden="1">
      <c r="A42" s="2" t="s">
        <v>86</v>
      </c>
      <c r="B42" s="2" t="s">
        <v>26</v>
      </c>
      <c r="C42" s="2" t="s">
        <v>27</v>
      </c>
      <c r="D42" s="2" t="s">
        <v>28</v>
      </c>
      <c r="E42" s="2" t="s">
        <v>33</v>
      </c>
      <c r="F42" s="2">
        <v>42</v>
      </c>
      <c r="G42" s="3">
        <v>49.99</v>
      </c>
      <c r="H42" s="3">
        <v>2099.58</v>
      </c>
      <c r="I42" s="2" t="s">
        <v>49</v>
      </c>
      <c r="J42" s="2" t="s">
        <v>24</v>
      </c>
    </row>
    <row r="43" spans="1:10" hidden="1">
      <c r="A43" s="4" t="s">
        <v>87</v>
      </c>
      <c r="B43" s="4" t="s">
        <v>53</v>
      </c>
      <c r="C43" s="4" t="s">
        <v>14</v>
      </c>
      <c r="D43" s="4" t="s">
        <v>15</v>
      </c>
      <c r="E43" s="4" t="s">
        <v>29</v>
      </c>
      <c r="F43" s="4">
        <v>16</v>
      </c>
      <c r="G43" s="5">
        <v>99.99</v>
      </c>
      <c r="H43" s="5">
        <v>1599.84</v>
      </c>
      <c r="I43" s="4" t="s">
        <v>30</v>
      </c>
      <c r="J43" s="4" t="s">
        <v>18</v>
      </c>
    </row>
    <row r="44" spans="1:10" hidden="1">
      <c r="A44" s="2" t="s">
        <v>88</v>
      </c>
      <c r="B44" s="2" t="s">
        <v>44</v>
      </c>
      <c r="C44" s="2" t="s">
        <v>27</v>
      </c>
      <c r="D44" s="2" t="s">
        <v>42</v>
      </c>
      <c r="E44" s="2" t="s">
        <v>33</v>
      </c>
      <c r="F44" s="2">
        <v>28</v>
      </c>
      <c r="G44" s="3">
        <v>79.989999999999995</v>
      </c>
      <c r="H44" s="3">
        <v>2239.7199999999998</v>
      </c>
      <c r="I44" s="2" t="s">
        <v>39</v>
      </c>
      <c r="J44" s="2" t="s">
        <v>18</v>
      </c>
    </row>
    <row r="45" spans="1:10" hidden="1">
      <c r="A45" s="4" t="s">
        <v>89</v>
      </c>
      <c r="B45" s="4" t="s">
        <v>32</v>
      </c>
      <c r="C45" s="4" t="s">
        <v>27</v>
      </c>
      <c r="D45" s="4" t="s">
        <v>28</v>
      </c>
      <c r="E45" s="4" t="s">
        <v>48</v>
      </c>
      <c r="F45" s="4">
        <v>29</v>
      </c>
      <c r="G45" s="5">
        <v>49.99</v>
      </c>
      <c r="H45" s="5">
        <v>1449.71</v>
      </c>
      <c r="I45" s="4" t="s">
        <v>30</v>
      </c>
      <c r="J45" s="4" t="s">
        <v>18</v>
      </c>
    </row>
    <row r="46" spans="1:10" hidden="1">
      <c r="A46" s="2" t="s">
        <v>90</v>
      </c>
      <c r="B46" s="2" t="s">
        <v>26</v>
      </c>
      <c r="C46" s="2" t="s">
        <v>27</v>
      </c>
      <c r="D46" s="2" t="s">
        <v>15</v>
      </c>
      <c r="E46" s="2" t="s">
        <v>33</v>
      </c>
      <c r="F46" s="2">
        <v>49</v>
      </c>
      <c r="G46" s="3">
        <v>99.99</v>
      </c>
      <c r="H46" s="3">
        <v>4899.51</v>
      </c>
      <c r="I46" s="2" t="s">
        <v>30</v>
      </c>
      <c r="J46" s="2" t="s">
        <v>18</v>
      </c>
    </row>
    <row r="47" spans="1:10" hidden="1">
      <c r="A47" s="4" t="s">
        <v>91</v>
      </c>
      <c r="B47" s="4" t="s">
        <v>44</v>
      </c>
      <c r="C47" s="4" t="s">
        <v>27</v>
      </c>
      <c r="D47" s="4" t="s">
        <v>28</v>
      </c>
      <c r="E47" s="4" t="s">
        <v>16</v>
      </c>
      <c r="F47" s="4">
        <v>14</v>
      </c>
      <c r="G47" s="5">
        <v>249.99</v>
      </c>
      <c r="H47" s="5">
        <v>3499.86</v>
      </c>
      <c r="I47" s="4" t="s">
        <v>78</v>
      </c>
      <c r="J47" s="4" t="s">
        <v>46</v>
      </c>
    </row>
    <row r="48" spans="1:10">
      <c r="A48" s="2" t="s">
        <v>92</v>
      </c>
      <c r="B48" s="2" t="s">
        <v>41</v>
      </c>
      <c r="C48" s="2" t="s">
        <v>27</v>
      </c>
      <c r="D48" s="2" t="s">
        <v>21</v>
      </c>
      <c r="E48" s="2" t="s">
        <v>37</v>
      </c>
      <c r="F48" s="2">
        <v>25</v>
      </c>
      <c r="G48" s="3">
        <v>149.99</v>
      </c>
      <c r="H48" s="3">
        <v>3749.75</v>
      </c>
      <c r="I48" s="2" t="s">
        <v>17</v>
      </c>
      <c r="J48" s="2" t="s">
        <v>18</v>
      </c>
    </row>
    <row r="49" spans="1:10" hidden="1">
      <c r="A49" s="4" t="s">
        <v>93</v>
      </c>
      <c r="B49" s="4" t="s">
        <v>41</v>
      </c>
      <c r="C49" s="4" t="s">
        <v>27</v>
      </c>
      <c r="D49" s="4" t="s">
        <v>15</v>
      </c>
      <c r="E49" s="4" t="s">
        <v>16</v>
      </c>
      <c r="F49" s="4">
        <v>47</v>
      </c>
      <c r="G49" s="5">
        <v>399.99</v>
      </c>
      <c r="H49" s="5">
        <v>18799.53</v>
      </c>
      <c r="I49" s="4" t="s">
        <v>23</v>
      </c>
      <c r="J49" s="4" t="s">
        <v>24</v>
      </c>
    </row>
    <row r="50" spans="1:10" hidden="1">
      <c r="A50" s="2" t="s">
        <v>94</v>
      </c>
      <c r="B50" s="2" t="s">
        <v>35</v>
      </c>
      <c r="C50" s="2" t="s">
        <v>36</v>
      </c>
      <c r="D50" s="2" t="s">
        <v>42</v>
      </c>
      <c r="E50" s="2" t="s">
        <v>22</v>
      </c>
      <c r="F50" s="2">
        <v>4</v>
      </c>
      <c r="G50" s="3">
        <v>29.99</v>
      </c>
      <c r="H50" s="3">
        <v>119.96</v>
      </c>
      <c r="I50" s="2" t="s">
        <v>60</v>
      </c>
      <c r="J50" s="2" t="s">
        <v>61</v>
      </c>
    </row>
    <row r="51" spans="1:10" hidden="1">
      <c r="A51" s="4" t="s">
        <v>95</v>
      </c>
      <c r="B51" s="4" t="s">
        <v>26</v>
      </c>
      <c r="C51" s="4" t="s">
        <v>27</v>
      </c>
      <c r="D51" s="4" t="s">
        <v>28</v>
      </c>
      <c r="E51" s="4" t="s">
        <v>29</v>
      </c>
      <c r="F51" s="4">
        <v>31</v>
      </c>
      <c r="G51" s="5">
        <v>79.989999999999995</v>
      </c>
      <c r="H51" s="5">
        <v>2479.69</v>
      </c>
      <c r="I51" s="4" t="s">
        <v>74</v>
      </c>
      <c r="J51" s="4" t="s">
        <v>24</v>
      </c>
    </row>
    <row r="52" spans="1:10" hidden="1">
      <c r="A52" s="2" t="s">
        <v>96</v>
      </c>
      <c r="B52" s="2" t="s">
        <v>13</v>
      </c>
      <c r="C52" s="2" t="s">
        <v>14</v>
      </c>
      <c r="D52" s="2" t="s">
        <v>15</v>
      </c>
      <c r="E52" s="2" t="s">
        <v>33</v>
      </c>
      <c r="F52" s="2">
        <v>5</v>
      </c>
      <c r="G52" s="3">
        <v>49.99</v>
      </c>
      <c r="H52" s="3">
        <v>249.95</v>
      </c>
      <c r="I52" s="2" t="s">
        <v>39</v>
      </c>
      <c r="J52" s="2" t="s">
        <v>18</v>
      </c>
    </row>
    <row r="53" spans="1:10" hidden="1">
      <c r="A53" s="4" t="s">
        <v>97</v>
      </c>
      <c r="B53" s="4" t="s">
        <v>13</v>
      </c>
      <c r="C53" s="4" t="s">
        <v>14</v>
      </c>
      <c r="D53" s="4" t="s">
        <v>28</v>
      </c>
      <c r="E53" s="4" t="s">
        <v>33</v>
      </c>
      <c r="F53" s="4">
        <v>16</v>
      </c>
      <c r="G53" s="5">
        <v>29.99</v>
      </c>
      <c r="H53" s="5">
        <v>479.84</v>
      </c>
      <c r="I53" s="4" t="s">
        <v>74</v>
      </c>
      <c r="J53" s="4" t="s">
        <v>24</v>
      </c>
    </row>
    <row r="55" spans="1:10" ht="16.8">
      <c r="A55" s="64" t="s">
        <v>98</v>
      </c>
      <c r="B55" s="64"/>
      <c r="C55" s="64"/>
      <c r="D55" s="64"/>
      <c r="E55" s="64"/>
      <c r="F55" s="64"/>
      <c r="G55" s="64"/>
      <c r="H55" s="64"/>
      <c r="I55" s="64"/>
      <c r="J55" s="64"/>
    </row>
    <row r="56" spans="1:10">
      <c r="A56" s="6" t="s">
        <v>99</v>
      </c>
      <c r="B56" s="6" t="s">
        <v>100</v>
      </c>
      <c r="C56" s="6" t="s">
        <v>101</v>
      </c>
      <c r="D56" s="6" t="s">
        <v>102</v>
      </c>
    </row>
    <row r="57" spans="1:10" ht="21.75" customHeight="1">
      <c r="A57" s="7" t="s">
        <v>103</v>
      </c>
      <c r="B57" s="8" t="s">
        <v>104</v>
      </c>
      <c r="C57" s="54">
        <f>SUM(H4:H53)</f>
        <v>228256.15</v>
      </c>
      <c r="D57" s="10" t="s">
        <v>105</v>
      </c>
    </row>
    <row r="58" spans="1:10" ht="21.75" customHeight="1">
      <c r="A58" s="7" t="s">
        <v>106</v>
      </c>
      <c r="B58" s="8" t="s">
        <v>107</v>
      </c>
      <c r="C58" s="54">
        <f>AVERAGE(G4:G53)</f>
        <v>150.18999999999986</v>
      </c>
      <c r="D58" s="10" t="s">
        <v>108</v>
      </c>
    </row>
    <row r="59" spans="1:10" ht="21.75" customHeight="1">
      <c r="A59" s="7" t="s">
        <v>109</v>
      </c>
      <c r="B59" s="8" t="s">
        <v>110</v>
      </c>
      <c r="C59" s="9">
        <f>COUNTIF(F4:F53,"&gt;25")</f>
        <v>25</v>
      </c>
      <c r="D59" s="10" t="s">
        <v>111</v>
      </c>
    </row>
    <row r="60" spans="1:10" ht="21.75" customHeight="1">
      <c r="A60" s="7" t="s">
        <v>112</v>
      </c>
      <c r="B60" s="8" t="s">
        <v>113</v>
      </c>
      <c r="C60" s="54">
        <f>MAX(H4:H53)</f>
        <v>18799.53</v>
      </c>
      <c r="D60" s="10" t="s">
        <v>114</v>
      </c>
    </row>
    <row r="61" spans="1:10" ht="21.75" customHeight="1">
      <c r="A61" s="7" t="s">
        <v>115</v>
      </c>
      <c r="B61" s="8" t="s">
        <v>116</v>
      </c>
      <c r="C61" s="9">
        <f>MIN(F4:F53)</f>
        <v>4</v>
      </c>
      <c r="D61" s="10" t="s">
        <v>117</v>
      </c>
    </row>
    <row r="62" spans="1:10" ht="21.75" customHeight="1">
      <c r="A62" s="7" t="s">
        <v>118</v>
      </c>
      <c r="B62" s="8" t="s">
        <v>119</v>
      </c>
      <c r="C62" s="9">
        <f>COUNTA(A4:A53)</f>
        <v>50</v>
      </c>
      <c r="D62" s="10" t="s">
        <v>120</v>
      </c>
    </row>
    <row r="63" spans="1:10" ht="21.75" customHeight="1">
      <c r="A63" s="7" t="s">
        <v>121</v>
      </c>
      <c r="B63" s="8" t="s">
        <v>122</v>
      </c>
      <c r="C63" s="9">
        <f>SUMIF(D4:D53,"North",H4:H53)</f>
        <v>43657.520000000004</v>
      </c>
      <c r="D63" s="10" t="s">
        <v>123</v>
      </c>
    </row>
    <row r="64" spans="1:10" ht="21.75" customHeight="1">
      <c r="A64" s="7" t="s">
        <v>124</v>
      </c>
      <c r="B64" s="8" t="s">
        <v>125</v>
      </c>
      <c r="C64" s="9">
        <f>COUNTIF(C4:C53,"Electronics")</f>
        <v>28</v>
      </c>
      <c r="D64" s="10" t="s">
        <v>126</v>
      </c>
    </row>
    <row r="65" spans="1:4" ht="21.75" customHeight="1">
      <c r="A65" s="7" t="s">
        <v>127</v>
      </c>
      <c r="B65" s="8" t="s">
        <v>128</v>
      </c>
      <c r="C65" s="9">
        <f>AVERAGEIF(F4:F53,"&gt;20",H4:H53)</f>
        <v>6216.6109090909085</v>
      </c>
      <c r="D65" s="10" t="s">
        <v>129</v>
      </c>
    </row>
    <row r="66" spans="1:4" ht="21.75" customHeight="1">
      <c r="A66" s="7" t="s">
        <v>130</v>
      </c>
      <c r="B66" s="8" t="s">
        <v>131</v>
      </c>
      <c r="C66" s="9" t="str">
        <f>IF(H7&gt;5000,"High","Low")</f>
        <v>High</v>
      </c>
      <c r="D66" s="10" t="s">
        <v>132</v>
      </c>
    </row>
    <row r="67" spans="1:4" ht="21.75" customHeight="1">
      <c r="A67" s="7" t="s">
        <v>133</v>
      </c>
      <c r="B67" s="8" t="s">
        <v>134</v>
      </c>
      <c r="C67" s="9" cm="1">
        <f t="array" ref="C67:C115">_xlfn._xlws.SORT(_xlfn.UNIQUE(H4:H53),1,-1)</f>
        <v>18799.53</v>
      </c>
      <c r="D67" s="10" t="s">
        <v>135</v>
      </c>
    </row>
    <row r="68" spans="1:4" ht="21.75" customHeight="1">
      <c r="A68" s="7" t="s">
        <v>136</v>
      </c>
      <c r="B68" s="8" t="s">
        <v>137</v>
      </c>
      <c r="C68" s="9">
        <v>17199.57</v>
      </c>
      <c r="D68" s="10" t="s">
        <v>138</v>
      </c>
    </row>
    <row r="69" spans="1:4">
      <c r="B69">
        <f>COUNTIF(D4:D53,"West")</f>
        <v>10</v>
      </c>
      <c r="C69">
        <v>16799.580000000002</v>
      </c>
    </row>
    <row r="70" spans="1:4">
      <c r="C70">
        <v>13599.66</v>
      </c>
    </row>
    <row r="71" spans="1:4">
      <c r="C71">
        <v>13199.67</v>
      </c>
    </row>
    <row r="72" spans="1:4">
      <c r="C72">
        <v>10499.58</v>
      </c>
    </row>
    <row r="73" spans="1:4">
      <c r="C73">
        <v>9999.75</v>
      </c>
    </row>
    <row r="74" spans="1:4">
      <c r="C74">
        <v>9499.6200000000008</v>
      </c>
    </row>
    <row r="75" spans="1:4">
      <c r="C75">
        <v>7999.6</v>
      </c>
    </row>
    <row r="76" spans="1:4">
      <c r="C76">
        <v>7499.7</v>
      </c>
    </row>
    <row r="77" spans="1:4">
      <c r="C77">
        <v>7199.52</v>
      </c>
    </row>
    <row r="78" spans="1:4">
      <c r="C78">
        <v>7049.53</v>
      </c>
    </row>
    <row r="79" spans="1:4">
      <c r="C79">
        <v>6999.72</v>
      </c>
    </row>
    <row r="80" spans="1:4">
      <c r="C80">
        <v>4899.51</v>
      </c>
    </row>
    <row r="81" spans="3:3">
      <c r="C81">
        <v>4799.76</v>
      </c>
    </row>
    <row r="82" spans="3:3">
      <c r="C82">
        <v>4749.8100000000004</v>
      </c>
    </row>
    <row r="83" spans="3:3">
      <c r="C83">
        <v>4599.7700000000004</v>
      </c>
    </row>
    <row r="84" spans="3:3">
      <c r="C84">
        <v>4299.57</v>
      </c>
    </row>
    <row r="85" spans="3:3">
      <c r="C85">
        <v>3919.51</v>
      </c>
    </row>
    <row r="86" spans="3:3">
      <c r="C86">
        <v>3749.75</v>
      </c>
    </row>
    <row r="87" spans="3:3">
      <c r="C87">
        <v>3599.76</v>
      </c>
    </row>
    <row r="88" spans="3:3">
      <c r="C88">
        <v>3499.86</v>
      </c>
    </row>
    <row r="89" spans="3:3">
      <c r="C89">
        <v>3499.65</v>
      </c>
    </row>
    <row r="90" spans="3:3">
      <c r="C90">
        <v>3279.59</v>
      </c>
    </row>
    <row r="91" spans="3:3">
      <c r="C91">
        <v>2799.86</v>
      </c>
    </row>
    <row r="92" spans="3:3">
      <c r="C92">
        <v>2799.65</v>
      </c>
    </row>
    <row r="93" spans="3:3">
      <c r="C93">
        <v>2479.69</v>
      </c>
    </row>
    <row r="94" spans="3:3">
      <c r="C94">
        <v>2349.5300000000002</v>
      </c>
    </row>
    <row r="95" spans="3:3">
      <c r="C95">
        <v>2239.7199999999998</v>
      </c>
    </row>
    <row r="96" spans="3:3">
      <c r="C96">
        <v>2199.56</v>
      </c>
    </row>
    <row r="97" spans="3:3">
      <c r="C97">
        <v>2099.58</v>
      </c>
    </row>
    <row r="98" spans="3:3">
      <c r="C98">
        <v>1999.92</v>
      </c>
    </row>
    <row r="99" spans="3:3">
      <c r="C99">
        <v>1999.8</v>
      </c>
    </row>
    <row r="100" spans="3:3">
      <c r="C100">
        <v>1599.84</v>
      </c>
    </row>
    <row r="101" spans="3:3">
      <c r="C101">
        <v>1499.5</v>
      </c>
    </row>
    <row r="102" spans="3:3">
      <c r="C102">
        <v>1449.71</v>
      </c>
    </row>
    <row r="103" spans="3:3">
      <c r="C103">
        <v>1399.86</v>
      </c>
    </row>
    <row r="104" spans="3:3">
      <c r="C104">
        <v>1359.83</v>
      </c>
    </row>
    <row r="105" spans="3:3">
      <c r="C105">
        <v>899.82</v>
      </c>
    </row>
    <row r="106" spans="3:3">
      <c r="C106">
        <v>659.78</v>
      </c>
    </row>
    <row r="107" spans="3:3">
      <c r="C107">
        <v>649.87</v>
      </c>
    </row>
    <row r="108" spans="3:3">
      <c r="C108">
        <v>629.79</v>
      </c>
    </row>
    <row r="109" spans="3:3">
      <c r="C109">
        <v>499.95</v>
      </c>
    </row>
    <row r="110" spans="3:3">
      <c r="C110">
        <v>479.84</v>
      </c>
    </row>
    <row r="111" spans="3:3">
      <c r="C111">
        <v>349.93</v>
      </c>
    </row>
    <row r="112" spans="3:3">
      <c r="C112">
        <v>299.94</v>
      </c>
    </row>
    <row r="113" spans="3:3">
      <c r="C113">
        <v>249.95</v>
      </c>
    </row>
    <row r="114" spans="3:3">
      <c r="C114">
        <v>149.94999999999999</v>
      </c>
    </row>
    <row r="115" spans="3:3">
      <c r="C115">
        <v>119.96</v>
      </c>
    </row>
  </sheetData>
  <autoFilter ref="D3:D53" xr:uid="{00000000-0001-0000-0000-000000000000}">
    <filterColumn colId="0">
      <filters>
        <filter val="West"/>
      </filters>
    </filterColumn>
  </autoFilter>
  <mergeCells count="3">
    <mergeCell ref="A1:J1"/>
    <mergeCell ref="A2:J2"/>
    <mergeCell ref="A55:J5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A02C"/>
  </sheetPr>
  <dimension ref="A1:J29"/>
  <sheetViews>
    <sheetView zoomScale="102" zoomScaleNormal="100" workbookViewId="0">
      <pane ySplit="3" topLeftCell="A16" activePane="bottomLeft" state="frozen"/>
      <selection pane="bottomLeft" activeCell="C29" sqref="C29"/>
    </sheetView>
  </sheetViews>
  <sheetFormatPr defaultColWidth="8.6640625" defaultRowHeight="14.4"/>
  <cols>
    <col min="1" max="1" width="20" customWidth="1"/>
    <col min="2" max="2" width="25" customWidth="1"/>
    <col min="3" max="3" width="20" customWidth="1"/>
    <col min="4" max="4" width="18" customWidth="1"/>
    <col min="5" max="6" width="16" customWidth="1"/>
    <col min="7" max="10" width="18" customWidth="1"/>
  </cols>
  <sheetData>
    <row r="1" spans="1:10" ht="16.8">
      <c r="A1" s="62" t="s">
        <v>139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15" customHeight="1">
      <c r="A2" s="65" t="s">
        <v>140</v>
      </c>
      <c r="B2" s="65"/>
      <c r="C2" s="65"/>
      <c r="D2" s="65"/>
      <c r="E2" s="65"/>
      <c r="F2" s="65"/>
      <c r="G2" s="65"/>
      <c r="H2" s="65"/>
      <c r="I2" s="65"/>
      <c r="J2" s="65"/>
    </row>
    <row r="3" spans="1:10">
      <c r="A3" s="11" t="s">
        <v>141</v>
      </c>
      <c r="B3" s="11" t="s">
        <v>142</v>
      </c>
      <c r="C3" s="11" t="s">
        <v>143</v>
      </c>
      <c r="D3" s="11" t="s">
        <v>144</v>
      </c>
      <c r="E3" s="11" t="s">
        <v>145</v>
      </c>
      <c r="F3" s="11" t="s">
        <v>146</v>
      </c>
      <c r="G3" s="11" t="s">
        <v>147</v>
      </c>
      <c r="H3" s="11" t="s">
        <v>148</v>
      </c>
      <c r="I3" s="11" t="s">
        <v>149</v>
      </c>
      <c r="J3" s="11" t="s">
        <v>150</v>
      </c>
    </row>
    <row r="4" spans="1:10">
      <c r="A4" s="2" t="s">
        <v>151</v>
      </c>
      <c r="B4" s="2" t="s">
        <v>152</v>
      </c>
      <c r="C4" s="2" t="s">
        <v>153</v>
      </c>
      <c r="D4" s="2" t="s">
        <v>154</v>
      </c>
      <c r="E4" s="12">
        <v>45000</v>
      </c>
      <c r="F4" s="2" t="s">
        <v>155</v>
      </c>
      <c r="G4" s="2" t="s">
        <v>156</v>
      </c>
      <c r="H4" s="2" t="s">
        <v>157</v>
      </c>
      <c r="I4" s="2" t="s">
        <v>158</v>
      </c>
      <c r="J4" s="2">
        <f>LEN(C18)</f>
        <v>13</v>
      </c>
    </row>
    <row r="5" spans="1:10">
      <c r="A5" s="4" t="s">
        <v>159</v>
      </c>
      <c r="B5" s="4" t="s">
        <v>160</v>
      </c>
      <c r="C5" s="4" t="s">
        <v>161</v>
      </c>
      <c r="D5" s="4" t="s">
        <v>162</v>
      </c>
      <c r="E5" s="13">
        <v>72000</v>
      </c>
      <c r="F5" s="4" t="s">
        <v>163</v>
      </c>
      <c r="G5" s="4" t="s">
        <v>164</v>
      </c>
      <c r="H5" s="4" t="s">
        <v>165</v>
      </c>
      <c r="I5" s="4" t="s">
        <v>166</v>
      </c>
      <c r="J5" s="4"/>
    </row>
    <row r="6" spans="1:10">
      <c r="A6" s="2" t="s">
        <v>167</v>
      </c>
      <c r="B6" s="2" t="s">
        <v>168</v>
      </c>
      <c r="C6" s="2" t="s">
        <v>169</v>
      </c>
      <c r="D6" s="2" t="s">
        <v>170</v>
      </c>
      <c r="E6" s="12">
        <v>58000</v>
      </c>
      <c r="F6" s="2" t="s">
        <v>171</v>
      </c>
      <c r="G6" s="2" t="s">
        <v>172</v>
      </c>
      <c r="H6" s="2" t="s">
        <v>173</v>
      </c>
      <c r="I6" s="2" t="s">
        <v>174</v>
      </c>
      <c r="J6" s="2">
        <v>75</v>
      </c>
    </row>
    <row r="7" spans="1:10">
      <c r="A7" s="4" t="s">
        <v>175</v>
      </c>
      <c r="B7" s="4" t="s">
        <v>176</v>
      </c>
      <c r="C7" s="4" t="s">
        <v>177</v>
      </c>
      <c r="D7" s="4" t="s">
        <v>178</v>
      </c>
      <c r="E7" s="13">
        <v>63000</v>
      </c>
      <c r="F7" s="4" t="s">
        <v>179</v>
      </c>
      <c r="G7" s="4" t="s">
        <v>180</v>
      </c>
      <c r="H7" s="4" t="s">
        <v>181</v>
      </c>
      <c r="I7" s="4" t="s">
        <v>182</v>
      </c>
      <c r="J7" s="4">
        <v>92</v>
      </c>
    </row>
    <row r="8" spans="1:10">
      <c r="A8" s="2" t="s">
        <v>183</v>
      </c>
      <c r="B8" s="2" t="s">
        <v>184</v>
      </c>
      <c r="C8" s="2" t="s">
        <v>185</v>
      </c>
      <c r="D8" s="2" t="s">
        <v>162</v>
      </c>
      <c r="E8" s="12">
        <v>81000</v>
      </c>
      <c r="F8" s="2" t="s">
        <v>186</v>
      </c>
      <c r="G8" s="2" t="s">
        <v>187</v>
      </c>
      <c r="H8" s="2" t="s">
        <v>188</v>
      </c>
      <c r="I8" s="2" t="s">
        <v>158</v>
      </c>
      <c r="J8" s="2"/>
    </row>
    <row r="9" spans="1:10">
      <c r="A9" s="4" t="s">
        <v>189</v>
      </c>
      <c r="B9" s="4" t="s">
        <v>190</v>
      </c>
      <c r="C9" s="4" t="s">
        <v>191</v>
      </c>
      <c r="D9" s="4" t="s">
        <v>154</v>
      </c>
      <c r="E9" s="13">
        <v>49000</v>
      </c>
      <c r="F9" s="4" t="s">
        <v>192</v>
      </c>
      <c r="G9" s="4" t="s">
        <v>193</v>
      </c>
      <c r="H9" s="4" t="s">
        <v>194</v>
      </c>
      <c r="I9" s="4" t="s">
        <v>195</v>
      </c>
      <c r="J9" s="4">
        <v>68</v>
      </c>
    </row>
    <row r="10" spans="1:10">
      <c r="A10" s="2" t="s">
        <v>196</v>
      </c>
      <c r="B10" s="2" t="s">
        <v>197</v>
      </c>
      <c r="C10" s="2" t="s">
        <v>198</v>
      </c>
      <c r="D10" s="2" t="s">
        <v>170</v>
      </c>
      <c r="E10" s="12">
        <v>67000</v>
      </c>
      <c r="F10" s="2" t="s">
        <v>199</v>
      </c>
      <c r="G10" s="2" t="s">
        <v>200</v>
      </c>
      <c r="H10" s="2" t="s">
        <v>201</v>
      </c>
      <c r="I10" s="2" t="s">
        <v>158</v>
      </c>
      <c r="J10" s="2">
        <v>84</v>
      </c>
    </row>
    <row r="11" spans="1:10">
      <c r="A11" s="4" t="s">
        <v>202</v>
      </c>
      <c r="B11" s="4" t="s">
        <v>203</v>
      </c>
      <c r="C11" s="4" t="s">
        <v>204</v>
      </c>
      <c r="D11" s="4" t="s">
        <v>178</v>
      </c>
      <c r="E11" s="13">
        <v>55000</v>
      </c>
      <c r="F11" s="4" t="s">
        <v>205</v>
      </c>
      <c r="G11" s="4" t="s">
        <v>206</v>
      </c>
      <c r="H11" s="4" t="s">
        <v>207</v>
      </c>
      <c r="I11" s="4" t="s">
        <v>208</v>
      </c>
      <c r="J11" s="4"/>
    </row>
    <row r="12" spans="1:10">
      <c r="A12" s="2" t="s">
        <v>209</v>
      </c>
      <c r="B12" s="2" t="s">
        <v>210</v>
      </c>
      <c r="C12" s="2" t="s">
        <v>211</v>
      </c>
      <c r="D12" s="2" t="s">
        <v>162</v>
      </c>
      <c r="E12" s="12">
        <v>78000</v>
      </c>
      <c r="F12" s="2" t="s">
        <v>212</v>
      </c>
      <c r="G12" s="2" t="s">
        <v>213</v>
      </c>
      <c r="H12" s="2" t="s">
        <v>214</v>
      </c>
      <c r="I12" s="2" t="s">
        <v>158</v>
      </c>
      <c r="J12" s="2">
        <v>91</v>
      </c>
    </row>
    <row r="13" spans="1:10">
      <c r="A13" s="4" t="s">
        <v>215</v>
      </c>
      <c r="B13" s="4" t="s">
        <v>216</v>
      </c>
      <c r="C13" s="4" t="s">
        <v>217</v>
      </c>
      <c r="D13" s="4" t="s">
        <v>154</v>
      </c>
      <c r="E13" s="13">
        <v>52000</v>
      </c>
      <c r="F13" s="4" t="s">
        <v>218</v>
      </c>
      <c r="G13" s="4" t="s">
        <v>219</v>
      </c>
      <c r="H13" s="4" t="s">
        <v>220</v>
      </c>
      <c r="I13" s="4" t="s">
        <v>158</v>
      </c>
      <c r="J13" s="4">
        <v>77</v>
      </c>
    </row>
    <row r="16" spans="1:10" ht="16.8">
      <c r="A16" s="66" t="s">
        <v>221</v>
      </c>
      <c r="B16" s="66"/>
      <c r="C16" s="66"/>
      <c r="D16" s="66"/>
      <c r="E16" s="66"/>
      <c r="F16" s="66"/>
      <c r="G16" s="66"/>
      <c r="H16" s="66"/>
      <c r="I16" s="66"/>
      <c r="J16" s="66"/>
    </row>
    <row r="17" spans="1:4">
      <c r="A17" s="14" t="s">
        <v>99</v>
      </c>
      <c r="B17" s="14" t="s">
        <v>222</v>
      </c>
      <c r="C17" s="14" t="s">
        <v>223</v>
      </c>
      <c r="D17" s="14" t="s">
        <v>224</v>
      </c>
    </row>
    <row r="18" spans="1:4" ht="21.75" customHeight="1">
      <c r="A18" s="15" t="s">
        <v>103</v>
      </c>
      <c r="B18" s="16" t="s">
        <v>225</v>
      </c>
      <c r="C18" s="9" t="str">
        <f>TRIM(B4)</f>
        <v>alice johnson</v>
      </c>
      <c r="D18" s="10" t="s">
        <v>226</v>
      </c>
    </row>
    <row r="19" spans="1:4" ht="21.75" customHeight="1">
      <c r="A19" s="15" t="s">
        <v>106</v>
      </c>
      <c r="B19" s="16" t="s">
        <v>227</v>
      </c>
      <c r="C19" s="9" t="str">
        <f>PROPER(B4)</f>
        <v xml:space="preserve">  Alice Johnson </v>
      </c>
      <c r="D19" s="10" t="s">
        <v>228</v>
      </c>
    </row>
    <row r="20" spans="1:4" ht="21.75" customHeight="1">
      <c r="A20" s="15" t="s">
        <v>109</v>
      </c>
      <c r="B20" s="16" t="s">
        <v>229</v>
      </c>
      <c r="C20" s="9" t="str">
        <f>UPPER(G4)</f>
        <v>NEW YORK</v>
      </c>
      <c r="D20" s="10" t="s">
        <v>230</v>
      </c>
    </row>
    <row r="21" spans="1:4" ht="21.75" customHeight="1">
      <c r="A21" s="15" t="s">
        <v>112</v>
      </c>
      <c r="B21" s="16" t="s">
        <v>231</v>
      </c>
      <c r="C21" s="9" t="str">
        <f>LEFT(B5,FIND(" ",B5)-1)</f>
        <v>BOB</v>
      </c>
      <c r="D21" s="10" t="s">
        <v>232</v>
      </c>
    </row>
    <row r="22" spans="1:4" ht="21.75" customHeight="1">
      <c r="A22" s="15" t="s">
        <v>115</v>
      </c>
      <c r="B22" s="16" t="s">
        <v>233</v>
      </c>
      <c r="C22" s="9" t="str">
        <f>RIGHT(B5,LEN(B5)-FIND(" ",B5))</f>
        <v>SMITH</v>
      </c>
      <c r="D22" s="10" t="s">
        <v>234</v>
      </c>
    </row>
    <row r="23" spans="1:4" ht="21.75" customHeight="1">
      <c r="A23" s="15" t="s">
        <v>118</v>
      </c>
      <c r="B23" s="16" t="s">
        <v>235</v>
      </c>
      <c r="C23" s="9">
        <f>LEN(B4)</f>
        <v>16</v>
      </c>
      <c r="D23" s="10" t="s">
        <v>236</v>
      </c>
    </row>
    <row r="24" spans="1:4" ht="21.75" customHeight="1">
      <c r="A24" s="15" t="s">
        <v>121</v>
      </c>
      <c r="B24" s="16" t="s">
        <v>237</v>
      </c>
      <c r="C24" s="9" t="str">
        <f>SUBSTITUTE(H4," ","")</f>
        <v>1234567890</v>
      </c>
      <c r="D24" s="10" t="s">
        <v>238</v>
      </c>
    </row>
    <row r="25" spans="1:4" ht="21.75" customHeight="1">
      <c r="A25" s="15" t="s">
        <v>124</v>
      </c>
      <c r="B25" s="16" t="s">
        <v>239</v>
      </c>
      <c r="C25" s="9" t="str">
        <f>IF(UPPER(I4)="ACTIVE","ACTIVE","INACTIVE")</f>
        <v>ACTIVE</v>
      </c>
      <c r="D25" s="10" t="s">
        <v>240</v>
      </c>
    </row>
    <row r="26" spans="1:4" ht="21.75" customHeight="1">
      <c r="A26" s="15" t="s">
        <v>127</v>
      </c>
      <c r="B26" s="16" t="s">
        <v>241</v>
      </c>
      <c r="C26" s="9" t="b">
        <f>ISNUMBER(J4)</f>
        <v>1</v>
      </c>
      <c r="D26" s="10" t="s">
        <v>242</v>
      </c>
    </row>
    <row r="27" spans="1:4" ht="21.75" customHeight="1">
      <c r="A27" s="15" t="s">
        <v>130</v>
      </c>
      <c r="B27" s="16" t="s">
        <v>243</v>
      </c>
      <c r="C27" s="9" t="b">
        <f>ISBLANK(J5)</f>
        <v>1</v>
      </c>
      <c r="D27" s="10" t="s">
        <v>244</v>
      </c>
    </row>
    <row r="28" spans="1:4" ht="21.75" customHeight="1">
      <c r="A28" s="15" t="s">
        <v>133</v>
      </c>
      <c r="B28" s="16" t="s">
        <v>245</v>
      </c>
      <c r="C28" s="9" t="str">
        <f>CONCATENATE(B9," - ",D9)</f>
        <v xml:space="preserve"> frank miller - HR</v>
      </c>
      <c r="D28" s="10" t="s">
        <v>246</v>
      </c>
    </row>
    <row r="29" spans="1:4" ht="21.75" customHeight="1">
      <c r="A29" s="15" t="s">
        <v>136</v>
      </c>
      <c r="B29" s="16" t="s">
        <v>247</v>
      </c>
      <c r="C29" s="9" t="str">
        <f>TEXT(E4,"0.00")</f>
        <v>45000.00</v>
      </c>
      <c r="D29" s="10" t="s">
        <v>248</v>
      </c>
    </row>
  </sheetData>
  <mergeCells count="3">
    <mergeCell ref="A1:J1"/>
    <mergeCell ref="A2:J2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7F0E"/>
  </sheetPr>
  <dimension ref="A1:K45"/>
  <sheetViews>
    <sheetView zoomScale="91" zoomScaleNormal="100" workbookViewId="0">
      <pane ySplit="3" topLeftCell="A13" activePane="bottomLeft" state="frozen"/>
      <selection pane="bottomLeft" activeCell="D46" sqref="D46"/>
    </sheetView>
  </sheetViews>
  <sheetFormatPr defaultColWidth="8.6640625" defaultRowHeight="14.4"/>
  <cols>
    <col min="1" max="1" width="14" customWidth="1"/>
    <col min="2" max="2" width="27.77734375" customWidth="1"/>
    <col min="3" max="3" width="25.44140625" customWidth="1"/>
    <col min="4" max="4" width="23.77734375" customWidth="1"/>
    <col min="5" max="5" width="23.21875" customWidth="1"/>
    <col min="6" max="6" width="16.5546875" customWidth="1"/>
    <col min="7" max="10" width="14" customWidth="1"/>
    <col min="11" max="11" width="35" customWidth="1"/>
  </cols>
  <sheetData>
    <row r="1" spans="1:11" ht="16.8">
      <c r="A1" s="62" t="s">
        <v>249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15" customHeight="1">
      <c r="A2" s="68" t="s">
        <v>250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16.8">
      <c r="A3" s="69" t="s">
        <v>251</v>
      </c>
      <c r="B3" s="69"/>
      <c r="C3" s="69"/>
      <c r="D3" s="69"/>
      <c r="E3" s="69"/>
    </row>
    <row r="4" spans="1:11">
      <c r="A4" s="17" t="s">
        <v>252</v>
      </c>
      <c r="B4" s="17" t="s">
        <v>253</v>
      </c>
      <c r="C4" s="17" t="s">
        <v>4</v>
      </c>
      <c r="D4" s="17" t="s">
        <v>8</v>
      </c>
      <c r="E4" s="17" t="s">
        <v>254</v>
      </c>
    </row>
    <row r="5" spans="1:11">
      <c r="A5" s="4" t="s">
        <v>255</v>
      </c>
      <c r="B5" s="4" t="s">
        <v>256</v>
      </c>
      <c r="C5" s="4" t="s">
        <v>27</v>
      </c>
      <c r="D5" s="5">
        <v>1299.99</v>
      </c>
      <c r="E5" s="4">
        <v>45</v>
      </c>
    </row>
    <row r="6" spans="1:11">
      <c r="A6" s="2" t="s">
        <v>257</v>
      </c>
      <c r="B6" s="2" t="s">
        <v>258</v>
      </c>
      <c r="C6" s="2" t="s">
        <v>14</v>
      </c>
      <c r="D6" s="3">
        <v>29.99</v>
      </c>
      <c r="E6" s="2">
        <v>200</v>
      </c>
    </row>
    <row r="7" spans="1:11">
      <c r="A7" s="4" t="s">
        <v>259</v>
      </c>
      <c r="B7" s="4" t="s">
        <v>260</v>
      </c>
      <c r="C7" s="4" t="s">
        <v>14</v>
      </c>
      <c r="D7" s="5">
        <v>89.99</v>
      </c>
      <c r="E7" s="4">
        <v>150</v>
      </c>
    </row>
    <row r="8" spans="1:11">
      <c r="A8" s="2" t="s">
        <v>261</v>
      </c>
      <c r="B8" s="2" t="s">
        <v>262</v>
      </c>
      <c r="C8" s="2" t="s">
        <v>27</v>
      </c>
      <c r="D8" s="3">
        <v>449.99</v>
      </c>
      <c r="E8" s="2">
        <v>60</v>
      </c>
    </row>
    <row r="9" spans="1:11">
      <c r="A9" s="4" t="s">
        <v>263</v>
      </c>
      <c r="B9" s="4" t="s">
        <v>264</v>
      </c>
      <c r="C9" s="4" t="s">
        <v>14</v>
      </c>
      <c r="D9" s="5">
        <v>49.99</v>
      </c>
      <c r="E9" s="4">
        <v>300</v>
      </c>
    </row>
    <row r="10" spans="1:11">
      <c r="A10" s="2" t="s">
        <v>265</v>
      </c>
      <c r="B10" s="2" t="s">
        <v>266</v>
      </c>
      <c r="C10" s="2" t="s">
        <v>14</v>
      </c>
      <c r="D10" s="3">
        <v>79.989999999999995</v>
      </c>
      <c r="E10" s="2">
        <v>120</v>
      </c>
    </row>
    <row r="11" spans="1:11">
      <c r="A11" s="4" t="s">
        <v>267</v>
      </c>
      <c r="B11" s="4" t="s">
        <v>268</v>
      </c>
      <c r="C11" s="4" t="s">
        <v>36</v>
      </c>
      <c r="D11" s="5">
        <v>129.99</v>
      </c>
      <c r="E11" s="4">
        <v>80</v>
      </c>
    </row>
    <row r="12" spans="1:11">
      <c r="A12" s="2" t="s">
        <v>269</v>
      </c>
      <c r="B12" s="2" t="s">
        <v>270</v>
      </c>
      <c r="C12" s="2" t="s">
        <v>271</v>
      </c>
      <c r="D12" s="3">
        <v>119.99</v>
      </c>
      <c r="E12" s="2">
        <v>95</v>
      </c>
    </row>
    <row r="13" spans="1:11">
      <c r="A13" s="4" t="s">
        <v>272</v>
      </c>
      <c r="B13" s="4" t="s">
        <v>273</v>
      </c>
      <c r="C13" s="4" t="s">
        <v>27</v>
      </c>
      <c r="D13" s="5">
        <v>599.99</v>
      </c>
      <c r="E13" s="4">
        <v>40</v>
      </c>
    </row>
    <row r="14" spans="1:11">
      <c r="A14" s="2" t="s">
        <v>274</v>
      </c>
      <c r="B14" s="2" t="s">
        <v>275</v>
      </c>
      <c r="C14" s="2" t="s">
        <v>27</v>
      </c>
      <c r="D14" s="3">
        <v>349.99</v>
      </c>
      <c r="E14" s="2">
        <v>30</v>
      </c>
    </row>
    <row r="16" spans="1:11" ht="16.8">
      <c r="A16" s="70" t="s">
        <v>276</v>
      </c>
      <c r="B16" s="70"/>
      <c r="C16" s="70"/>
      <c r="D16" s="70"/>
      <c r="E16" s="70"/>
      <c r="F16" s="70"/>
      <c r="G16" s="70"/>
      <c r="H16" s="70"/>
    </row>
    <row r="17" spans="1:11">
      <c r="A17" s="18" t="s">
        <v>723</v>
      </c>
      <c r="B17" s="19">
        <v>1</v>
      </c>
      <c r="C17" s="19">
        <v>10</v>
      </c>
      <c r="D17" s="19">
        <v>25</v>
      </c>
      <c r="E17" s="19">
        <v>50</v>
      </c>
      <c r="F17" s="19">
        <v>100</v>
      </c>
      <c r="G17" s="19">
        <v>200</v>
      </c>
      <c r="H17" s="19">
        <v>500</v>
      </c>
    </row>
    <row r="18" spans="1:11">
      <c r="A18" s="18" t="s">
        <v>724</v>
      </c>
      <c r="B18" s="20" t="s">
        <v>277</v>
      </c>
      <c r="C18" s="20" t="s">
        <v>278</v>
      </c>
      <c r="D18" s="20" t="s">
        <v>279</v>
      </c>
      <c r="E18" s="20" t="s">
        <v>280</v>
      </c>
      <c r="F18" s="20" t="s">
        <v>281</v>
      </c>
      <c r="G18" s="20" t="s">
        <v>282</v>
      </c>
      <c r="H18" s="20" t="s">
        <v>283</v>
      </c>
    </row>
    <row r="20" spans="1:11" ht="16.8">
      <c r="A20" s="67" t="s">
        <v>284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</row>
    <row r="21" spans="1:11" ht="34.5" customHeight="1">
      <c r="A21" s="21" t="s">
        <v>285</v>
      </c>
      <c r="B21" s="21" t="s">
        <v>252</v>
      </c>
      <c r="C21" s="21" t="s">
        <v>286</v>
      </c>
      <c r="D21" s="21" t="s">
        <v>287</v>
      </c>
      <c r="E21" s="21" t="s">
        <v>288</v>
      </c>
      <c r="F21" s="21" t="s">
        <v>289</v>
      </c>
      <c r="G21" s="21" t="s">
        <v>290</v>
      </c>
      <c r="H21" s="21" t="s">
        <v>291</v>
      </c>
      <c r="I21" s="21" t="s">
        <v>292</v>
      </c>
      <c r="J21" s="21" t="s">
        <v>293</v>
      </c>
    </row>
    <row r="22" spans="1:11">
      <c r="A22" s="22" t="s">
        <v>294</v>
      </c>
      <c r="B22" s="22" t="s">
        <v>259</v>
      </c>
      <c r="C22" s="22">
        <v>5</v>
      </c>
      <c r="D22" s="23">
        <f>VLOOKUP(B22,$A$5:$E$14,4,FALSE)</f>
        <v>89.99</v>
      </c>
      <c r="E22" s="23" t="str">
        <f>VLOOKUP(B22,$A$4:$E$14,2,FALSE)</f>
        <v>Mechanical Keyboard</v>
      </c>
      <c r="F22" s="23" t="str">
        <f>VLOOKUP(B22,$A$4:$E$14,3,FALSE)</f>
        <v>Accessories</v>
      </c>
      <c r="G22" s="23">
        <f>C22*D22</f>
        <v>449.95</v>
      </c>
      <c r="H22" s="23" t="str">
        <f>HLOOKUP(C22,$B$17:$H$18,2,TRUE)</f>
        <v>0%</v>
      </c>
      <c r="I22" s="23">
        <f>G22*H22</f>
        <v>0</v>
      </c>
      <c r="J22" s="23">
        <f>G22-I22</f>
        <v>449.95</v>
      </c>
    </row>
    <row r="23" spans="1:11">
      <c r="A23" s="24" t="s">
        <v>295</v>
      </c>
      <c r="B23" s="24" t="s">
        <v>255</v>
      </c>
      <c r="C23" s="24">
        <v>2</v>
      </c>
      <c r="D23" s="23">
        <f t="shared" ref="D23:D31" si="0">VLOOKUP(B23,$A$5:$E$14,4,FALSE)</f>
        <v>1299.99</v>
      </c>
      <c r="E23" s="23" t="str">
        <f t="shared" ref="E23:E31" si="1">VLOOKUP(B23,$A$4:$E$14,2,FALSE)</f>
        <v>Laptop Pro</v>
      </c>
      <c r="F23" s="23" t="str">
        <f t="shared" ref="F23:F31" si="2">VLOOKUP(B23,$A$4:$E$14,3,FALSE)</f>
        <v>Electronics</v>
      </c>
      <c r="G23" s="23">
        <f t="shared" ref="G23:G31" si="3">C23*D23</f>
        <v>2599.98</v>
      </c>
      <c r="H23" s="23" t="str">
        <f t="shared" ref="H23:H31" si="4">HLOOKUP(C23,$B$17:$H$18,2,TRUE)</f>
        <v>0%</v>
      </c>
      <c r="I23" s="23">
        <f t="shared" ref="I23:I31" si="5">G23*H23</f>
        <v>0</v>
      </c>
      <c r="J23" s="23">
        <f t="shared" ref="J23:J31" si="6">G23-I23</f>
        <v>2599.98</v>
      </c>
    </row>
    <row r="24" spans="1:11">
      <c r="A24" s="22" t="s">
        <v>296</v>
      </c>
      <c r="B24" s="22" t="s">
        <v>267</v>
      </c>
      <c r="C24" s="22">
        <v>12</v>
      </c>
      <c r="D24" s="23">
        <f t="shared" si="0"/>
        <v>129.99</v>
      </c>
      <c r="E24" s="23" t="str">
        <f t="shared" si="1"/>
        <v>Gaming Headset</v>
      </c>
      <c r="F24" s="23" t="str">
        <f t="shared" si="2"/>
        <v>Audio</v>
      </c>
      <c r="G24" s="23">
        <f t="shared" si="3"/>
        <v>1559.88</v>
      </c>
      <c r="H24" s="23" t="str">
        <f t="shared" si="4"/>
        <v>2%</v>
      </c>
      <c r="I24" s="23">
        <f t="shared" si="5"/>
        <v>31.197600000000001</v>
      </c>
      <c r="J24" s="23">
        <f t="shared" si="6"/>
        <v>1528.6824000000001</v>
      </c>
    </row>
    <row r="25" spans="1:11">
      <c r="A25" s="24" t="s">
        <v>297</v>
      </c>
      <c r="B25" s="24" t="s">
        <v>261</v>
      </c>
      <c r="C25" s="24">
        <v>1</v>
      </c>
      <c r="D25" s="23">
        <f t="shared" si="0"/>
        <v>449.99</v>
      </c>
      <c r="E25" s="23" t="str">
        <f t="shared" si="1"/>
        <v>4K Monitor</v>
      </c>
      <c r="F25" s="23" t="str">
        <f t="shared" si="2"/>
        <v>Electronics</v>
      </c>
      <c r="G25" s="23">
        <f t="shared" si="3"/>
        <v>449.99</v>
      </c>
      <c r="H25" s="23" t="str">
        <f t="shared" si="4"/>
        <v>0%</v>
      </c>
      <c r="I25" s="23">
        <f t="shared" si="5"/>
        <v>0</v>
      </c>
      <c r="J25" s="23">
        <f t="shared" si="6"/>
        <v>449.99</v>
      </c>
    </row>
    <row r="26" spans="1:11">
      <c r="A26" s="22" t="s">
        <v>298</v>
      </c>
      <c r="B26" s="22" t="s">
        <v>257</v>
      </c>
      <c r="C26" s="22">
        <v>55</v>
      </c>
      <c r="D26" s="23">
        <f t="shared" si="0"/>
        <v>29.99</v>
      </c>
      <c r="E26" s="23" t="str">
        <f t="shared" si="1"/>
        <v>Wireless Mouse</v>
      </c>
      <c r="F26" s="23" t="str">
        <f t="shared" si="2"/>
        <v>Accessories</v>
      </c>
      <c r="G26" s="23">
        <f t="shared" si="3"/>
        <v>1649.4499999999998</v>
      </c>
      <c r="H26" s="23" t="str">
        <f t="shared" si="4"/>
        <v>8%</v>
      </c>
      <c r="I26" s="23">
        <f t="shared" si="5"/>
        <v>131.95599999999999</v>
      </c>
      <c r="J26" s="23">
        <f t="shared" si="6"/>
        <v>1517.4939999999999</v>
      </c>
    </row>
    <row r="27" spans="1:11">
      <c r="A27" s="24" t="s">
        <v>299</v>
      </c>
      <c r="B27" s="24" t="s">
        <v>269</v>
      </c>
      <c r="C27" s="24">
        <v>30</v>
      </c>
      <c r="D27" s="23">
        <f t="shared" si="0"/>
        <v>119.99</v>
      </c>
      <c r="E27" s="23" t="str">
        <f t="shared" si="1"/>
        <v>External SSD</v>
      </c>
      <c r="F27" s="23" t="str">
        <f t="shared" si="2"/>
        <v>Storage</v>
      </c>
      <c r="G27" s="23">
        <f t="shared" si="3"/>
        <v>3599.7</v>
      </c>
      <c r="H27" s="23" t="str">
        <f t="shared" si="4"/>
        <v>5%</v>
      </c>
      <c r="I27" s="23">
        <f t="shared" si="5"/>
        <v>179.98500000000001</v>
      </c>
      <c r="J27" s="23">
        <f t="shared" si="6"/>
        <v>3419.7149999999997</v>
      </c>
    </row>
    <row r="28" spans="1:11">
      <c r="A28" s="22" t="s">
        <v>300</v>
      </c>
      <c r="B28" s="22" t="s">
        <v>263</v>
      </c>
      <c r="C28" s="22">
        <v>110</v>
      </c>
      <c r="D28" s="23">
        <f t="shared" si="0"/>
        <v>49.99</v>
      </c>
      <c r="E28" s="23" t="str">
        <f t="shared" si="1"/>
        <v>USB-C Hub</v>
      </c>
      <c r="F28" s="23" t="str">
        <f t="shared" si="2"/>
        <v>Accessories</v>
      </c>
      <c r="G28" s="23">
        <f t="shared" si="3"/>
        <v>5498.9000000000005</v>
      </c>
      <c r="H28" s="23" t="str">
        <f t="shared" si="4"/>
        <v>12%</v>
      </c>
      <c r="I28" s="23">
        <f t="shared" si="5"/>
        <v>659.86800000000005</v>
      </c>
      <c r="J28" s="23">
        <f t="shared" si="6"/>
        <v>4839.0320000000002</v>
      </c>
    </row>
    <row r="29" spans="1:11">
      <c r="A29" s="24" t="s">
        <v>301</v>
      </c>
      <c r="B29" s="24" t="s">
        <v>272</v>
      </c>
      <c r="C29" s="24">
        <v>8</v>
      </c>
      <c r="D29" s="23">
        <f t="shared" si="0"/>
        <v>599.99</v>
      </c>
      <c r="E29" s="23" t="str">
        <f t="shared" si="1"/>
        <v>Tablet Air</v>
      </c>
      <c r="F29" s="23" t="str">
        <f t="shared" si="2"/>
        <v>Electronics</v>
      </c>
      <c r="G29" s="23">
        <f t="shared" si="3"/>
        <v>4799.92</v>
      </c>
      <c r="H29" s="23" t="str">
        <f t="shared" si="4"/>
        <v>0%</v>
      </c>
      <c r="I29" s="23">
        <f t="shared" si="5"/>
        <v>0</v>
      </c>
      <c r="J29" s="23">
        <f t="shared" si="6"/>
        <v>4799.92</v>
      </c>
    </row>
    <row r="30" spans="1:11">
      <c r="A30" s="22" t="s">
        <v>302</v>
      </c>
      <c r="B30" s="22" t="s">
        <v>265</v>
      </c>
      <c r="C30" s="22">
        <v>250</v>
      </c>
      <c r="D30" s="23">
        <f t="shared" si="0"/>
        <v>79.989999999999995</v>
      </c>
      <c r="E30" s="23" t="str">
        <f t="shared" si="1"/>
        <v>Webcam HD</v>
      </c>
      <c r="F30" s="23" t="str">
        <f t="shared" si="2"/>
        <v>Accessories</v>
      </c>
      <c r="G30" s="23">
        <f t="shared" si="3"/>
        <v>19997.5</v>
      </c>
      <c r="H30" s="23" t="str">
        <f t="shared" si="4"/>
        <v>15%</v>
      </c>
      <c r="I30" s="23">
        <f t="shared" si="5"/>
        <v>2999.625</v>
      </c>
      <c r="J30" s="23">
        <f t="shared" si="6"/>
        <v>16997.875</v>
      </c>
    </row>
    <row r="31" spans="1:11">
      <c r="A31" s="24" t="s">
        <v>303</v>
      </c>
      <c r="B31" s="24" t="s">
        <v>274</v>
      </c>
      <c r="C31" s="24">
        <v>3</v>
      </c>
      <c r="D31" s="23">
        <f t="shared" si="0"/>
        <v>349.99</v>
      </c>
      <c r="E31" s="23" t="str">
        <f t="shared" si="1"/>
        <v>Printer Laser</v>
      </c>
      <c r="F31" s="23" t="str">
        <f t="shared" si="2"/>
        <v>Electronics</v>
      </c>
      <c r="G31" s="23">
        <f t="shared" si="3"/>
        <v>1049.97</v>
      </c>
      <c r="H31" s="23" t="str">
        <f t="shared" si="4"/>
        <v>0%</v>
      </c>
      <c r="I31" s="23">
        <f t="shared" si="5"/>
        <v>0</v>
      </c>
      <c r="J31" s="23">
        <f t="shared" si="6"/>
        <v>1049.97</v>
      </c>
    </row>
    <row r="34" spans="1:11" ht="16.8">
      <c r="A34" s="67" t="s">
        <v>304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</row>
    <row r="35" spans="1:11">
      <c r="A35" s="25" t="s">
        <v>99</v>
      </c>
      <c r="B35" s="25" t="s">
        <v>100</v>
      </c>
      <c r="C35" s="25" t="s">
        <v>305</v>
      </c>
      <c r="D35" s="25" t="s">
        <v>102</v>
      </c>
    </row>
    <row r="36" spans="1:11" ht="24.75" customHeight="1">
      <c r="A36" s="26" t="s">
        <v>103</v>
      </c>
      <c r="B36" s="16" t="s">
        <v>306</v>
      </c>
      <c r="C36">
        <f>VLOOKUP(B22,$A$5:$E$14,4,FALSE)</f>
        <v>89.99</v>
      </c>
      <c r="D36" s="10" t="s">
        <v>307</v>
      </c>
    </row>
    <row r="37" spans="1:11" ht="24.75" customHeight="1">
      <c r="A37" s="26" t="s">
        <v>106</v>
      </c>
      <c r="B37" s="16" t="s">
        <v>308</v>
      </c>
      <c r="C37" s="27" t="str">
        <f>VLOOKUP(B22,$A$5:$E$14,2,FALSE)</f>
        <v>Mechanical Keyboard</v>
      </c>
      <c r="D37" s="10" t="s">
        <v>309</v>
      </c>
    </row>
    <row r="38" spans="1:11" ht="24.75" customHeight="1">
      <c r="A38" s="26" t="s">
        <v>109</v>
      </c>
      <c r="B38" s="16" t="s">
        <v>310</v>
      </c>
      <c r="C38" t="str">
        <f>VLOOKUP(B22,$A$5:$E$14,3,FALSE)</f>
        <v>Accessories</v>
      </c>
      <c r="D38" s="10" t="s">
        <v>311</v>
      </c>
    </row>
    <row r="39" spans="1:11" ht="24.75" customHeight="1">
      <c r="A39" s="26" t="s">
        <v>112</v>
      </c>
      <c r="B39" s="16" t="s">
        <v>312</v>
      </c>
      <c r="C39" s="27">
        <f>C22*D22</f>
        <v>449.95</v>
      </c>
      <c r="D39" s="10" t="s">
        <v>313</v>
      </c>
    </row>
    <row r="40" spans="1:11" ht="24.75" customHeight="1">
      <c r="A40" s="26" t="s">
        <v>115</v>
      </c>
      <c r="B40" s="16" t="s">
        <v>314</v>
      </c>
      <c r="C40" s="27" t="str">
        <f>HLOOKUP(C22,$B$17:$H$18,2,TRUE)</f>
        <v>0%</v>
      </c>
      <c r="D40" s="10" t="s">
        <v>315</v>
      </c>
    </row>
    <row r="41" spans="1:11" ht="24.75" customHeight="1">
      <c r="A41" s="26" t="s">
        <v>118</v>
      </c>
      <c r="B41" s="16" t="s">
        <v>316</v>
      </c>
      <c r="C41" s="27">
        <f>G22*H22</f>
        <v>0</v>
      </c>
      <c r="D41" s="10" t="s">
        <v>317</v>
      </c>
    </row>
    <row r="42" spans="1:11" ht="24.75" customHeight="1">
      <c r="A42" s="26" t="s">
        <v>121</v>
      </c>
      <c r="B42" s="16" t="s">
        <v>318</v>
      </c>
      <c r="C42" s="27">
        <f>G22-I22</f>
        <v>449.95</v>
      </c>
      <c r="D42" s="10" t="s">
        <v>319</v>
      </c>
    </row>
    <row r="43" spans="1:11" ht="24.75" customHeight="1">
      <c r="A43" s="26" t="s">
        <v>124</v>
      </c>
      <c r="B43" s="16" t="s">
        <v>320</v>
      </c>
      <c r="C43" s="27">
        <f>MATCH("P005",$A$5:$A$14,0)</f>
        <v>5</v>
      </c>
      <c r="D43" s="10" t="s">
        <v>321</v>
      </c>
    </row>
    <row r="44" spans="1:11" ht="24.75" customHeight="1">
      <c r="A44" s="26" t="s">
        <v>127</v>
      </c>
      <c r="B44" s="16" t="s">
        <v>322</v>
      </c>
      <c r="C44" s="27">
        <f>INDEX($D$5:$D$14,MATCH("P009",$A$5:$A$14,0))</f>
        <v>599.99</v>
      </c>
      <c r="D44" s="10" t="s">
        <v>323</v>
      </c>
    </row>
    <row r="45" spans="1:11" ht="24.75" customHeight="1">
      <c r="A45" s="26" t="s">
        <v>130</v>
      </c>
      <c r="B45" s="16" t="s">
        <v>324</v>
      </c>
      <c r="C45" t="str">
        <f>INDEX($B$5:$B$14,MATCH(MAX($E$5:$E$14),$E$5:$E$14,0))</f>
        <v>USB-C Hub</v>
      </c>
      <c r="D45" s="10" t="s">
        <v>325</v>
      </c>
    </row>
  </sheetData>
  <mergeCells count="6">
    <mergeCell ref="A34:K34"/>
    <mergeCell ref="A1:K1"/>
    <mergeCell ref="A2:K2"/>
    <mergeCell ref="A3:E3"/>
    <mergeCell ref="A16:H16"/>
    <mergeCell ref="A20:K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62728"/>
  </sheetPr>
  <dimension ref="A1:J46"/>
  <sheetViews>
    <sheetView topLeftCell="B1" zoomScale="59" zoomScaleNormal="100" workbookViewId="0">
      <pane ySplit="3" topLeftCell="A16" activePane="bottomLeft" state="frozen"/>
      <selection pane="bottomLeft" activeCell="C47" sqref="C47"/>
    </sheetView>
  </sheetViews>
  <sheetFormatPr defaultColWidth="8.6640625" defaultRowHeight="14.4"/>
  <cols>
    <col min="1" max="1" width="14" customWidth="1"/>
    <col min="2" max="2" width="20" customWidth="1"/>
    <col min="3" max="3" width="14" customWidth="1"/>
    <col min="4" max="4" width="16.33203125" customWidth="1"/>
    <col min="5" max="5" width="14" customWidth="1"/>
    <col min="6" max="6" width="16" customWidth="1"/>
    <col min="7" max="8" width="18" customWidth="1"/>
    <col min="9" max="10" width="22" customWidth="1"/>
  </cols>
  <sheetData>
    <row r="1" spans="1:10" ht="16.8">
      <c r="A1" s="62" t="s">
        <v>326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15" customHeight="1">
      <c r="A2" s="71" t="s">
        <v>327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28" t="s">
        <v>328</v>
      </c>
      <c r="B3" s="28" t="s">
        <v>329</v>
      </c>
      <c r="C3" s="28" t="s">
        <v>330</v>
      </c>
      <c r="D3" s="28" t="s">
        <v>331</v>
      </c>
      <c r="E3" s="28" t="s">
        <v>332</v>
      </c>
      <c r="F3" s="28" t="s">
        <v>333</v>
      </c>
      <c r="G3" s="28" t="s">
        <v>334</v>
      </c>
      <c r="H3" s="28" t="s">
        <v>335</v>
      </c>
      <c r="I3" s="28" t="s">
        <v>336</v>
      </c>
      <c r="J3" s="28" t="s">
        <v>149</v>
      </c>
    </row>
    <row r="4" spans="1:10">
      <c r="A4" s="29" t="s">
        <v>337</v>
      </c>
      <c r="B4" s="22" t="s">
        <v>338</v>
      </c>
      <c r="C4" s="30">
        <v>60</v>
      </c>
      <c r="D4" s="30">
        <v>49</v>
      </c>
      <c r="E4" s="30">
        <v>65</v>
      </c>
      <c r="F4" s="30">
        <v>81</v>
      </c>
      <c r="G4" s="31">
        <f>SUM(C4:F4)</f>
        <v>255</v>
      </c>
      <c r="H4" s="31">
        <f>AVERAGE(C4:F4)</f>
        <v>63.75</v>
      </c>
      <c r="I4" s="31" t="str">
        <f>IF(H4&gt;=90,"A",IF(H4&gt;=75,"B",IF(H4&gt;=60,"C",IF(H4&gt;=50,"D","F"))))</f>
        <v>C</v>
      </c>
      <c r="J4" s="31" t="str">
        <f t="shared" ref="J4:J10" si="0">IF(AND(C4&gt;=45,D4&gt;=45,E4&gt;=45,F4&gt;=45),"Pass","Fail")</f>
        <v>Pass</v>
      </c>
    </row>
    <row r="5" spans="1:10">
      <c r="A5" s="32" t="s">
        <v>339</v>
      </c>
      <c r="B5" s="24" t="s">
        <v>340</v>
      </c>
      <c r="C5" s="33">
        <v>43</v>
      </c>
      <c r="D5" s="33">
        <v>44</v>
      </c>
      <c r="E5" s="33">
        <v>92</v>
      </c>
      <c r="F5" s="33">
        <v>74</v>
      </c>
      <c r="G5" s="31">
        <f t="shared" ref="G5:G23" si="1">SUM(C5:F5)</f>
        <v>253</v>
      </c>
      <c r="H5" s="31">
        <f t="shared" ref="H5:H23" si="2">AVERAGE(C5:F5)</f>
        <v>63.25</v>
      </c>
      <c r="I5" s="31" t="str">
        <f t="shared" ref="I5:I23" si="3">IF(H5&gt;=90,"A",IF(H5&gt;=75,"B",IF(H5&gt;=60,"C",IF(H5&gt;=50,"D","F"))))</f>
        <v>C</v>
      </c>
      <c r="J5" s="31" t="str">
        <f t="shared" si="0"/>
        <v>Fail</v>
      </c>
    </row>
    <row r="6" spans="1:10">
      <c r="A6" s="29" t="s">
        <v>341</v>
      </c>
      <c r="B6" s="22" t="s">
        <v>342</v>
      </c>
      <c r="C6" s="30">
        <v>46</v>
      </c>
      <c r="D6" s="30">
        <v>63</v>
      </c>
      <c r="E6" s="30">
        <v>77</v>
      </c>
      <c r="F6" s="30">
        <v>43</v>
      </c>
      <c r="G6" s="31">
        <f t="shared" si="1"/>
        <v>229</v>
      </c>
      <c r="H6" s="31">
        <f t="shared" si="2"/>
        <v>57.25</v>
      </c>
      <c r="I6" s="31" t="str">
        <f t="shared" si="3"/>
        <v>D</v>
      </c>
      <c r="J6" s="31" t="str">
        <f t="shared" si="0"/>
        <v>Fail</v>
      </c>
    </row>
    <row r="7" spans="1:10">
      <c r="A7" s="32" t="s">
        <v>343</v>
      </c>
      <c r="B7" s="24" t="s">
        <v>344</v>
      </c>
      <c r="C7" s="33">
        <v>98</v>
      </c>
      <c r="D7" s="33">
        <v>72</v>
      </c>
      <c r="E7" s="33">
        <v>53</v>
      </c>
      <c r="F7" s="33">
        <v>42</v>
      </c>
      <c r="G7" s="31">
        <f t="shared" si="1"/>
        <v>265</v>
      </c>
      <c r="H7" s="31">
        <f t="shared" si="2"/>
        <v>66.25</v>
      </c>
      <c r="I7" s="31" t="str">
        <f t="shared" si="3"/>
        <v>C</v>
      </c>
      <c r="J7" s="31" t="str">
        <f t="shared" si="0"/>
        <v>Fail</v>
      </c>
    </row>
    <row r="8" spans="1:10">
      <c r="A8" s="29" t="s">
        <v>345</v>
      </c>
      <c r="B8" s="22" t="s">
        <v>346</v>
      </c>
      <c r="C8" s="30">
        <v>45</v>
      </c>
      <c r="D8" s="30">
        <v>67</v>
      </c>
      <c r="E8" s="30">
        <v>66</v>
      </c>
      <c r="F8" s="30">
        <v>44</v>
      </c>
      <c r="G8" s="31">
        <f t="shared" si="1"/>
        <v>222</v>
      </c>
      <c r="H8" s="31">
        <f t="shared" si="2"/>
        <v>55.5</v>
      </c>
      <c r="I8" s="31" t="str">
        <f t="shared" si="3"/>
        <v>D</v>
      </c>
      <c r="J8" s="31" t="str">
        <f t="shared" si="0"/>
        <v>Fail</v>
      </c>
    </row>
    <row r="9" spans="1:10">
      <c r="A9" s="32" t="s">
        <v>347</v>
      </c>
      <c r="B9" s="24" t="s">
        <v>348</v>
      </c>
      <c r="C9" s="33">
        <v>55</v>
      </c>
      <c r="D9" s="33">
        <v>45</v>
      </c>
      <c r="E9" s="33">
        <v>75</v>
      </c>
      <c r="F9" s="33">
        <v>67</v>
      </c>
      <c r="G9" s="31">
        <f t="shared" si="1"/>
        <v>242</v>
      </c>
      <c r="H9" s="31">
        <f t="shared" si="2"/>
        <v>60.5</v>
      </c>
      <c r="I9" s="31" t="str">
        <f t="shared" si="3"/>
        <v>C</v>
      </c>
      <c r="J9" s="31" t="str">
        <f t="shared" si="0"/>
        <v>Pass</v>
      </c>
    </row>
    <row r="10" spans="1:10">
      <c r="A10" s="29" t="s">
        <v>349</v>
      </c>
      <c r="B10" s="22" t="s">
        <v>350</v>
      </c>
      <c r="C10" s="30">
        <v>43</v>
      </c>
      <c r="D10" s="30">
        <v>92</v>
      </c>
      <c r="E10" s="30">
        <v>76</v>
      </c>
      <c r="F10" s="30">
        <v>47</v>
      </c>
      <c r="G10" s="31">
        <f t="shared" si="1"/>
        <v>258</v>
      </c>
      <c r="H10" s="31">
        <f t="shared" si="2"/>
        <v>64.5</v>
      </c>
      <c r="I10" s="31" t="str">
        <f t="shared" si="3"/>
        <v>C</v>
      </c>
      <c r="J10" s="31" t="str">
        <f t="shared" si="0"/>
        <v>Fail</v>
      </c>
    </row>
    <row r="11" spans="1:10" ht="14.4" customHeight="1">
      <c r="A11" s="32" t="s">
        <v>351</v>
      </c>
      <c r="B11" s="24" t="s">
        <v>352</v>
      </c>
      <c r="C11" s="33">
        <v>54</v>
      </c>
      <c r="D11" s="33">
        <v>80</v>
      </c>
      <c r="E11" s="33">
        <v>80</v>
      </c>
      <c r="F11" s="33">
        <v>77</v>
      </c>
      <c r="G11" s="31">
        <f t="shared" si="1"/>
        <v>291</v>
      </c>
      <c r="H11" s="31">
        <f t="shared" si="2"/>
        <v>72.75</v>
      </c>
      <c r="I11" s="31" t="str">
        <f t="shared" si="3"/>
        <v>C</v>
      </c>
      <c r="J11" s="31" t="str">
        <f>IF(AND(C11&gt;=45,D11&gt;=45,E11&gt;=45,F11&gt;=45),"Pass","Fail")</f>
        <v>Pass</v>
      </c>
    </row>
    <row r="12" spans="1:10">
      <c r="A12" s="29" t="s">
        <v>353</v>
      </c>
      <c r="B12" s="22" t="s">
        <v>354</v>
      </c>
      <c r="C12" s="30">
        <v>43</v>
      </c>
      <c r="D12" s="30">
        <v>76</v>
      </c>
      <c r="E12" s="30">
        <v>77</v>
      </c>
      <c r="F12" s="30">
        <v>65</v>
      </c>
      <c r="G12" s="31">
        <f t="shared" si="1"/>
        <v>261</v>
      </c>
      <c r="H12" s="31">
        <f t="shared" si="2"/>
        <v>65.25</v>
      </c>
      <c r="I12" s="31" t="str">
        <f t="shared" si="3"/>
        <v>C</v>
      </c>
      <c r="J12" s="31" t="str">
        <f t="shared" ref="J12:J23" si="4">IF(AND(C12&gt;=45,D12&gt;=45,E12&gt;=45,F12&gt;=45),"Pass","Fail")</f>
        <v>Fail</v>
      </c>
    </row>
    <row r="13" spans="1:10">
      <c r="A13" s="32" t="s">
        <v>355</v>
      </c>
      <c r="B13" s="24" t="s">
        <v>356</v>
      </c>
      <c r="C13" s="33">
        <v>43</v>
      </c>
      <c r="D13" s="33">
        <v>54</v>
      </c>
      <c r="E13" s="33">
        <v>42</v>
      </c>
      <c r="F13" s="33">
        <v>75</v>
      </c>
      <c r="G13" s="31">
        <f t="shared" si="1"/>
        <v>214</v>
      </c>
      <c r="H13" s="31">
        <f t="shared" si="2"/>
        <v>53.5</v>
      </c>
      <c r="I13" s="31" t="str">
        <f t="shared" si="3"/>
        <v>D</v>
      </c>
      <c r="J13" s="31" t="str">
        <f t="shared" si="4"/>
        <v>Fail</v>
      </c>
    </row>
    <row r="14" spans="1:10">
      <c r="A14" s="29" t="s">
        <v>357</v>
      </c>
      <c r="B14" s="22" t="s">
        <v>358</v>
      </c>
      <c r="C14" s="30">
        <v>94</v>
      </c>
      <c r="D14" s="30">
        <v>48</v>
      </c>
      <c r="E14" s="30">
        <v>58</v>
      </c>
      <c r="F14" s="30">
        <v>66</v>
      </c>
      <c r="G14" s="31">
        <f t="shared" si="1"/>
        <v>266</v>
      </c>
      <c r="H14" s="31">
        <f t="shared" si="2"/>
        <v>66.5</v>
      </c>
      <c r="I14" s="31" t="str">
        <f t="shared" si="3"/>
        <v>C</v>
      </c>
      <c r="J14" s="31" t="str">
        <f t="shared" si="4"/>
        <v>Pass</v>
      </c>
    </row>
    <row r="15" spans="1:10">
      <c r="A15" s="32" t="s">
        <v>359</v>
      </c>
      <c r="B15" s="24" t="s">
        <v>360</v>
      </c>
      <c r="C15" s="33">
        <v>49</v>
      </c>
      <c r="D15" s="33">
        <v>74</v>
      </c>
      <c r="E15" s="33">
        <v>47</v>
      </c>
      <c r="F15" s="33">
        <v>76</v>
      </c>
      <c r="G15" s="31">
        <f t="shared" si="1"/>
        <v>246</v>
      </c>
      <c r="H15" s="31">
        <f t="shared" si="2"/>
        <v>61.5</v>
      </c>
      <c r="I15" s="31" t="str">
        <f t="shared" si="3"/>
        <v>C</v>
      </c>
      <c r="J15" s="31" t="str">
        <f t="shared" si="4"/>
        <v>Pass</v>
      </c>
    </row>
    <row r="16" spans="1:10">
      <c r="A16" s="29" t="s">
        <v>361</v>
      </c>
      <c r="B16" s="22" t="s">
        <v>362</v>
      </c>
      <c r="C16" s="30">
        <v>59</v>
      </c>
      <c r="D16" s="30">
        <v>75</v>
      </c>
      <c r="E16" s="30">
        <v>92</v>
      </c>
      <c r="F16" s="30">
        <v>83</v>
      </c>
      <c r="G16" s="31">
        <f t="shared" si="1"/>
        <v>309</v>
      </c>
      <c r="H16" s="31">
        <f t="shared" si="2"/>
        <v>77.25</v>
      </c>
      <c r="I16" s="31" t="str">
        <f t="shared" si="3"/>
        <v>B</v>
      </c>
      <c r="J16" s="31" t="str">
        <f t="shared" si="4"/>
        <v>Pass</v>
      </c>
    </row>
    <row r="17" spans="1:10">
      <c r="A17" s="32" t="s">
        <v>363</v>
      </c>
      <c r="B17" s="24" t="s">
        <v>364</v>
      </c>
      <c r="C17" s="33">
        <v>51</v>
      </c>
      <c r="D17" s="33">
        <v>46</v>
      </c>
      <c r="E17" s="33">
        <v>77</v>
      </c>
      <c r="F17" s="33">
        <v>76</v>
      </c>
      <c r="G17" s="31">
        <f t="shared" si="1"/>
        <v>250</v>
      </c>
      <c r="H17" s="31">
        <f t="shared" si="2"/>
        <v>62.5</v>
      </c>
      <c r="I17" s="31" t="str">
        <f t="shared" si="3"/>
        <v>C</v>
      </c>
      <c r="J17" s="31" t="str">
        <f t="shared" si="4"/>
        <v>Pass</v>
      </c>
    </row>
    <row r="18" spans="1:10">
      <c r="A18" s="29" t="s">
        <v>365</v>
      </c>
      <c r="B18" s="22" t="s">
        <v>366</v>
      </c>
      <c r="C18" s="30">
        <v>80</v>
      </c>
      <c r="D18" s="30">
        <v>52</v>
      </c>
      <c r="E18" s="30">
        <v>63</v>
      </c>
      <c r="F18" s="30">
        <v>46</v>
      </c>
      <c r="G18" s="31">
        <f t="shared" si="1"/>
        <v>241</v>
      </c>
      <c r="H18" s="31">
        <f t="shared" si="2"/>
        <v>60.25</v>
      </c>
      <c r="I18" s="31" t="str">
        <f t="shared" si="3"/>
        <v>C</v>
      </c>
      <c r="J18" s="31" t="str">
        <f t="shared" si="4"/>
        <v>Pass</v>
      </c>
    </row>
    <row r="19" spans="1:10">
      <c r="A19" s="32" t="s">
        <v>367</v>
      </c>
      <c r="B19" s="24" t="s">
        <v>368</v>
      </c>
      <c r="C19" s="33">
        <v>75</v>
      </c>
      <c r="D19" s="33">
        <v>85</v>
      </c>
      <c r="E19" s="33">
        <v>44</v>
      </c>
      <c r="F19" s="33">
        <v>76</v>
      </c>
      <c r="G19" s="31">
        <f t="shared" si="1"/>
        <v>280</v>
      </c>
      <c r="H19" s="31">
        <f t="shared" si="2"/>
        <v>70</v>
      </c>
      <c r="I19" s="31" t="str">
        <f t="shared" si="3"/>
        <v>C</v>
      </c>
      <c r="J19" s="31" t="str">
        <f t="shared" si="4"/>
        <v>Fail</v>
      </c>
    </row>
    <row r="20" spans="1:10">
      <c r="A20" s="29" t="s">
        <v>369</v>
      </c>
      <c r="B20" s="22" t="s">
        <v>370</v>
      </c>
      <c r="C20" s="30">
        <v>43</v>
      </c>
      <c r="D20" s="30">
        <v>79</v>
      </c>
      <c r="E20" s="30">
        <v>53</v>
      </c>
      <c r="F20" s="30">
        <v>71</v>
      </c>
      <c r="G20" s="31">
        <f t="shared" si="1"/>
        <v>246</v>
      </c>
      <c r="H20" s="31">
        <f t="shared" si="2"/>
        <v>61.5</v>
      </c>
      <c r="I20" s="31" t="str">
        <f t="shared" si="3"/>
        <v>C</v>
      </c>
      <c r="J20" s="31" t="str">
        <f t="shared" si="4"/>
        <v>Fail</v>
      </c>
    </row>
    <row r="21" spans="1:10">
      <c r="A21" s="32" t="s">
        <v>371</v>
      </c>
      <c r="B21" s="24" t="s">
        <v>372</v>
      </c>
      <c r="C21" s="33">
        <v>83</v>
      </c>
      <c r="D21" s="33">
        <v>74</v>
      </c>
      <c r="E21" s="33">
        <v>67</v>
      </c>
      <c r="F21" s="33">
        <v>89</v>
      </c>
      <c r="G21" s="31">
        <f t="shared" si="1"/>
        <v>313</v>
      </c>
      <c r="H21" s="31">
        <f t="shared" si="2"/>
        <v>78.25</v>
      </c>
      <c r="I21" s="31" t="str">
        <f t="shared" si="3"/>
        <v>B</v>
      </c>
      <c r="J21" s="31" t="str">
        <f t="shared" si="4"/>
        <v>Pass</v>
      </c>
    </row>
    <row r="22" spans="1:10">
      <c r="A22" s="29" t="s">
        <v>373</v>
      </c>
      <c r="B22" s="22" t="s">
        <v>374</v>
      </c>
      <c r="C22" s="30">
        <v>60</v>
      </c>
      <c r="D22" s="30">
        <v>69</v>
      </c>
      <c r="E22" s="30">
        <v>77</v>
      </c>
      <c r="F22" s="30">
        <v>99</v>
      </c>
      <c r="G22" s="31">
        <f t="shared" si="1"/>
        <v>305</v>
      </c>
      <c r="H22" s="31">
        <f t="shared" si="2"/>
        <v>76.25</v>
      </c>
      <c r="I22" s="31" t="str">
        <f t="shared" si="3"/>
        <v>B</v>
      </c>
      <c r="J22" s="31" t="str">
        <f t="shared" si="4"/>
        <v>Pass</v>
      </c>
    </row>
    <row r="23" spans="1:10">
      <c r="A23" s="32" t="s">
        <v>375</v>
      </c>
      <c r="B23" s="24" t="s">
        <v>376</v>
      </c>
      <c r="C23" s="33">
        <v>69</v>
      </c>
      <c r="D23" s="33">
        <v>63</v>
      </c>
      <c r="E23" s="33">
        <v>59</v>
      </c>
      <c r="F23" s="33">
        <v>55</v>
      </c>
      <c r="G23" s="31">
        <f t="shared" si="1"/>
        <v>246</v>
      </c>
      <c r="H23" s="31">
        <f t="shared" si="2"/>
        <v>61.5</v>
      </c>
      <c r="I23" s="31" t="str">
        <f t="shared" si="3"/>
        <v>C</v>
      </c>
      <c r="J23" s="31" t="str">
        <f t="shared" si="4"/>
        <v>Pass</v>
      </c>
    </row>
    <row r="24" spans="1:10">
      <c r="J24" s="55"/>
    </row>
    <row r="26" spans="1:10" ht="16.8">
      <c r="A26" s="72" t="s">
        <v>377</v>
      </c>
      <c r="B26" s="72"/>
      <c r="C26" s="72"/>
      <c r="D26" s="72"/>
      <c r="E26" s="72"/>
    </row>
    <row r="27" spans="1:10">
      <c r="A27" s="34" t="s">
        <v>336</v>
      </c>
      <c r="B27" s="34" t="s">
        <v>378</v>
      </c>
    </row>
    <row r="28" spans="1:10">
      <c r="A28" s="35" t="s">
        <v>379</v>
      </c>
      <c r="B28" s="36" t="s">
        <v>380</v>
      </c>
    </row>
    <row r="29" spans="1:10">
      <c r="A29" s="35" t="s">
        <v>381</v>
      </c>
      <c r="B29" s="36" t="s">
        <v>382</v>
      </c>
    </row>
    <row r="30" spans="1:10">
      <c r="A30" s="35" t="s">
        <v>383</v>
      </c>
      <c r="B30" s="36" t="s">
        <v>384</v>
      </c>
    </row>
    <row r="31" spans="1:10">
      <c r="A31" s="35" t="s">
        <v>385</v>
      </c>
      <c r="B31" s="36" t="s">
        <v>386</v>
      </c>
    </row>
    <row r="32" spans="1:10">
      <c r="A32" s="35" t="s">
        <v>387</v>
      </c>
      <c r="B32" s="36" t="s">
        <v>388</v>
      </c>
    </row>
    <row r="33" spans="1:10" ht="16.8">
      <c r="A33" s="72" t="s">
        <v>389</v>
      </c>
      <c r="B33" s="72"/>
      <c r="C33" s="72"/>
      <c r="D33" s="72"/>
      <c r="E33" s="72"/>
      <c r="F33" s="72"/>
      <c r="G33" s="72"/>
      <c r="H33" s="72"/>
      <c r="I33" s="72"/>
      <c r="J33" s="72"/>
    </row>
    <row r="34" spans="1:10">
      <c r="A34" s="25" t="s">
        <v>99</v>
      </c>
      <c r="B34" s="25" t="s">
        <v>222</v>
      </c>
      <c r="C34" s="25" t="s">
        <v>390</v>
      </c>
      <c r="D34" s="25" t="s">
        <v>102</v>
      </c>
    </row>
    <row r="35" spans="1:10" ht="24" customHeight="1">
      <c r="A35" s="26" t="s">
        <v>103</v>
      </c>
      <c r="B35" s="16" t="s">
        <v>391</v>
      </c>
      <c r="C35" s="27">
        <f>G4</f>
        <v>255</v>
      </c>
      <c r="D35" s="10" t="s">
        <v>392</v>
      </c>
    </row>
    <row r="36" spans="1:10" ht="24" customHeight="1">
      <c r="A36" s="26" t="s">
        <v>106</v>
      </c>
      <c r="B36" s="16" t="s">
        <v>393</v>
      </c>
      <c r="C36" s="27">
        <f>H4</f>
        <v>63.75</v>
      </c>
      <c r="D36" s="10" t="s">
        <v>394</v>
      </c>
    </row>
    <row r="37" spans="1:10" ht="24" customHeight="1">
      <c r="A37" s="26" t="s">
        <v>109</v>
      </c>
      <c r="B37" s="16" t="s">
        <v>395</v>
      </c>
      <c r="C37" s="27" t="str">
        <f>I4</f>
        <v>C</v>
      </c>
      <c r="D37" s="10" t="s">
        <v>396</v>
      </c>
    </row>
    <row r="38" spans="1:10" ht="24" customHeight="1">
      <c r="A38" s="26" t="s">
        <v>112</v>
      </c>
      <c r="B38" s="16" t="s">
        <v>397</v>
      </c>
      <c r="C38" s="27" t="str">
        <f>J4</f>
        <v>Pass</v>
      </c>
      <c r="D38" s="10" t="s">
        <v>398</v>
      </c>
    </row>
    <row r="39" spans="1:10" ht="24" customHeight="1">
      <c r="A39" s="26" t="s">
        <v>115</v>
      </c>
      <c r="B39" s="16" t="s">
        <v>399</v>
      </c>
      <c r="C39" s="27">
        <f>COUNTIFS(C4:C23,"&gt;=75",D4:D23,"&gt;=75")</f>
        <v>1</v>
      </c>
      <c r="D39" s="10" t="s">
        <v>400</v>
      </c>
    </row>
    <row r="40" spans="1:10" ht="24" customHeight="1">
      <c r="A40" s="26" t="s">
        <v>118</v>
      </c>
      <c r="B40" s="16" t="s">
        <v>401</v>
      </c>
      <c r="C40" s="27">
        <f>SUMIF(B4:B23,"Pass",J4:J23)</f>
        <v>0</v>
      </c>
      <c r="D40" s="10" t="s">
        <v>402</v>
      </c>
    </row>
    <row r="41" spans="1:10" ht="24" customHeight="1">
      <c r="A41" s="26" t="s">
        <v>121</v>
      </c>
      <c r="B41" s="16" t="s">
        <v>403</v>
      </c>
      <c r="C41" s="27">
        <f>COUNTIF(I4:I23,"A")</f>
        <v>0</v>
      </c>
      <c r="D41" s="10" t="s">
        <v>126</v>
      </c>
    </row>
    <row r="42" spans="1:10" ht="24" customHeight="1">
      <c r="A42" s="26" t="s">
        <v>124</v>
      </c>
      <c r="B42" s="16" t="s">
        <v>404</v>
      </c>
      <c r="C42" s="27">
        <f>AVERAGEIF(I3:I23,"B",C3:C23)</f>
        <v>67.333333333333329</v>
      </c>
      <c r="D42" s="10" t="s">
        <v>129</v>
      </c>
    </row>
    <row r="43" spans="1:10" ht="24" customHeight="1">
      <c r="A43" s="26" t="s">
        <v>127</v>
      </c>
      <c r="B43" s="16" t="s">
        <v>405</v>
      </c>
      <c r="C43" s="27" t="str">
        <f>IF(AND(H4&gt;=50,E4&gt;=50),"Pass","Fail")</f>
        <v>Pass</v>
      </c>
      <c r="D43" s="10" t="s">
        <v>406</v>
      </c>
    </row>
    <row r="44" spans="1:10" ht="24" customHeight="1">
      <c r="A44" s="26" t="s">
        <v>130</v>
      </c>
      <c r="B44" s="16" t="s">
        <v>407</v>
      </c>
      <c r="C44" t="str">
        <f>IF(OR(C4&lt;40,D4&lt;40,E4&lt;40),"Review","OK")</f>
        <v>OK</v>
      </c>
      <c r="D44" s="10" t="s">
        <v>408</v>
      </c>
    </row>
    <row r="45" spans="1:10" ht="24" customHeight="1">
      <c r="A45" s="26" t="s">
        <v>133</v>
      </c>
      <c r="B45" s="16" t="s">
        <v>409</v>
      </c>
      <c r="C45" s="56" t="str">
        <f>IF(E4&gt;=85,"Distinction",IF(E4&gt;=70,"Merit","Pass/Fail"))</f>
        <v>Pass/Fail</v>
      </c>
      <c r="D45" s="10" t="s">
        <v>410</v>
      </c>
    </row>
    <row r="46" spans="1:10" ht="24" customHeight="1">
      <c r="A46" s="26" t="s">
        <v>136</v>
      </c>
      <c r="B46" s="16" t="s">
        <v>411</v>
      </c>
      <c r="C46" s="56">
        <f>COUNTIFS(J4:J23,"Pass",C4:C23,"&gt;=80")</f>
        <v>3</v>
      </c>
      <c r="D46" s="10" t="s">
        <v>412</v>
      </c>
    </row>
  </sheetData>
  <mergeCells count="4">
    <mergeCell ref="A1:J1"/>
    <mergeCell ref="A2:J2"/>
    <mergeCell ref="A26:E26"/>
    <mergeCell ref="A33:J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467BD"/>
  </sheetPr>
  <dimension ref="A1:K44"/>
  <sheetViews>
    <sheetView zoomScale="76" zoomScaleNormal="100" workbookViewId="0">
      <pane ySplit="4" topLeftCell="A5" activePane="bottomLeft" state="frozen"/>
      <selection pane="bottomLeft" activeCell="C45" sqref="C45"/>
    </sheetView>
  </sheetViews>
  <sheetFormatPr defaultColWidth="8.6640625" defaultRowHeight="14.4"/>
  <cols>
    <col min="1" max="1" width="14" customWidth="1"/>
    <col min="2" max="2" width="22" customWidth="1"/>
    <col min="3" max="3" width="16" customWidth="1"/>
    <col min="4" max="6" width="14" customWidth="1"/>
    <col min="7" max="7" width="16" customWidth="1"/>
    <col min="8" max="10" width="20" customWidth="1"/>
    <col min="11" max="11" width="35" customWidth="1"/>
  </cols>
  <sheetData>
    <row r="1" spans="1:11" ht="16.8">
      <c r="A1" s="62" t="s">
        <v>413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15" customHeight="1">
      <c r="A2" s="73" t="s">
        <v>414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3" spans="1:11" ht="16.8">
      <c r="A3" s="74" t="s">
        <v>415</v>
      </c>
      <c r="B3" s="74"/>
      <c r="C3" s="74"/>
      <c r="D3" s="74"/>
      <c r="E3" s="74"/>
      <c r="F3" s="74"/>
    </row>
    <row r="4" spans="1:11">
      <c r="A4" s="37" t="s">
        <v>416</v>
      </c>
      <c r="B4" s="37" t="s">
        <v>417</v>
      </c>
      <c r="C4" s="37" t="s">
        <v>4</v>
      </c>
      <c r="D4" s="37" t="s">
        <v>418</v>
      </c>
      <c r="E4" s="37" t="s">
        <v>419</v>
      </c>
      <c r="F4" s="37" t="s">
        <v>420</v>
      </c>
    </row>
    <row r="5" spans="1:11">
      <c r="A5" s="4" t="s">
        <v>421</v>
      </c>
      <c r="B5" s="4" t="s">
        <v>422</v>
      </c>
      <c r="C5" s="4" t="s">
        <v>423</v>
      </c>
      <c r="D5" s="4" t="s">
        <v>424</v>
      </c>
      <c r="E5" s="5">
        <v>12.5</v>
      </c>
      <c r="F5" s="38">
        <v>5000</v>
      </c>
    </row>
    <row r="6" spans="1:11">
      <c r="A6" s="2" t="s">
        <v>425</v>
      </c>
      <c r="B6" s="2" t="s">
        <v>426</v>
      </c>
      <c r="C6" s="2" t="s">
        <v>427</v>
      </c>
      <c r="D6" s="2" t="s">
        <v>428</v>
      </c>
      <c r="E6" s="3">
        <v>45</v>
      </c>
      <c r="F6" s="39">
        <v>1200</v>
      </c>
    </row>
    <row r="7" spans="1:11">
      <c r="A7" s="4" t="s">
        <v>429</v>
      </c>
      <c r="B7" s="4" t="s">
        <v>430</v>
      </c>
      <c r="C7" s="4" t="s">
        <v>431</v>
      </c>
      <c r="D7" s="4" t="s">
        <v>432</v>
      </c>
      <c r="E7" s="5">
        <v>18.75</v>
      </c>
      <c r="F7" s="38">
        <v>3000</v>
      </c>
    </row>
    <row r="8" spans="1:11">
      <c r="A8" s="2" t="s">
        <v>433</v>
      </c>
      <c r="B8" s="2" t="s">
        <v>434</v>
      </c>
      <c r="C8" s="2" t="s">
        <v>435</v>
      </c>
      <c r="D8" s="2" t="s">
        <v>436</v>
      </c>
      <c r="E8" s="3">
        <v>32</v>
      </c>
      <c r="F8" s="39">
        <v>800</v>
      </c>
    </row>
    <row r="9" spans="1:11">
      <c r="A9" s="4" t="s">
        <v>437</v>
      </c>
      <c r="B9" s="4" t="s">
        <v>438</v>
      </c>
      <c r="C9" s="4" t="s">
        <v>439</v>
      </c>
      <c r="D9" s="4" t="s">
        <v>440</v>
      </c>
      <c r="E9" s="5">
        <v>22.5</v>
      </c>
      <c r="F9" s="38">
        <v>2500</v>
      </c>
    </row>
    <row r="10" spans="1:11">
      <c r="A10" s="2" t="s">
        <v>441</v>
      </c>
      <c r="B10" s="2" t="s">
        <v>442</v>
      </c>
      <c r="C10" s="2" t="s">
        <v>443</v>
      </c>
      <c r="D10" s="2" t="s">
        <v>436</v>
      </c>
      <c r="E10" s="3">
        <v>58</v>
      </c>
      <c r="F10" s="39">
        <v>600</v>
      </c>
    </row>
    <row r="11" spans="1:11">
      <c r="A11" s="4" t="s">
        <v>444</v>
      </c>
      <c r="B11" s="4" t="s">
        <v>445</v>
      </c>
      <c r="C11" s="4" t="s">
        <v>446</v>
      </c>
      <c r="D11" s="4" t="s">
        <v>447</v>
      </c>
      <c r="E11" s="5">
        <v>120</v>
      </c>
      <c r="F11" s="38">
        <v>400</v>
      </c>
    </row>
    <row r="12" spans="1:11">
      <c r="A12" s="2" t="s">
        <v>448</v>
      </c>
      <c r="B12" s="2" t="s">
        <v>449</v>
      </c>
      <c r="C12" s="2" t="s">
        <v>450</v>
      </c>
      <c r="D12" s="2" t="s">
        <v>451</v>
      </c>
      <c r="E12" s="3">
        <v>8.5</v>
      </c>
      <c r="F12" s="39">
        <v>4000</v>
      </c>
    </row>
    <row r="13" spans="1:11">
      <c r="A13" s="4" t="s">
        <v>452</v>
      </c>
      <c r="B13" s="4" t="s">
        <v>453</v>
      </c>
      <c r="C13" s="4" t="s">
        <v>423</v>
      </c>
      <c r="D13" s="4" t="s">
        <v>424</v>
      </c>
      <c r="E13" s="5">
        <v>14</v>
      </c>
      <c r="F13" s="38">
        <v>3500</v>
      </c>
    </row>
    <row r="14" spans="1:11">
      <c r="A14" s="2" t="s">
        <v>454</v>
      </c>
      <c r="B14" s="2" t="s">
        <v>455</v>
      </c>
      <c r="C14" s="2" t="s">
        <v>427</v>
      </c>
      <c r="D14" s="2" t="s">
        <v>428</v>
      </c>
      <c r="E14" s="3">
        <v>85</v>
      </c>
      <c r="F14" s="39">
        <v>900</v>
      </c>
    </row>
    <row r="15" spans="1:11">
      <c r="A15" s="4" t="s">
        <v>456</v>
      </c>
      <c r="B15" s="4" t="s">
        <v>457</v>
      </c>
      <c r="C15" s="4" t="s">
        <v>431</v>
      </c>
      <c r="D15" s="4" t="s">
        <v>432</v>
      </c>
      <c r="E15" s="5">
        <v>220</v>
      </c>
      <c r="F15" s="38">
        <v>300</v>
      </c>
    </row>
    <row r="16" spans="1:11">
      <c r="A16" s="2" t="s">
        <v>458</v>
      </c>
      <c r="B16" s="2" t="s">
        <v>459</v>
      </c>
      <c r="C16" s="2" t="s">
        <v>435</v>
      </c>
      <c r="D16" s="2" t="s">
        <v>436</v>
      </c>
      <c r="E16" s="3">
        <v>28.5</v>
      </c>
      <c r="F16" s="39">
        <v>1100</v>
      </c>
    </row>
    <row r="19" spans="1:10" ht="16.8">
      <c r="A19" s="70" t="s">
        <v>460</v>
      </c>
      <c r="B19" s="70"/>
      <c r="C19" s="70"/>
      <c r="D19" s="70"/>
      <c r="E19" s="70"/>
      <c r="F19" s="70"/>
      <c r="G19" s="70"/>
      <c r="H19" s="70"/>
    </row>
    <row r="20" spans="1:10" ht="34.5" customHeight="1">
      <c r="A20" s="40" t="s">
        <v>461</v>
      </c>
      <c r="B20" s="40" t="s">
        <v>462</v>
      </c>
      <c r="C20" s="40" t="s">
        <v>416</v>
      </c>
      <c r="D20" s="40" t="s">
        <v>463</v>
      </c>
      <c r="E20" s="40" t="s">
        <v>464</v>
      </c>
      <c r="F20" s="40" t="s">
        <v>465</v>
      </c>
      <c r="G20" s="40" t="s">
        <v>466</v>
      </c>
      <c r="H20" s="40" t="s">
        <v>467</v>
      </c>
      <c r="I20" s="40" t="s">
        <v>468</v>
      </c>
      <c r="J20" s="40" t="s">
        <v>469</v>
      </c>
    </row>
    <row r="21" spans="1:10">
      <c r="A21" s="4" t="s">
        <v>470</v>
      </c>
      <c r="B21" s="4" t="s">
        <v>471</v>
      </c>
      <c r="C21" s="4" t="s">
        <v>429</v>
      </c>
      <c r="D21" s="4">
        <v>60</v>
      </c>
      <c r="E21" s="4" t="s">
        <v>472</v>
      </c>
      <c r="F21" s="31" t="str">
        <f>INDEX($B$5:$B$16, MATCH(C21, $A$5:$A$16, 0))</f>
        <v>Metformin 500mg</v>
      </c>
      <c r="G21" s="31">
        <f>INDEX($E$5:$E$16, MATCH(C21, $A$5:$A$16, 0))</f>
        <v>18.75</v>
      </c>
      <c r="H21" s="31">
        <f>D21*G21</f>
        <v>1125</v>
      </c>
      <c r="I21" s="31" t="str">
        <f>_xlfn.XLOOKUP(C21, $A$5:$A$16, $D$5:$D$16)</f>
        <v>DiabCare</v>
      </c>
      <c r="J21" s="31" t="str">
        <f>_xlfn.XLOOKUP(C21, $A$5:$A$16, $C$5:$C$16)</f>
        <v>Diabetes</v>
      </c>
    </row>
    <row r="22" spans="1:10">
      <c r="A22" s="2" t="s">
        <v>473</v>
      </c>
      <c r="B22" s="2" t="s">
        <v>474</v>
      </c>
      <c r="C22" s="2" t="s">
        <v>444</v>
      </c>
      <c r="D22" s="2">
        <v>2</v>
      </c>
      <c r="E22" s="2" t="s">
        <v>475</v>
      </c>
      <c r="F22" s="31" t="str">
        <f t="shared" ref="F22:F30" si="0">INDEX($B$5:$B$16, MATCH(C22, $A$5:$A$16, 0))</f>
        <v>Salbutamol Inhaler</v>
      </c>
      <c r="G22" s="31">
        <f t="shared" ref="G22:G30" si="1">INDEX($E$5:$E$16, MATCH(C22, $A$5:$A$16, 0))</f>
        <v>120</v>
      </c>
      <c r="H22" s="31">
        <f t="shared" ref="H22:H30" si="2">D22*G22</f>
        <v>240</v>
      </c>
      <c r="I22" s="31" t="str">
        <f t="shared" ref="I22:I30" si="3">_xlfn.XLOOKUP(C22, $A$5:$A$16, $D$5:$D$16)</f>
        <v>BreathEasy</v>
      </c>
      <c r="J22" s="31" t="str">
        <f t="shared" ref="J22:J30" si="4">_xlfn.XLOOKUP(C22, $A$5:$A$16, $C$5:$C$16)</f>
        <v>Respiratory</v>
      </c>
    </row>
    <row r="23" spans="1:10">
      <c r="A23" s="4" t="s">
        <v>476</v>
      </c>
      <c r="B23" s="4" t="s">
        <v>477</v>
      </c>
      <c r="C23" s="4" t="s">
        <v>421</v>
      </c>
      <c r="D23" s="4">
        <v>90</v>
      </c>
      <c r="E23" s="4" t="s">
        <v>478</v>
      </c>
      <c r="F23" s="31" t="str">
        <f t="shared" si="0"/>
        <v>Paracetamol 500mg</v>
      </c>
      <c r="G23" s="31">
        <f t="shared" si="1"/>
        <v>12.5</v>
      </c>
      <c r="H23" s="31">
        <f t="shared" si="2"/>
        <v>1125</v>
      </c>
      <c r="I23" s="31" t="str">
        <f t="shared" si="3"/>
        <v>PharmaCo</v>
      </c>
      <c r="J23" s="31" t="str">
        <f t="shared" si="4"/>
        <v>Analgesic</v>
      </c>
    </row>
    <row r="24" spans="1:10">
      <c r="A24" s="2" t="s">
        <v>479</v>
      </c>
      <c r="B24" s="2" t="s">
        <v>480</v>
      </c>
      <c r="C24" s="2" t="s">
        <v>456</v>
      </c>
      <c r="D24" s="2">
        <v>5</v>
      </c>
      <c r="E24" s="2" t="s">
        <v>481</v>
      </c>
      <c r="F24" s="31" t="str">
        <f t="shared" si="0"/>
        <v>Insulin Glargine</v>
      </c>
      <c r="G24" s="31">
        <f t="shared" si="1"/>
        <v>220</v>
      </c>
      <c r="H24" s="31">
        <f t="shared" si="2"/>
        <v>1100</v>
      </c>
      <c r="I24" s="31" t="str">
        <f t="shared" si="3"/>
        <v>DiabCare</v>
      </c>
      <c r="J24" s="31" t="str">
        <f t="shared" si="4"/>
        <v>Diabetes</v>
      </c>
    </row>
    <row r="25" spans="1:10">
      <c r="A25" s="4" t="s">
        <v>482</v>
      </c>
      <c r="B25" s="4" t="s">
        <v>483</v>
      </c>
      <c r="C25" s="4" t="s">
        <v>441</v>
      </c>
      <c r="D25" s="4">
        <v>30</v>
      </c>
      <c r="E25" s="4" t="s">
        <v>484</v>
      </c>
      <c r="F25" s="31" t="str">
        <f t="shared" si="0"/>
        <v>Atorvastatin 40mg</v>
      </c>
      <c r="G25" s="31">
        <f t="shared" si="1"/>
        <v>58</v>
      </c>
      <c r="H25" s="31">
        <f t="shared" si="2"/>
        <v>1740</v>
      </c>
      <c r="I25" s="31" t="str">
        <f t="shared" si="3"/>
        <v>HeartMed</v>
      </c>
      <c r="J25" s="31" t="str">
        <f t="shared" si="4"/>
        <v>Cholesterol</v>
      </c>
    </row>
    <row r="26" spans="1:10">
      <c r="A26" s="2" t="s">
        <v>485</v>
      </c>
      <c r="B26" s="2" t="s">
        <v>486</v>
      </c>
      <c r="C26" s="2" t="s">
        <v>425</v>
      </c>
      <c r="D26" s="2">
        <v>14</v>
      </c>
      <c r="E26" s="2" t="s">
        <v>472</v>
      </c>
      <c r="F26" s="31" t="str">
        <f t="shared" si="0"/>
        <v>Amoxicillin 250mg</v>
      </c>
      <c r="G26" s="31">
        <f t="shared" si="1"/>
        <v>45</v>
      </c>
      <c r="H26" s="31">
        <f t="shared" si="2"/>
        <v>630</v>
      </c>
      <c r="I26" s="31" t="str">
        <f t="shared" si="3"/>
        <v>MediSupply</v>
      </c>
      <c r="J26" s="31" t="str">
        <f t="shared" si="4"/>
        <v>Antibiotic</v>
      </c>
    </row>
    <row r="27" spans="1:10">
      <c r="A27" s="4" t="s">
        <v>487</v>
      </c>
      <c r="B27" s="4" t="s">
        <v>488</v>
      </c>
      <c r="C27" s="4" t="s">
        <v>452</v>
      </c>
      <c r="D27" s="4">
        <v>20</v>
      </c>
      <c r="E27" s="4" t="s">
        <v>489</v>
      </c>
      <c r="F27" s="31" t="str">
        <f t="shared" si="0"/>
        <v>Ibuprofen 400mg</v>
      </c>
      <c r="G27" s="31">
        <f t="shared" si="1"/>
        <v>14</v>
      </c>
      <c r="H27" s="31">
        <f t="shared" si="2"/>
        <v>280</v>
      </c>
      <c r="I27" s="31" t="str">
        <f t="shared" si="3"/>
        <v>PharmaCo</v>
      </c>
      <c r="J27" s="31" t="str">
        <f t="shared" si="4"/>
        <v>Analgesic</v>
      </c>
    </row>
    <row r="28" spans="1:10">
      <c r="A28" s="2" t="s">
        <v>490</v>
      </c>
      <c r="B28" s="2" t="s">
        <v>491</v>
      </c>
      <c r="C28" s="2" t="s">
        <v>433</v>
      </c>
      <c r="D28" s="2">
        <v>30</v>
      </c>
      <c r="E28" s="2" t="s">
        <v>484</v>
      </c>
      <c r="F28" s="31" t="str">
        <f t="shared" si="0"/>
        <v>Lisinopril 10mg</v>
      </c>
      <c r="G28" s="31">
        <f t="shared" si="1"/>
        <v>32</v>
      </c>
      <c r="H28" s="31">
        <f t="shared" si="2"/>
        <v>960</v>
      </c>
      <c r="I28" s="31" t="str">
        <f t="shared" si="3"/>
        <v>HeartMed</v>
      </c>
      <c r="J28" s="31" t="str">
        <f t="shared" si="4"/>
        <v>Cardiac</v>
      </c>
    </row>
    <row r="29" spans="1:10">
      <c r="A29" s="4" t="s">
        <v>492</v>
      </c>
      <c r="B29" s="4" t="s">
        <v>493</v>
      </c>
      <c r="C29" s="4" t="s">
        <v>448</v>
      </c>
      <c r="D29" s="4">
        <v>90</v>
      </c>
      <c r="E29" s="4" t="s">
        <v>478</v>
      </c>
      <c r="F29" s="31" t="str">
        <f t="shared" si="0"/>
        <v>Cetirizine 10mg</v>
      </c>
      <c r="G29" s="31">
        <f t="shared" si="1"/>
        <v>8.5</v>
      </c>
      <c r="H29" s="31">
        <f t="shared" si="2"/>
        <v>765</v>
      </c>
      <c r="I29" s="31" t="str">
        <f t="shared" si="3"/>
        <v>AllergyPlus</v>
      </c>
      <c r="J29" s="31" t="str">
        <f t="shared" si="4"/>
        <v>Allergy</v>
      </c>
    </row>
    <row r="30" spans="1:10">
      <c r="A30" s="2" t="s">
        <v>494</v>
      </c>
      <c r="B30" s="2" t="s">
        <v>495</v>
      </c>
      <c r="C30" s="2" t="s">
        <v>454</v>
      </c>
      <c r="D30" s="2">
        <v>7</v>
      </c>
      <c r="E30" s="2" t="s">
        <v>475</v>
      </c>
      <c r="F30" s="31" t="str">
        <f t="shared" si="0"/>
        <v>Azithromycin 500mg</v>
      </c>
      <c r="G30" s="31">
        <f t="shared" si="1"/>
        <v>85</v>
      </c>
      <c r="H30" s="31">
        <f t="shared" si="2"/>
        <v>595</v>
      </c>
      <c r="I30" s="31" t="str">
        <f t="shared" si="3"/>
        <v>MediSupply</v>
      </c>
      <c r="J30" s="31" t="str">
        <f t="shared" si="4"/>
        <v>Antibiotic</v>
      </c>
    </row>
    <row r="33" spans="1:11" ht="16.8">
      <c r="A33" s="70" t="s">
        <v>496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</row>
    <row r="34" spans="1:11">
      <c r="A34" s="41" t="s">
        <v>99</v>
      </c>
      <c r="B34" s="41" t="s">
        <v>222</v>
      </c>
      <c r="C34" s="41" t="s">
        <v>390</v>
      </c>
      <c r="D34" s="41" t="s">
        <v>102</v>
      </c>
    </row>
    <row r="35" spans="1:11" ht="25.5" customHeight="1">
      <c r="A35" s="7" t="s">
        <v>103</v>
      </c>
      <c r="B35" s="16" t="s">
        <v>497</v>
      </c>
      <c r="C35" s="27" t="str">
        <f>INDEX($B$5:$B$16, MATCH(MAX($E$5:$E$16), $E$5:$E$16, 0))</f>
        <v>Insulin Glargine</v>
      </c>
      <c r="D35" s="10" t="s">
        <v>498</v>
      </c>
    </row>
    <row r="36" spans="1:11" ht="25.5" customHeight="1">
      <c r="A36" s="7" t="s">
        <v>106</v>
      </c>
      <c r="B36" s="16" t="s">
        <v>499</v>
      </c>
      <c r="C36" s="27" t="str">
        <f>INDEX($B$5:$B$16, MATCH(_xlfn.MINIFS($E$5:$E$16,$C$5:$C$16,"Antibiotic"), $E$5:$E$16, 0))</f>
        <v>Amoxicillin 250mg</v>
      </c>
      <c r="D36" s="10" t="s">
        <v>500</v>
      </c>
    </row>
    <row r="37" spans="1:11" ht="25.5" customHeight="1">
      <c r="A37" s="7" t="s">
        <v>109</v>
      </c>
      <c r="B37" s="16" t="s">
        <v>501</v>
      </c>
      <c r="C37" s="27">
        <f>SUMIF($C$5:$C$16, "Analgesic", $E$5:$E$16)</f>
        <v>26.5</v>
      </c>
      <c r="D37" s="10" t="s">
        <v>502</v>
      </c>
    </row>
    <row r="38" spans="1:11" ht="25.5" customHeight="1">
      <c r="A38" s="7" t="s">
        <v>112</v>
      </c>
      <c r="B38" s="16" t="s">
        <v>503</v>
      </c>
      <c r="C38" s="27" t="str">
        <f>_xlfn.XLOOKUP(C21, $A$5:$A$16, $D$5:$D$16, "Not Found")</f>
        <v>DiabCare</v>
      </c>
      <c r="D38" s="10" t="s">
        <v>504</v>
      </c>
    </row>
    <row r="39" spans="1:11" ht="25.5" customHeight="1">
      <c r="A39" s="7" t="s">
        <v>115</v>
      </c>
      <c r="B39" s="16" t="s">
        <v>505</v>
      </c>
      <c r="C39" s="27" t="str">
        <f>_xlfn.XLOOKUP(C21, $A$5:$A$16, $C$5:$C$16, "Not Found")</f>
        <v>Diabetes</v>
      </c>
      <c r="D39" s="10" t="s">
        <v>506</v>
      </c>
    </row>
    <row r="40" spans="1:11" ht="25.5" customHeight="1">
      <c r="A40" s="7" t="s">
        <v>118</v>
      </c>
      <c r="B40" s="16" t="s">
        <v>507</v>
      </c>
      <c r="C40" s="27" t="str">
        <f>INDEX($B$5:$B$16, MATCH(MAX($E$5:$E$16), $E$5:$E$16, 0))</f>
        <v>Insulin Glargine</v>
      </c>
      <c r="D40" s="10" t="s">
        <v>325</v>
      </c>
    </row>
    <row r="41" spans="1:11" ht="25.5" customHeight="1">
      <c r="A41" s="7" t="s">
        <v>121</v>
      </c>
      <c r="B41" s="16" t="s">
        <v>508</v>
      </c>
      <c r="C41" s="27" t="str">
        <f>INDEX($B$5:$B$16, MATCH(_xlfn.MINIFS($E$5:$E$16,$C$5:$C$16,"Antibiotic"), $E$5:$E$16, 0))</f>
        <v>Amoxicillin 250mg</v>
      </c>
      <c r="D41" s="10" t="s">
        <v>509</v>
      </c>
    </row>
    <row r="42" spans="1:11" ht="25.5" customHeight="1">
      <c r="A42" s="7" t="s">
        <v>124</v>
      </c>
      <c r="B42" s="16" t="s">
        <v>510</v>
      </c>
      <c r="C42" s="27" cm="1">
        <f t="array" ref="C42">INDEX($E$5:$E$16, MATCH(1, ($C$5:$C$16="Analgesic")*($D$5:$D$16="PharmaCo"), 0))</f>
        <v>12.5</v>
      </c>
      <c r="D42" s="10" t="s">
        <v>511</v>
      </c>
    </row>
    <row r="43" spans="1:11" ht="25.5" customHeight="1">
      <c r="A43" s="7" t="s">
        <v>127</v>
      </c>
      <c r="B43" s="16" t="s">
        <v>512</v>
      </c>
      <c r="C43" s="27">
        <f>SUMIF($E$20:$E$29, "ICU", $H$20:$H$29)</f>
        <v>240</v>
      </c>
      <c r="D43" s="10" t="s">
        <v>402</v>
      </c>
    </row>
    <row r="44" spans="1:11" ht="25.5" customHeight="1">
      <c r="A44" s="7" t="s">
        <v>130</v>
      </c>
      <c r="B44" s="16" t="s">
        <v>513</v>
      </c>
      <c r="C44" s="27" t="str" cm="1">
        <f t="array" ref="C44">INDEX($D$5:$D$16, MATCH(MAX(COUNTIF($D$5:$D$16,$D$5:$D$16)), COUNTIF($D$5:$D$16,$D$5:$D$16), 0))</f>
        <v>HeartMed</v>
      </c>
      <c r="D44" s="10" t="s">
        <v>514</v>
      </c>
    </row>
  </sheetData>
  <mergeCells count="5">
    <mergeCell ref="A1:K1"/>
    <mergeCell ref="A2:K2"/>
    <mergeCell ref="A3:F3"/>
    <mergeCell ref="A19:H19"/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C564B"/>
  </sheetPr>
  <dimension ref="A1:I80"/>
  <sheetViews>
    <sheetView zoomScale="77" zoomScaleNormal="41" workbookViewId="0">
      <pane ySplit="3" topLeftCell="A71" activePane="bottomLeft" state="frozen"/>
      <selection pane="bottomLeft" activeCell="I84" sqref="I84"/>
    </sheetView>
  </sheetViews>
  <sheetFormatPr defaultColWidth="8.6640625" defaultRowHeight="14.4"/>
  <cols>
    <col min="1" max="1" width="14" customWidth="1"/>
    <col min="2" max="2" width="22" customWidth="1"/>
    <col min="3" max="3" width="16" customWidth="1"/>
    <col min="4" max="7" width="14" customWidth="1"/>
    <col min="8" max="8" width="18" customWidth="1"/>
    <col min="9" max="9" width="35" customWidth="1"/>
  </cols>
  <sheetData>
    <row r="1" spans="1:9" ht="16.8">
      <c r="A1" s="62" t="s">
        <v>515</v>
      </c>
      <c r="B1" s="62"/>
      <c r="C1" s="62"/>
      <c r="D1" s="62"/>
      <c r="E1" s="62"/>
      <c r="F1" s="62"/>
      <c r="G1" s="62"/>
      <c r="H1" s="62"/>
      <c r="I1" s="62"/>
    </row>
    <row r="2" spans="1:9" ht="15" customHeight="1">
      <c r="A2" s="75" t="s">
        <v>516</v>
      </c>
      <c r="B2" s="75"/>
      <c r="C2" s="75"/>
      <c r="D2" s="75"/>
      <c r="E2" s="75"/>
      <c r="F2" s="75"/>
      <c r="G2" s="75"/>
      <c r="H2" s="75"/>
      <c r="I2" s="75"/>
    </row>
    <row r="3" spans="1:9">
      <c r="A3" s="42" t="s">
        <v>2</v>
      </c>
      <c r="B3" s="42" t="s">
        <v>3</v>
      </c>
      <c r="C3" s="42" t="s">
        <v>4</v>
      </c>
      <c r="D3" s="42" t="s">
        <v>517</v>
      </c>
      <c r="E3" s="42" t="s">
        <v>8</v>
      </c>
      <c r="F3" s="42" t="s">
        <v>518</v>
      </c>
      <c r="G3" s="42" t="s">
        <v>519</v>
      </c>
      <c r="H3" s="42" t="s">
        <v>10</v>
      </c>
      <c r="I3" s="42" t="s">
        <v>5</v>
      </c>
    </row>
    <row r="4" spans="1:9">
      <c r="A4" s="2" t="s">
        <v>520</v>
      </c>
      <c r="B4" s="2" t="s">
        <v>521</v>
      </c>
      <c r="C4" s="2" t="s">
        <v>522</v>
      </c>
      <c r="D4" s="2">
        <v>13</v>
      </c>
      <c r="E4" s="43">
        <v>499</v>
      </c>
      <c r="F4" s="44">
        <v>20</v>
      </c>
      <c r="G4" s="45">
        <v>5189.6000000000004</v>
      </c>
      <c r="H4" s="2" t="s">
        <v>39</v>
      </c>
      <c r="I4" s="2" t="s">
        <v>15</v>
      </c>
    </row>
    <row r="5" spans="1:9">
      <c r="A5" s="4" t="s">
        <v>523</v>
      </c>
      <c r="B5" s="4" t="s">
        <v>524</v>
      </c>
      <c r="C5" s="4" t="s">
        <v>14</v>
      </c>
      <c r="D5" s="4">
        <v>5</v>
      </c>
      <c r="E5" s="46">
        <v>2499</v>
      </c>
      <c r="F5" s="47">
        <v>0</v>
      </c>
      <c r="G5" s="48">
        <v>12495</v>
      </c>
      <c r="H5" s="4" t="s">
        <v>525</v>
      </c>
      <c r="I5" s="4" t="s">
        <v>21</v>
      </c>
    </row>
    <row r="6" spans="1:9">
      <c r="A6" s="2" t="s">
        <v>526</v>
      </c>
      <c r="B6" s="2" t="s">
        <v>527</v>
      </c>
      <c r="C6" s="2" t="s">
        <v>528</v>
      </c>
      <c r="D6" s="2">
        <v>22</v>
      </c>
      <c r="E6" s="43">
        <v>1999</v>
      </c>
      <c r="F6" s="44">
        <v>20</v>
      </c>
      <c r="G6" s="45">
        <v>35182.400000000001</v>
      </c>
      <c r="H6" s="2" t="s">
        <v>30</v>
      </c>
      <c r="I6" s="2" t="s">
        <v>21</v>
      </c>
    </row>
    <row r="7" spans="1:9">
      <c r="A7" s="4" t="s">
        <v>529</v>
      </c>
      <c r="B7" s="4" t="s">
        <v>524</v>
      </c>
      <c r="C7" s="4" t="s">
        <v>14</v>
      </c>
      <c r="D7" s="4">
        <v>14</v>
      </c>
      <c r="E7" s="46">
        <v>1999</v>
      </c>
      <c r="F7" s="47">
        <v>20</v>
      </c>
      <c r="G7" s="48">
        <v>22388.799999999999</v>
      </c>
      <c r="H7" s="4" t="s">
        <v>74</v>
      </c>
      <c r="I7" s="4" t="s">
        <v>15</v>
      </c>
    </row>
    <row r="8" spans="1:9">
      <c r="A8" s="2" t="s">
        <v>530</v>
      </c>
      <c r="B8" s="2" t="s">
        <v>531</v>
      </c>
      <c r="C8" s="2" t="s">
        <v>528</v>
      </c>
      <c r="D8" s="2">
        <v>27</v>
      </c>
      <c r="E8" s="43">
        <v>999</v>
      </c>
      <c r="F8" s="44">
        <v>5</v>
      </c>
      <c r="G8" s="45">
        <v>25624.35</v>
      </c>
      <c r="H8" s="2" t="s">
        <v>39</v>
      </c>
      <c r="I8" s="2" t="s">
        <v>21</v>
      </c>
    </row>
    <row r="9" spans="1:9">
      <c r="A9" s="4" t="s">
        <v>532</v>
      </c>
      <c r="B9" s="4" t="s">
        <v>533</v>
      </c>
      <c r="C9" s="4" t="s">
        <v>522</v>
      </c>
      <c r="D9" s="4">
        <v>28</v>
      </c>
      <c r="E9" s="46">
        <v>1499</v>
      </c>
      <c r="F9" s="47">
        <v>10</v>
      </c>
      <c r="G9" s="48">
        <v>37774.800000000003</v>
      </c>
      <c r="H9" s="4" t="s">
        <v>30</v>
      </c>
      <c r="I9" s="4" t="s">
        <v>28</v>
      </c>
    </row>
    <row r="10" spans="1:9">
      <c r="A10" s="2" t="s">
        <v>534</v>
      </c>
      <c r="B10" s="2" t="s">
        <v>535</v>
      </c>
      <c r="C10" s="2" t="s">
        <v>14</v>
      </c>
      <c r="D10" s="2">
        <v>11</v>
      </c>
      <c r="E10" s="43">
        <v>999</v>
      </c>
      <c r="F10" s="44">
        <v>0</v>
      </c>
      <c r="G10" s="45">
        <v>10989</v>
      </c>
      <c r="H10" s="2" t="s">
        <v>525</v>
      </c>
      <c r="I10" s="2" t="s">
        <v>28</v>
      </c>
    </row>
    <row r="11" spans="1:9">
      <c r="A11" s="4" t="s">
        <v>536</v>
      </c>
      <c r="B11" s="4" t="s">
        <v>521</v>
      </c>
      <c r="C11" s="4" t="s">
        <v>522</v>
      </c>
      <c r="D11" s="4">
        <v>7</v>
      </c>
      <c r="E11" s="46">
        <v>799</v>
      </c>
      <c r="F11" s="47">
        <v>20</v>
      </c>
      <c r="G11" s="48">
        <v>4474.3999999999996</v>
      </c>
      <c r="H11" s="4" t="s">
        <v>30</v>
      </c>
      <c r="I11" s="4" t="s">
        <v>21</v>
      </c>
    </row>
    <row r="12" spans="1:9">
      <c r="A12" s="2" t="s">
        <v>537</v>
      </c>
      <c r="B12" s="2" t="s">
        <v>527</v>
      </c>
      <c r="C12" s="2" t="s">
        <v>528</v>
      </c>
      <c r="D12" s="2">
        <v>29</v>
      </c>
      <c r="E12" s="43">
        <v>499</v>
      </c>
      <c r="F12" s="44">
        <v>20</v>
      </c>
      <c r="G12" s="45">
        <v>11576.8</v>
      </c>
      <c r="H12" s="2" t="s">
        <v>78</v>
      </c>
      <c r="I12" s="2" t="s">
        <v>28</v>
      </c>
    </row>
    <row r="13" spans="1:9">
      <c r="A13" s="4" t="s">
        <v>538</v>
      </c>
      <c r="B13" s="4" t="s">
        <v>531</v>
      </c>
      <c r="C13" s="4" t="s">
        <v>528</v>
      </c>
      <c r="D13" s="4">
        <v>5</v>
      </c>
      <c r="E13" s="46">
        <v>499</v>
      </c>
      <c r="F13" s="47">
        <v>5</v>
      </c>
      <c r="G13" s="48">
        <v>2370.25</v>
      </c>
      <c r="H13" s="4" t="s">
        <v>23</v>
      </c>
      <c r="I13" s="4" t="s">
        <v>21</v>
      </c>
    </row>
    <row r="14" spans="1:9">
      <c r="A14" s="2" t="s">
        <v>539</v>
      </c>
      <c r="B14" s="2" t="s">
        <v>540</v>
      </c>
      <c r="C14" s="2" t="s">
        <v>522</v>
      </c>
      <c r="D14" s="2">
        <v>30</v>
      </c>
      <c r="E14" s="43">
        <v>499</v>
      </c>
      <c r="F14" s="44">
        <v>20</v>
      </c>
      <c r="G14" s="45">
        <v>11976</v>
      </c>
      <c r="H14" s="2" t="s">
        <v>49</v>
      </c>
      <c r="I14" s="2" t="s">
        <v>15</v>
      </c>
    </row>
    <row r="15" spans="1:9">
      <c r="A15" s="4" t="s">
        <v>541</v>
      </c>
      <c r="B15" s="4" t="s">
        <v>542</v>
      </c>
      <c r="C15" s="4" t="s">
        <v>528</v>
      </c>
      <c r="D15" s="4">
        <v>4</v>
      </c>
      <c r="E15" s="46">
        <v>299</v>
      </c>
      <c r="F15" s="47">
        <v>5</v>
      </c>
      <c r="G15" s="48">
        <v>1136.2</v>
      </c>
      <c r="H15" s="4" t="s">
        <v>78</v>
      </c>
      <c r="I15" s="4" t="s">
        <v>21</v>
      </c>
    </row>
    <row r="16" spans="1:9">
      <c r="A16" s="2" t="s">
        <v>543</v>
      </c>
      <c r="B16" s="2" t="s">
        <v>544</v>
      </c>
      <c r="C16" s="2" t="s">
        <v>528</v>
      </c>
      <c r="D16" s="2">
        <v>30</v>
      </c>
      <c r="E16" s="43">
        <v>999</v>
      </c>
      <c r="F16" s="44">
        <v>0</v>
      </c>
      <c r="G16" s="45">
        <v>29970</v>
      </c>
      <c r="H16" s="2" t="s">
        <v>39</v>
      </c>
      <c r="I16" s="2" t="s">
        <v>42</v>
      </c>
    </row>
    <row r="17" spans="1:9">
      <c r="A17" s="4" t="s">
        <v>545</v>
      </c>
      <c r="B17" s="4" t="s">
        <v>540</v>
      </c>
      <c r="C17" s="4" t="s">
        <v>522</v>
      </c>
      <c r="D17" s="4">
        <v>1</v>
      </c>
      <c r="E17" s="46">
        <v>999</v>
      </c>
      <c r="F17" s="47">
        <v>10</v>
      </c>
      <c r="G17" s="48">
        <v>899.1</v>
      </c>
      <c r="H17" s="4" t="s">
        <v>39</v>
      </c>
      <c r="I17" s="4" t="s">
        <v>21</v>
      </c>
    </row>
    <row r="18" spans="1:9">
      <c r="A18" s="2" t="s">
        <v>546</v>
      </c>
      <c r="B18" s="2" t="s">
        <v>524</v>
      </c>
      <c r="C18" s="2" t="s">
        <v>14</v>
      </c>
      <c r="D18" s="2">
        <v>29</v>
      </c>
      <c r="E18" s="43">
        <v>2499</v>
      </c>
      <c r="F18" s="44">
        <v>0</v>
      </c>
      <c r="G18" s="45">
        <v>72471</v>
      </c>
      <c r="H18" s="2" t="s">
        <v>49</v>
      </c>
      <c r="I18" s="2" t="s">
        <v>15</v>
      </c>
    </row>
    <row r="19" spans="1:9">
      <c r="A19" s="4" t="s">
        <v>547</v>
      </c>
      <c r="B19" s="4" t="s">
        <v>535</v>
      </c>
      <c r="C19" s="4" t="s">
        <v>14</v>
      </c>
      <c r="D19" s="4">
        <v>9</v>
      </c>
      <c r="E19" s="46">
        <v>1499</v>
      </c>
      <c r="F19" s="47">
        <v>15</v>
      </c>
      <c r="G19" s="48">
        <v>11467.35</v>
      </c>
      <c r="H19" s="4" t="s">
        <v>39</v>
      </c>
      <c r="I19" s="4" t="s">
        <v>42</v>
      </c>
    </row>
    <row r="20" spans="1:9">
      <c r="A20" s="2" t="s">
        <v>548</v>
      </c>
      <c r="B20" s="2" t="s">
        <v>535</v>
      </c>
      <c r="C20" s="2" t="s">
        <v>14</v>
      </c>
      <c r="D20" s="2">
        <v>30</v>
      </c>
      <c r="E20" s="43">
        <v>299</v>
      </c>
      <c r="F20" s="44">
        <v>5</v>
      </c>
      <c r="G20" s="45">
        <v>8521.5</v>
      </c>
      <c r="H20" s="2" t="s">
        <v>23</v>
      </c>
      <c r="I20" s="2" t="s">
        <v>15</v>
      </c>
    </row>
    <row r="21" spans="1:9">
      <c r="A21" s="4" t="s">
        <v>549</v>
      </c>
      <c r="B21" s="4" t="s">
        <v>540</v>
      </c>
      <c r="C21" s="4" t="s">
        <v>522</v>
      </c>
      <c r="D21" s="4">
        <v>14</v>
      </c>
      <c r="E21" s="46">
        <v>299</v>
      </c>
      <c r="F21" s="47">
        <v>0</v>
      </c>
      <c r="G21" s="48">
        <v>4186</v>
      </c>
      <c r="H21" s="4" t="s">
        <v>30</v>
      </c>
      <c r="I21" s="4" t="s">
        <v>15</v>
      </c>
    </row>
    <row r="22" spans="1:9">
      <c r="A22" s="2" t="s">
        <v>550</v>
      </c>
      <c r="B22" s="2" t="s">
        <v>551</v>
      </c>
      <c r="C22" s="2" t="s">
        <v>14</v>
      </c>
      <c r="D22" s="2">
        <v>6</v>
      </c>
      <c r="E22" s="43">
        <v>499</v>
      </c>
      <c r="F22" s="44">
        <v>15</v>
      </c>
      <c r="G22" s="45">
        <v>2544.9</v>
      </c>
      <c r="H22" s="2" t="s">
        <v>39</v>
      </c>
      <c r="I22" s="2" t="s">
        <v>15</v>
      </c>
    </row>
    <row r="23" spans="1:9">
      <c r="A23" s="4" t="s">
        <v>552</v>
      </c>
      <c r="B23" s="4" t="s">
        <v>527</v>
      </c>
      <c r="C23" s="4" t="s">
        <v>528</v>
      </c>
      <c r="D23" s="4">
        <v>11</v>
      </c>
      <c r="E23" s="46">
        <v>2499</v>
      </c>
      <c r="F23" s="47">
        <v>15</v>
      </c>
      <c r="G23" s="48">
        <v>23365.65</v>
      </c>
      <c r="H23" s="4" t="s">
        <v>60</v>
      </c>
      <c r="I23" s="4" t="s">
        <v>42</v>
      </c>
    </row>
    <row r="24" spans="1:9">
      <c r="A24" s="2" t="s">
        <v>553</v>
      </c>
      <c r="B24" s="2" t="s">
        <v>544</v>
      </c>
      <c r="C24" s="2" t="s">
        <v>528</v>
      </c>
      <c r="D24" s="2">
        <v>28</v>
      </c>
      <c r="E24" s="43">
        <v>2499</v>
      </c>
      <c r="F24" s="44">
        <v>10</v>
      </c>
      <c r="G24" s="45">
        <v>62974.8</v>
      </c>
      <c r="H24" s="2" t="s">
        <v>39</v>
      </c>
      <c r="I24" s="2" t="s">
        <v>28</v>
      </c>
    </row>
    <row r="25" spans="1:9">
      <c r="A25" s="4" t="s">
        <v>554</v>
      </c>
      <c r="B25" s="4" t="s">
        <v>527</v>
      </c>
      <c r="C25" s="4" t="s">
        <v>528</v>
      </c>
      <c r="D25" s="4">
        <v>10</v>
      </c>
      <c r="E25" s="46">
        <v>299</v>
      </c>
      <c r="F25" s="47">
        <v>20</v>
      </c>
      <c r="G25" s="48">
        <v>2392</v>
      </c>
      <c r="H25" s="4" t="s">
        <v>17</v>
      </c>
      <c r="I25" s="4" t="s">
        <v>42</v>
      </c>
    </row>
    <row r="26" spans="1:9">
      <c r="A26" s="2" t="s">
        <v>555</v>
      </c>
      <c r="B26" s="2" t="s">
        <v>524</v>
      </c>
      <c r="C26" s="2" t="s">
        <v>14</v>
      </c>
      <c r="D26" s="2">
        <v>13</v>
      </c>
      <c r="E26" s="43">
        <v>999</v>
      </c>
      <c r="F26" s="44">
        <v>10</v>
      </c>
      <c r="G26" s="45">
        <v>11688.3</v>
      </c>
      <c r="H26" s="2" t="s">
        <v>58</v>
      </c>
      <c r="I26" s="2" t="s">
        <v>21</v>
      </c>
    </row>
    <row r="27" spans="1:9">
      <c r="A27" s="4" t="s">
        <v>556</v>
      </c>
      <c r="B27" s="4" t="s">
        <v>521</v>
      </c>
      <c r="C27" s="4" t="s">
        <v>522</v>
      </c>
      <c r="D27" s="4">
        <v>27</v>
      </c>
      <c r="E27" s="46">
        <v>799</v>
      </c>
      <c r="F27" s="47">
        <v>20</v>
      </c>
      <c r="G27" s="48">
        <v>17258.400000000001</v>
      </c>
      <c r="H27" s="4" t="s">
        <v>30</v>
      </c>
      <c r="I27" s="4" t="s">
        <v>15</v>
      </c>
    </row>
    <row r="28" spans="1:9">
      <c r="A28" s="2" t="s">
        <v>557</v>
      </c>
      <c r="B28" s="2" t="s">
        <v>542</v>
      </c>
      <c r="C28" s="2" t="s">
        <v>528</v>
      </c>
      <c r="D28" s="2">
        <v>30</v>
      </c>
      <c r="E28" s="43">
        <v>799</v>
      </c>
      <c r="F28" s="44">
        <v>15</v>
      </c>
      <c r="G28" s="45">
        <v>20374.5</v>
      </c>
      <c r="H28" s="2" t="s">
        <v>78</v>
      </c>
      <c r="I28" s="2" t="s">
        <v>15</v>
      </c>
    </row>
    <row r="29" spans="1:9">
      <c r="A29" s="4" t="s">
        <v>558</v>
      </c>
      <c r="B29" s="4" t="s">
        <v>551</v>
      </c>
      <c r="C29" s="4" t="s">
        <v>14</v>
      </c>
      <c r="D29" s="4">
        <v>28</v>
      </c>
      <c r="E29" s="46">
        <v>1999</v>
      </c>
      <c r="F29" s="47">
        <v>5</v>
      </c>
      <c r="G29" s="48">
        <v>53173.4</v>
      </c>
      <c r="H29" s="4" t="s">
        <v>49</v>
      </c>
      <c r="I29" s="4" t="s">
        <v>42</v>
      </c>
    </row>
    <row r="30" spans="1:9">
      <c r="A30" s="2" t="s">
        <v>559</v>
      </c>
      <c r="B30" s="2" t="s">
        <v>544</v>
      </c>
      <c r="C30" s="2" t="s">
        <v>528</v>
      </c>
      <c r="D30" s="2">
        <v>28</v>
      </c>
      <c r="E30" s="43">
        <v>1999</v>
      </c>
      <c r="F30" s="44">
        <v>10</v>
      </c>
      <c r="G30" s="45">
        <v>50374.8</v>
      </c>
      <c r="H30" s="2" t="s">
        <v>60</v>
      </c>
      <c r="I30" s="2" t="s">
        <v>15</v>
      </c>
    </row>
    <row r="31" spans="1:9">
      <c r="A31" s="4" t="s">
        <v>560</v>
      </c>
      <c r="B31" s="4" t="s">
        <v>521</v>
      </c>
      <c r="C31" s="4" t="s">
        <v>522</v>
      </c>
      <c r="D31" s="4">
        <v>10</v>
      </c>
      <c r="E31" s="46">
        <v>999</v>
      </c>
      <c r="F31" s="47">
        <v>0</v>
      </c>
      <c r="G31" s="48">
        <v>9990</v>
      </c>
      <c r="H31" s="4" t="s">
        <v>78</v>
      </c>
      <c r="I31" s="4" t="s">
        <v>21</v>
      </c>
    </row>
    <row r="32" spans="1:9">
      <c r="A32" s="2" t="s">
        <v>561</v>
      </c>
      <c r="B32" s="2" t="s">
        <v>551</v>
      </c>
      <c r="C32" s="2" t="s">
        <v>14</v>
      </c>
      <c r="D32" s="2">
        <v>3</v>
      </c>
      <c r="E32" s="43">
        <v>1499</v>
      </c>
      <c r="F32" s="44">
        <v>10</v>
      </c>
      <c r="G32" s="45">
        <v>4047.3</v>
      </c>
      <c r="H32" s="2" t="s">
        <v>49</v>
      </c>
      <c r="I32" s="2" t="s">
        <v>42</v>
      </c>
    </row>
    <row r="33" spans="1:9">
      <c r="A33" s="4" t="s">
        <v>562</v>
      </c>
      <c r="B33" s="4" t="s">
        <v>535</v>
      </c>
      <c r="C33" s="4" t="s">
        <v>14</v>
      </c>
      <c r="D33" s="4">
        <v>18</v>
      </c>
      <c r="E33" s="46">
        <v>499</v>
      </c>
      <c r="F33" s="47">
        <v>10</v>
      </c>
      <c r="G33" s="48">
        <v>8083.8</v>
      </c>
      <c r="H33" s="4" t="s">
        <v>58</v>
      </c>
      <c r="I33" s="4" t="s">
        <v>42</v>
      </c>
    </row>
    <row r="34" spans="1:9">
      <c r="A34" s="2" t="s">
        <v>563</v>
      </c>
      <c r="B34" s="2" t="s">
        <v>521</v>
      </c>
      <c r="C34" s="2" t="s">
        <v>522</v>
      </c>
      <c r="D34" s="2">
        <v>22</v>
      </c>
      <c r="E34" s="43">
        <v>2499</v>
      </c>
      <c r="F34" s="44">
        <v>20</v>
      </c>
      <c r="G34" s="45">
        <v>43982.400000000001</v>
      </c>
      <c r="H34" s="2" t="s">
        <v>39</v>
      </c>
      <c r="I34" s="2" t="s">
        <v>42</v>
      </c>
    </row>
    <row r="35" spans="1:9">
      <c r="A35" s="4" t="s">
        <v>564</v>
      </c>
      <c r="B35" s="4" t="s">
        <v>521</v>
      </c>
      <c r="C35" s="4" t="s">
        <v>522</v>
      </c>
      <c r="D35" s="4">
        <v>22</v>
      </c>
      <c r="E35" s="46">
        <v>1999</v>
      </c>
      <c r="F35" s="47">
        <v>20</v>
      </c>
      <c r="G35" s="48">
        <v>35182.400000000001</v>
      </c>
      <c r="H35" s="4" t="s">
        <v>74</v>
      </c>
      <c r="I35" s="4" t="s">
        <v>21</v>
      </c>
    </row>
    <row r="36" spans="1:9">
      <c r="A36" s="2" t="s">
        <v>565</v>
      </c>
      <c r="B36" s="2" t="s">
        <v>524</v>
      </c>
      <c r="C36" s="2" t="s">
        <v>14</v>
      </c>
      <c r="D36" s="2">
        <v>13</v>
      </c>
      <c r="E36" s="43">
        <v>799</v>
      </c>
      <c r="F36" s="44">
        <v>5</v>
      </c>
      <c r="G36" s="45">
        <v>9867.65</v>
      </c>
      <c r="H36" s="2" t="s">
        <v>82</v>
      </c>
      <c r="I36" s="2" t="s">
        <v>28</v>
      </c>
    </row>
    <row r="37" spans="1:9">
      <c r="A37" s="4" t="s">
        <v>566</v>
      </c>
      <c r="B37" s="4" t="s">
        <v>531</v>
      </c>
      <c r="C37" s="4" t="s">
        <v>528</v>
      </c>
      <c r="D37" s="4">
        <v>23</v>
      </c>
      <c r="E37" s="46">
        <v>799</v>
      </c>
      <c r="F37" s="47">
        <v>5</v>
      </c>
      <c r="G37" s="48">
        <v>17458.150000000001</v>
      </c>
      <c r="H37" s="4" t="s">
        <v>49</v>
      </c>
      <c r="I37" s="4" t="s">
        <v>15</v>
      </c>
    </row>
    <row r="38" spans="1:9">
      <c r="A38" s="2" t="s">
        <v>567</v>
      </c>
      <c r="B38" s="2" t="s">
        <v>551</v>
      </c>
      <c r="C38" s="2" t="s">
        <v>14</v>
      </c>
      <c r="D38" s="2">
        <v>22</v>
      </c>
      <c r="E38" s="43">
        <v>999</v>
      </c>
      <c r="F38" s="44">
        <v>5</v>
      </c>
      <c r="G38" s="45">
        <v>20879.099999999999</v>
      </c>
      <c r="H38" s="2" t="s">
        <v>58</v>
      </c>
      <c r="I38" s="2" t="s">
        <v>42</v>
      </c>
    </row>
    <row r="39" spans="1:9">
      <c r="A39" s="4" t="s">
        <v>568</v>
      </c>
      <c r="B39" s="4" t="s">
        <v>521</v>
      </c>
      <c r="C39" s="4" t="s">
        <v>522</v>
      </c>
      <c r="D39" s="4">
        <v>1</v>
      </c>
      <c r="E39" s="46">
        <v>299</v>
      </c>
      <c r="F39" s="47">
        <v>20</v>
      </c>
      <c r="G39" s="48">
        <v>239.2</v>
      </c>
      <c r="H39" s="4" t="s">
        <v>45</v>
      </c>
      <c r="I39" s="4" t="s">
        <v>15</v>
      </c>
    </row>
    <row r="40" spans="1:9">
      <c r="A40" s="2" t="s">
        <v>569</v>
      </c>
      <c r="B40" s="2" t="s">
        <v>542</v>
      </c>
      <c r="C40" s="2" t="s">
        <v>528</v>
      </c>
      <c r="D40" s="2">
        <v>17</v>
      </c>
      <c r="E40" s="43">
        <v>799</v>
      </c>
      <c r="F40" s="44">
        <v>5</v>
      </c>
      <c r="G40" s="45">
        <v>12903.85</v>
      </c>
      <c r="H40" s="2" t="s">
        <v>45</v>
      </c>
      <c r="I40" s="2" t="s">
        <v>21</v>
      </c>
    </row>
    <row r="41" spans="1:9">
      <c r="A41" s="4" t="s">
        <v>570</v>
      </c>
      <c r="B41" s="4" t="s">
        <v>524</v>
      </c>
      <c r="C41" s="4" t="s">
        <v>14</v>
      </c>
      <c r="D41" s="4">
        <v>9</v>
      </c>
      <c r="E41" s="46">
        <v>1999</v>
      </c>
      <c r="F41" s="47">
        <v>15</v>
      </c>
      <c r="G41" s="48">
        <v>15292.35</v>
      </c>
      <c r="H41" s="4" t="s">
        <v>78</v>
      </c>
      <c r="I41" s="4" t="s">
        <v>42</v>
      </c>
    </row>
    <row r="42" spans="1:9">
      <c r="A42" s="2" t="s">
        <v>571</v>
      </c>
      <c r="B42" s="2" t="s">
        <v>524</v>
      </c>
      <c r="C42" s="2" t="s">
        <v>14</v>
      </c>
      <c r="D42" s="2">
        <v>24</v>
      </c>
      <c r="E42" s="43">
        <v>299</v>
      </c>
      <c r="F42" s="44">
        <v>0</v>
      </c>
      <c r="G42" s="45">
        <v>7176</v>
      </c>
      <c r="H42" s="2" t="s">
        <v>525</v>
      </c>
      <c r="I42" s="2" t="s">
        <v>28</v>
      </c>
    </row>
    <row r="43" spans="1:9">
      <c r="A43" s="4" t="s">
        <v>572</v>
      </c>
      <c r="B43" s="4" t="s">
        <v>540</v>
      </c>
      <c r="C43" s="4" t="s">
        <v>522</v>
      </c>
      <c r="D43" s="4">
        <v>2</v>
      </c>
      <c r="E43" s="46">
        <v>299</v>
      </c>
      <c r="F43" s="47">
        <v>15</v>
      </c>
      <c r="G43" s="48">
        <v>508.3</v>
      </c>
      <c r="H43" s="4" t="s">
        <v>525</v>
      </c>
      <c r="I43" s="4" t="s">
        <v>42</v>
      </c>
    </row>
    <row r="44" spans="1:9">
      <c r="A44" s="2" t="s">
        <v>573</v>
      </c>
      <c r="B44" s="2" t="s">
        <v>527</v>
      </c>
      <c r="C44" s="2" t="s">
        <v>528</v>
      </c>
      <c r="D44" s="2">
        <v>21</v>
      </c>
      <c r="E44" s="43">
        <v>1999</v>
      </c>
      <c r="F44" s="44">
        <v>20</v>
      </c>
      <c r="G44" s="45">
        <v>33583.199999999997</v>
      </c>
      <c r="H44" s="2" t="s">
        <v>74</v>
      </c>
      <c r="I44" s="2" t="s">
        <v>42</v>
      </c>
    </row>
    <row r="45" spans="1:9">
      <c r="A45" s="4" t="s">
        <v>574</v>
      </c>
      <c r="B45" s="4" t="s">
        <v>524</v>
      </c>
      <c r="C45" s="4" t="s">
        <v>14</v>
      </c>
      <c r="D45" s="4">
        <v>25</v>
      </c>
      <c r="E45" s="46">
        <v>299</v>
      </c>
      <c r="F45" s="47">
        <v>15</v>
      </c>
      <c r="G45" s="48">
        <v>6353.75</v>
      </c>
      <c r="H45" s="4" t="s">
        <v>58</v>
      </c>
      <c r="I45" s="4" t="s">
        <v>15</v>
      </c>
    </row>
    <row r="46" spans="1:9">
      <c r="A46" s="2" t="s">
        <v>575</v>
      </c>
      <c r="B46" s="2" t="s">
        <v>551</v>
      </c>
      <c r="C46" s="2" t="s">
        <v>14</v>
      </c>
      <c r="D46" s="2">
        <v>15</v>
      </c>
      <c r="E46" s="43">
        <v>799</v>
      </c>
      <c r="F46" s="44">
        <v>5</v>
      </c>
      <c r="G46" s="45">
        <v>11385.75</v>
      </c>
      <c r="H46" s="2" t="s">
        <v>39</v>
      </c>
      <c r="I46" s="2" t="s">
        <v>21</v>
      </c>
    </row>
    <row r="47" spans="1:9">
      <c r="A47" s="4" t="s">
        <v>576</v>
      </c>
      <c r="B47" s="4" t="s">
        <v>521</v>
      </c>
      <c r="C47" s="4" t="s">
        <v>522</v>
      </c>
      <c r="D47" s="4">
        <v>14</v>
      </c>
      <c r="E47" s="46">
        <v>1499</v>
      </c>
      <c r="F47" s="47">
        <v>5</v>
      </c>
      <c r="G47" s="48">
        <v>19936.7</v>
      </c>
      <c r="H47" s="4" t="s">
        <v>82</v>
      </c>
      <c r="I47" s="4" t="s">
        <v>42</v>
      </c>
    </row>
    <row r="48" spans="1:9">
      <c r="A48" s="2" t="s">
        <v>577</v>
      </c>
      <c r="B48" s="2" t="s">
        <v>524</v>
      </c>
      <c r="C48" s="2" t="s">
        <v>14</v>
      </c>
      <c r="D48" s="2">
        <v>9</v>
      </c>
      <c r="E48" s="43">
        <v>999</v>
      </c>
      <c r="F48" s="44">
        <v>20</v>
      </c>
      <c r="G48" s="45">
        <v>7192.8</v>
      </c>
      <c r="H48" s="2" t="s">
        <v>23</v>
      </c>
      <c r="I48" s="2" t="s">
        <v>21</v>
      </c>
    </row>
    <row r="49" spans="1:9">
      <c r="A49" s="4" t="s">
        <v>578</v>
      </c>
      <c r="B49" s="4" t="s">
        <v>533</v>
      </c>
      <c r="C49" s="4" t="s">
        <v>522</v>
      </c>
      <c r="D49" s="4">
        <v>27</v>
      </c>
      <c r="E49" s="46">
        <v>999</v>
      </c>
      <c r="F49" s="47">
        <v>20</v>
      </c>
      <c r="G49" s="48">
        <v>21578.400000000001</v>
      </c>
      <c r="H49" s="4" t="s">
        <v>49</v>
      </c>
      <c r="I49" s="4" t="s">
        <v>21</v>
      </c>
    </row>
    <row r="50" spans="1:9">
      <c r="A50" s="2" t="s">
        <v>579</v>
      </c>
      <c r="B50" s="2" t="s">
        <v>533</v>
      </c>
      <c r="C50" s="2" t="s">
        <v>522</v>
      </c>
      <c r="D50" s="2">
        <v>3</v>
      </c>
      <c r="E50" s="43">
        <v>1499</v>
      </c>
      <c r="F50" s="44">
        <v>5</v>
      </c>
      <c r="G50" s="45">
        <v>4272.1499999999996</v>
      </c>
      <c r="H50" s="2" t="s">
        <v>78</v>
      </c>
      <c r="I50" s="2" t="s">
        <v>28</v>
      </c>
    </row>
    <row r="51" spans="1:9">
      <c r="A51" s="4" t="s">
        <v>580</v>
      </c>
      <c r="B51" s="4" t="s">
        <v>544</v>
      </c>
      <c r="C51" s="4" t="s">
        <v>528</v>
      </c>
      <c r="D51" s="4">
        <v>11</v>
      </c>
      <c r="E51" s="46">
        <v>2499</v>
      </c>
      <c r="F51" s="47">
        <v>15</v>
      </c>
      <c r="G51" s="48">
        <v>23365.65</v>
      </c>
      <c r="H51" s="4" t="s">
        <v>30</v>
      </c>
      <c r="I51" s="4" t="s">
        <v>42</v>
      </c>
    </row>
    <row r="52" spans="1:9">
      <c r="A52" s="2" t="s">
        <v>581</v>
      </c>
      <c r="B52" s="2" t="s">
        <v>542</v>
      </c>
      <c r="C52" s="2" t="s">
        <v>528</v>
      </c>
      <c r="D52" s="2">
        <v>19</v>
      </c>
      <c r="E52" s="43">
        <v>1999</v>
      </c>
      <c r="F52" s="44">
        <v>20</v>
      </c>
      <c r="G52" s="45">
        <v>30384.799999999999</v>
      </c>
      <c r="H52" s="2" t="s">
        <v>525</v>
      </c>
      <c r="I52" s="2" t="s">
        <v>28</v>
      </c>
    </row>
    <row r="53" spans="1:9">
      <c r="A53" s="4" t="s">
        <v>582</v>
      </c>
      <c r="B53" s="4" t="s">
        <v>540</v>
      </c>
      <c r="C53" s="4" t="s">
        <v>522</v>
      </c>
      <c r="D53" s="4">
        <v>11</v>
      </c>
      <c r="E53" s="46">
        <v>999</v>
      </c>
      <c r="F53" s="47">
        <v>10</v>
      </c>
      <c r="G53" s="48">
        <v>9890.1</v>
      </c>
      <c r="H53" s="4" t="s">
        <v>39</v>
      </c>
      <c r="I53" s="4" t="s">
        <v>15</v>
      </c>
    </row>
    <row r="54" spans="1:9">
      <c r="A54" s="2" t="s">
        <v>583</v>
      </c>
      <c r="B54" s="2" t="s">
        <v>540</v>
      </c>
      <c r="C54" s="2" t="s">
        <v>522</v>
      </c>
      <c r="D54" s="2">
        <v>30</v>
      </c>
      <c r="E54" s="43">
        <v>299</v>
      </c>
      <c r="F54" s="44">
        <v>15</v>
      </c>
      <c r="G54" s="45">
        <v>7624.5</v>
      </c>
      <c r="H54" s="2" t="s">
        <v>17</v>
      </c>
      <c r="I54" s="2" t="s">
        <v>28</v>
      </c>
    </row>
    <row r="55" spans="1:9">
      <c r="A55" s="4" t="s">
        <v>584</v>
      </c>
      <c r="B55" s="4" t="s">
        <v>531</v>
      </c>
      <c r="C55" s="4" t="s">
        <v>528</v>
      </c>
      <c r="D55" s="4">
        <v>17</v>
      </c>
      <c r="E55" s="46">
        <v>499</v>
      </c>
      <c r="F55" s="47">
        <v>20</v>
      </c>
      <c r="G55" s="48">
        <v>6786.4</v>
      </c>
      <c r="H55" s="4" t="s">
        <v>525</v>
      </c>
      <c r="I55" s="4" t="s">
        <v>15</v>
      </c>
    </row>
    <row r="56" spans="1:9">
      <c r="A56" s="2" t="s">
        <v>585</v>
      </c>
      <c r="B56" s="2" t="s">
        <v>535</v>
      </c>
      <c r="C56" s="2" t="s">
        <v>14</v>
      </c>
      <c r="D56" s="2">
        <v>2</v>
      </c>
      <c r="E56" s="43">
        <v>1999</v>
      </c>
      <c r="F56" s="44">
        <v>15</v>
      </c>
      <c r="G56" s="45">
        <v>3398.3</v>
      </c>
      <c r="H56" s="2" t="s">
        <v>60</v>
      </c>
      <c r="I56" s="2" t="s">
        <v>15</v>
      </c>
    </row>
    <row r="57" spans="1:9">
      <c r="A57" s="4" t="s">
        <v>586</v>
      </c>
      <c r="B57" s="4" t="s">
        <v>544</v>
      </c>
      <c r="C57" s="4" t="s">
        <v>528</v>
      </c>
      <c r="D57" s="4">
        <v>16</v>
      </c>
      <c r="E57" s="46">
        <v>499</v>
      </c>
      <c r="F57" s="47">
        <v>10</v>
      </c>
      <c r="G57" s="48">
        <v>7185.6</v>
      </c>
      <c r="H57" s="4" t="s">
        <v>525</v>
      </c>
      <c r="I57" s="4" t="s">
        <v>42</v>
      </c>
    </row>
    <row r="58" spans="1:9">
      <c r="A58" s="2" t="s">
        <v>587</v>
      </c>
      <c r="B58" s="2" t="s">
        <v>544</v>
      </c>
      <c r="C58" s="2" t="s">
        <v>528</v>
      </c>
      <c r="D58" s="2">
        <v>18</v>
      </c>
      <c r="E58" s="43">
        <v>499</v>
      </c>
      <c r="F58" s="44">
        <v>20</v>
      </c>
      <c r="G58" s="45">
        <v>7185.6</v>
      </c>
      <c r="H58" s="2" t="s">
        <v>39</v>
      </c>
      <c r="I58" s="2" t="s">
        <v>42</v>
      </c>
    </row>
    <row r="59" spans="1:9">
      <c r="A59" s="4" t="s">
        <v>588</v>
      </c>
      <c r="B59" s="4" t="s">
        <v>527</v>
      </c>
      <c r="C59" s="4" t="s">
        <v>528</v>
      </c>
      <c r="D59" s="4">
        <v>3</v>
      </c>
      <c r="E59" s="46">
        <v>1999</v>
      </c>
      <c r="F59" s="47">
        <v>0</v>
      </c>
      <c r="G59" s="48">
        <v>5997</v>
      </c>
      <c r="H59" s="4" t="s">
        <v>23</v>
      </c>
      <c r="I59" s="4" t="s">
        <v>15</v>
      </c>
    </row>
    <row r="60" spans="1:9">
      <c r="A60" s="2" t="s">
        <v>589</v>
      </c>
      <c r="B60" s="2" t="s">
        <v>533</v>
      </c>
      <c r="C60" s="2" t="s">
        <v>522</v>
      </c>
      <c r="D60" s="2">
        <v>5</v>
      </c>
      <c r="E60" s="43">
        <v>1499</v>
      </c>
      <c r="F60" s="44">
        <v>0</v>
      </c>
      <c r="G60" s="45">
        <v>7495</v>
      </c>
      <c r="H60" s="2" t="s">
        <v>17</v>
      </c>
      <c r="I60" s="2" t="s">
        <v>21</v>
      </c>
    </row>
    <row r="61" spans="1:9">
      <c r="A61" s="4" t="s">
        <v>590</v>
      </c>
      <c r="B61" s="4" t="s">
        <v>533</v>
      </c>
      <c r="C61" s="4" t="s">
        <v>522</v>
      </c>
      <c r="D61" s="4">
        <v>12</v>
      </c>
      <c r="E61" s="46">
        <v>2499</v>
      </c>
      <c r="F61" s="47">
        <v>5</v>
      </c>
      <c r="G61" s="48">
        <v>28488.6</v>
      </c>
      <c r="H61" s="4" t="s">
        <v>74</v>
      </c>
      <c r="I61" s="4" t="s">
        <v>15</v>
      </c>
    </row>
    <row r="62" spans="1:9">
      <c r="A62" s="2" t="s">
        <v>591</v>
      </c>
      <c r="B62" s="2" t="s">
        <v>531</v>
      </c>
      <c r="C62" s="2" t="s">
        <v>528</v>
      </c>
      <c r="D62" s="2">
        <v>25</v>
      </c>
      <c r="E62" s="43">
        <v>299</v>
      </c>
      <c r="F62" s="44">
        <v>10</v>
      </c>
      <c r="G62" s="45">
        <v>6727.5</v>
      </c>
      <c r="H62" s="2" t="s">
        <v>49</v>
      </c>
      <c r="I62" s="2" t="s">
        <v>21</v>
      </c>
    </row>
    <row r="63" spans="1:9">
      <c r="A63" s="4" t="s">
        <v>592</v>
      </c>
      <c r="B63" s="4" t="s">
        <v>524</v>
      </c>
      <c r="C63" s="4" t="s">
        <v>14</v>
      </c>
      <c r="D63" s="4">
        <v>10</v>
      </c>
      <c r="E63" s="46">
        <v>499</v>
      </c>
      <c r="F63" s="47">
        <v>0</v>
      </c>
      <c r="G63" s="48">
        <v>4990</v>
      </c>
      <c r="H63" s="4" t="s">
        <v>39</v>
      </c>
      <c r="I63" s="4" t="s">
        <v>21</v>
      </c>
    </row>
    <row r="67" spans="1:9" ht="16.8">
      <c r="A67" s="72" t="s">
        <v>593</v>
      </c>
      <c r="B67" s="72"/>
      <c r="C67" s="72"/>
      <c r="D67" s="72"/>
      <c r="E67" s="72"/>
      <c r="F67" s="72"/>
      <c r="G67" s="72"/>
      <c r="H67" s="72"/>
      <c r="I67" s="72"/>
    </row>
    <row r="68" spans="1:9">
      <c r="A68" s="25" t="s">
        <v>99</v>
      </c>
      <c r="B68" s="25" t="s">
        <v>222</v>
      </c>
      <c r="C68" s="25" t="s">
        <v>390</v>
      </c>
      <c r="D68" s="25" t="s">
        <v>102</v>
      </c>
    </row>
    <row r="69" spans="1:9" ht="25.5" customHeight="1">
      <c r="A69" s="26" t="s">
        <v>103</v>
      </c>
      <c r="B69" s="16" t="s">
        <v>594</v>
      </c>
      <c r="C69" s="57">
        <f>SUMPRODUCT(D4:D63,E4:E63)</f>
        <v>1120132</v>
      </c>
      <c r="D69" s="10" t="s">
        <v>595</v>
      </c>
    </row>
    <row r="70" spans="1:9" ht="25.5" customHeight="1">
      <c r="A70" s="26" t="s">
        <v>106</v>
      </c>
      <c r="B70" s="16" t="s">
        <v>596</v>
      </c>
      <c r="C70" s="57" cm="1">
        <f t="array" ref="C70">SUMPRODUCT((C4:C63="Clothing")*G4:G63)</f>
        <v>416919.5</v>
      </c>
      <c r="D70" s="10" t="s">
        <v>597</v>
      </c>
    </row>
    <row r="71" spans="1:9" ht="25.5" customHeight="1">
      <c r="A71" s="26" t="s">
        <v>109</v>
      </c>
      <c r="B71" s="16" t="s">
        <v>598</v>
      </c>
      <c r="C71" s="57" cm="1">
        <f t="array" ref="C71">SUMPRODUCT((D4:D63&gt;10)*(E4:E63&gt;999))</f>
        <v>15</v>
      </c>
      <c r="D71" s="10" t="s">
        <v>599</v>
      </c>
    </row>
    <row r="72" spans="1:9" ht="25.5" customHeight="1">
      <c r="A72" s="26" t="s">
        <v>112</v>
      </c>
      <c r="B72" s="16" t="s">
        <v>600</v>
      </c>
      <c r="C72" s="57">
        <f>AVERAGEIFS(G4:G63,C4:C63,"Footwear",I4:I63,"East")</f>
        <v>21475.800000000003</v>
      </c>
      <c r="D72" s="10" t="s">
        <v>601</v>
      </c>
    </row>
    <row r="73" spans="1:9" ht="25.5" customHeight="1">
      <c r="A73" s="26" t="s">
        <v>115</v>
      </c>
      <c r="B73" s="16" t="s">
        <v>602</v>
      </c>
      <c r="C73" s="57" cm="1">
        <f t="array" ref="C73">SUMPRODUCT((H4:H63="Jan")*(I4:I63="North")*G4:G63)</f>
        <v>7624.5</v>
      </c>
      <c r="D73" s="10" t="s">
        <v>603</v>
      </c>
    </row>
    <row r="74" spans="1:9" ht="25.5" customHeight="1">
      <c r="A74" s="26" t="s">
        <v>118</v>
      </c>
      <c r="B74" s="16" t="s">
        <v>604</v>
      </c>
      <c r="C74" s="58">
        <f>RANK(G4,$G$4:$G$63,0)+COUNTIF($G$4:G4,G4)-1</f>
        <v>47</v>
      </c>
      <c r="D74" s="10" t="s">
        <v>605</v>
      </c>
    </row>
    <row r="75" spans="1:9" ht="25.5" customHeight="1">
      <c r="A75" s="26" t="s">
        <v>121</v>
      </c>
      <c r="B75" s="16" t="s">
        <v>606</v>
      </c>
      <c r="C75" s="57">
        <f>LARGE(G4:G63,3)</f>
        <v>53173.4</v>
      </c>
      <c r="D75" s="10" t="s">
        <v>607</v>
      </c>
    </row>
    <row r="76" spans="1:9" ht="25.5" customHeight="1">
      <c r="A76" s="26" t="s">
        <v>124</v>
      </c>
      <c r="B76" s="16" t="s">
        <v>608</v>
      </c>
      <c r="C76" s="57">
        <f>SMALL(G4:G63,2)</f>
        <v>508.3</v>
      </c>
      <c r="D76" s="10" t="s">
        <v>609</v>
      </c>
    </row>
    <row r="77" spans="1:9" ht="25.5" customHeight="1">
      <c r="A77" s="26" t="s">
        <v>127</v>
      </c>
      <c r="B77" s="16" t="s">
        <v>610</v>
      </c>
      <c r="C77" s="60" cm="1">
        <f t="array" ref="C77">SUMPRODUCT(1/COUNTIF(B4:B63,B4:B63))</f>
        <v>9.9999999999999929</v>
      </c>
      <c r="D77" s="10" t="s">
        <v>611</v>
      </c>
    </row>
    <row r="78" spans="1:9" ht="25.5" customHeight="1">
      <c r="A78" s="26" t="s">
        <v>130</v>
      </c>
      <c r="B78" s="16" t="s">
        <v>612</v>
      </c>
      <c r="C78" s="59">
        <f>_xlfn.AGGREGATE(9,6,G4:G63)</f>
        <v>992271.60000000021</v>
      </c>
      <c r="D78" s="10" t="s">
        <v>613</v>
      </c>
    </row>
    <row r="79" spans="1:9" ht="25.5" customHeight="1">
      <c r="A79" s="26" t="s">
        <v>133</v>
      </c>
      <c r="B79" s="16" t="s">
        <v>614</v>
      </c>
      <c r="C79" s="60">
        <f>SUMPRODUCT(D4:D63,E4:E63)/SUM(D4:D63)</f>
        <v>1157.1611570247933</v>
      </c>
      <c r="D79" s="10" t="s">
        <v>615</v>
      </c>
    </row>
    <row r="80" spans="1:9" ht="25.5" customHeight="1">
      <c r="A80" s="26" t="s">
        <v>136</v>
      </c>
      <c r="B80" s="16" t="s">
        <v>616</v>
      </c>
      <c r="C80" s="61" cm="1">
        <f t="array" ref="C80">SUMPRODUCT(--(SUMIF($H$4:$H$63,{"Jan","Feb","Mar","Apr","May","Jun","Jul","Aug","Sep","Oct","Nov","Dec"},$G$4:$G$63)&gt;50000))</f>
        <v>7</v>
      </c>
      <c r="D80" s="10" t="s">
        <v>617</v>
      </c>
    </row>
  </sheetData>
  <mergeCells count="3">
    <mergeCell ref="A1:I1"/>
    <mergeCell ref="A2:I2"/>
    <mergeCell ref="A67:I6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377C2"/>
  </sheetPr>
  <dimension ref="A1:I29"/>
  <sheetViews>
    <sheetView zoomScale="61" zoomScaleNormal="100" workbookViewId="0">
      <pane ySplit="3" topLeftCell="A4" activePane="bottomLeft" state="frozen"/>
      <selection pane="bottomLeft" activeCell="B29" sqref="B29"/>
    </sheetView>
  </sheetViews>
  <sheetFormatPr defaultColWidth="8.6640625" defaultRowHeight="14.4"/>
  <cols>
    <col min="1" max="1" width="14" customWidth="1"/>
    <col min="2" max="2" width="28" customWidth="1"/>
    <col min="3" max="3" width="20" customWidth="1"/>
    <col min="4" max="5" width="16" customWidth="1"/>
    <col min="6" max="6" width="14" customWidth="1"/>
    <col min="7" max="8" width="20" customWidth="1"/>
    <col min="9" max="9" width="35" customWidth="1"/>
  </cols>
  <sheetData>
    <row r="1" spans="1:9" ht="16.8">
      <c r="A1" s="62" t="s">
        <v>618</v>
      </c>
      <c r="B1" s="62"/>
      <c r="C1" s="62"/>
      <c r="D1" s="62"/>
      <c r="E1" s="62"/>
      <c r="F1" s="62"/>
      <c r="G1" s="62"/>
      <c r="H1" s="62"/>
      <c r="I1" s="62"/>
    </row>
    <row r="2" spans="1:9" ht="15" customHeight="1">
      <c r="A2" s="76" t="s">
        <v>619</v>
      </c>
      <c r="B2" s="76"/>
      <c r="C2" s="76"/>
      <c r="D2" s="76"/>
      <c r="E2" s="76"/>
      <c r="F2" s="76"/>
      <c r="G2" s="76"/>
      <c r="H2" s="76"/>
      <c r="I2" s="76"/>
    </row>
    <row r="3" spans="1:9">
      <c r="A3" s="49" t="s">
        <v>620</v>
      </c>
      <c r="B3" s="49" t="s">
        <v>621</v>
      </c>
      <c r="C3" s="49" t="s">
        <v>622</v>
      </c>
      <c r="D3" s="49" t="s">
        <v>148</v>
      </c>
      <c r="E3" s="49" t="s">
        <v>623</v>
      </c>
      <c r="F3" s="49" t="s">
        <v>624</v>
      </c>
      <c r="G3" s="49" t="s">
        <v>625</v>
      </c>
      <c r="H3" s="49" t="s">
        <v>150</v>
      </c>
      <c r="I3" s="49" t="s">
        <v>626</v>
      </c>
    </row>
    <row r="4" spans="1:9">
      <c r="A4" s="50" t="s">
        <v>627</v>
      </c>
      <c r="B4" s="2" t="s">
        <v>628</v>
      </c>
      <c r="C4" s="2" t="s">
        <v>629</v>
      </c>
      <c r="D4" s="2" t="s">
        <v>630</v>
      </c>
      <c r="E4" s="2" t="s">
        <v>631</v>
      </c>
      <c r="F4" s="2" t="s">
        <v>632</v>
      </c>
      <c r="G4" s="2" t="s">
        <v>641</v>
      </c>
      <c r="H4" s="2">
        <v>88</v>
      </c>
      <c r="I4" s="2" t="s">
        <v>634</v>
      </c>
    </row>
    <row r="5" spans="1:9">
      <c r="A5" s="51" t="s">
        <v>635</v>
      </c>
      <c r="B5" s="4" t="s">
        <v>636</v>
      </c>
      <c r="C5" s="4" t="s">
        <v>637</v>
      </c>
      <c r="D5" s="4" t="s">
        <v>638</v>
      </c>
      <c r="E5" s="4" t="s">
        <v>639</v>
      </c>
      <c r="F5" s="4" t="s">
        <v>640</v>
      </c>
      <c r="G5" s="4" t="s">
        <v>641</v>
      </c>
      <c r="H5" s="4">
        <v>72</v>
      </c>
      <c r="I5" s="4" t="s">
        <v>642</v>
      </c>
    </row>
    <row r="6" spans="1:9">
      <c r="A6" s="50" t="s">
        <v>643</v>
      </c>
      <c r="B6" s="2" t="s">
        <v>644</v>
      </c>
      <c r="C6" s="2" t="s">
        <v>645</v>
      </c>
      <c r="D6" s="2" t="s">
        <v>646</v>
      </c>
      <c r="E6" s="2" t="s">
        <v>647</v>
      </c>
      <c r="F6" s="2" t="s">
        <v>648</v>
      </c>
      <c r="G6" s="2" t="s">
        <v>649</v>
      </c>
      <c r="H6" s="2">
        <v>91</v>
      </c>
      <c r="I6" s="2" t="s">
        <v>650</v>
      </c>
    </row>
    <row r="7" spans="1:9">
      <c r="A7" s="51" t="s">
        <v>651</v>
      </c>
      <c r="B7" s="4" t="s">
        <v>652</v>
      </c>
      <c r="C7" s="4" t="s">
        <v>653</v>
      </c>
      <c r="D7" s="4"/>
      <c r="E7" s="4" t="s">
        <v>654</v>
      </c>
      <c r="F7" s="4"/>
      <c r="G7" s="4" t="s">
        <v>655</v>
      </c>
      <c r="H7" s="4"/>
      <c r="I7" s="4"/>
    </row>
    <row r="8" spans="1:9">
      <c r="A8" s="50" t="s">
        <v>656</v>
      </c>
      <c r="B8" s="2" t="s">
        <v>657</v>
      </c>
      <c r="C8" s="2" t="s">
        <v>658</v>
      </c>
      <c r="D8" s="2" t="s">
        <v>659</v>
      </c>
      <c r="E8" s="2" t="s">
        <v>660</v>
      </c>
      <c r="F8" s="2" t="s">
        <v>661</v>
      </c>
      <c r="G8" s="2" t="s">
        <v>662</v>
      </c>
      <c r="H8" s="2">
        <v>65</v>
      </c>
      <c r="I8" s="2"/>
    </row>
    <row r="9" spans="1:9">
      <c r="A9" s="51" t="s">
        <v>663</v>
      </c>
      <c r="B9" s="4" t="s">
        <v>664</v>
      </c>
      <c r="C9" s="4" t="s">
        <v>665</v>
      </c>
      <c r="D9" s="4" t="s">
        <v>666</v>
      </c>
      <c r="E9" s="4" t="s">
        <v>667</v>
      </c>
      <c r="F9" s="4" t="s">
        <v>668</v>
      </c>
      <c r="G9" s="4" t="s">
        <v>633</v>
      </c>
      <c r="H9" s="4">
        <v>95</v>
      </c>
      <c r="I9" s="4" t="s">
        <v>669</v>
      </c>
    </row>
    <row r="10" spans="1:9">
      <c r="A10" s="50" t="s">
        <v>670</v>
      </c>
      <c r="B10" s="2" t="s">
        <v>671</v>
      </c>
      <c r="C10" s="2" t="s">
        <v>672</v>
      </c>
      <c r="D10" s="2" t="s">
        <v>673</v>
      </c>
      <c r="E10" s="2" t="s">
        <v>674</v>
      </c>
      <c r="F10" s="2" t="s">
        <v>675</v>
      </c>
      <c r="G10" s="2" t="s">
        <v>649</v>
      </c>
      <c r="H10" s="2"/>
      <c r="I10" s="2" t="s">
        <v>676</v>
      </c>
    </row>
    <row r="11" spans="1:9">
      <c r="A11" s="51" t="s">
        <v>677</v>
      </c>
      <c r="B11" s="4" t="s">
        <v>678</v>
      </c>
      <c r="C11" s="4" t="s">
        <v>679</v>
      </c>
      <c r="D11" s="4" t="s">
        <v>680</v>
      </c>
      <c r="E11" s="4" t="s">
        <v>681</v>
      </c>
      <c r="F11" s="4" t="s">
        <v>682</v>
      </c>
      <c r="G11" s="4" t="s">
        <v>641</v>
      </c>
      <c r="H11" s="4">
        <v>42</v>
      </c>
      <c r="I11" s="4" t="s">
        <v>182</v>
      </c>
    </row>
    <row r="12" spans="1:9">
      <c r="A12" s="50" t="s">
        <v>683</v>
      </c>
      <c r="B12" s="2" t="s">
        <v>356</v>
      </c>
      <c r="C12" s="2" t="s">
        <v>684</v>
      </c>
      <c r="D12" s="2" t="s">
        <v>685</v>
      </c>
      <c r="E12" s="2" t="s">
        <v>686</v>
      </c>
      <c r="F12" s="2" t="s">
        <v>687</v>
      </c>
      <c r="G12" s="2" t="s">
        <v>688</v>
      </c>
      <c r="H12" s="2">
        <v>98</v>
      </c>
      <c r="I12" s="2" t="s">
        <v>689</v>
      </c>
    </row>
    <row r="13" spans="1:9">
      <c r="A13" s="51" t="s">
        <v>690</v>
      </c>
      <c r="B13" s="4" t="s">
        <v>691</v>
      </c>
      <c r="C13" s="4" t="s">
        <v>692</v>
      </c>
      <c r="D13" s="4" t="s">
        <v>693</v>
      </c>
      <c r="E13" s="4" t="s">
        <v>694</v>
      </c>
      <c r="F13" s="4" t="s">
        <v>695</v>
      </c>
      <c r="G13" s="4" t="s">
        <v>633</v>
      </c>
      <c r="H13" s="4">
        <v>78</v>
      </c>
      <c r="I13" s="4" t="s">
        <v>696</v>
      </c>
    </row>
    <row r="16" spans="1:9" ht="16.8">
      <c r="A16" s="77" t="s">
        <v>697</v>
      </c>
      <c r="B16" s="77"/>
      <c r="C16" s="77"/>
      <c r="D16" s="77"/>
      <c r="E16" s="77"/>
      <c r="F16" s="77"/>
      <c r="G16" s="77"/>
      <c r="H16" s="77"/>
      <c r="I16" s="77"/>
    </row>
    <row r="17" spans="1:4">
      <c r="A17" s="52" t="s">
        <v>99</v>
      </c>
      <c r="B17" s="52" t="s">
        <v>100</v>
      </c>
      <c r="C17" s="52" t="s">
        <v>698</v>
      </c>
      <c r="D17" s="52" t="s">
        <v>102</v>
      </c>
    </row>
    <row r="18" spans="1:4" ht="25.5" customHeight="1">
      <c r="A18" s="53" t="s">
        <v>103</v>
      </c>
      <c r="B18" s="16" t="s">
        <v>699</v>
      </c>
      <c r="C18" t="str">
        <f>PROPER(TRIM(B4))</f>
        <v>Rohit Sharma</v>
      </c>
      <c r="D18" s="10" t="s">
        <v>700</v>
      </c>
    </row>
    <row r="19" spans="1:4" ht="25.5" customHeight="1">
      <c r="A19" s="53" t="s">
        <v>106</v>
      </c>
      <c r="B19" s="16" t="s">
        <v>701</v>
      </c>
      <c r="C19" t="str">
        <f>LOWER(TRIM(C4))</f>
        <v>rohit.sharma@gmail.com</v>
      </c>
      <c r="D19" s="10" t="s">
        <v>702</v>
      </c>
    </row>
    <row r="20" spans="1:4" ht="25.5" customHeight="1">
      <c r="A20" s="53" t="s">
        <v>109</v>
      </c>
      <c r="B20" s="16" t="s">
        <v>703</v>
      </c>
      <c r="C20" s="57" t="b">
        <f>ISNUMBER(FIND("@",C4))</f>
        <v>1</v>
      </c>
      <c r="D20" s="10" t="s">
        <v>704</v>
      </c>
    </row>
    <row r="21" spans="1:4" ht="25.5" customHeight="1">
      <c r="A21" s="53" t="s">
        <v>112</v>
      </c>
      <c r="B21" s="16" t="s">
        <v>705</v>
      </c>
      <c r="C21" s="57" t="str">
        <f>MID(C4, FIND("@",C4)+1, LEN(C4)-FIND("@",C4))</f>
        <v>GMAIL.COM</v>
      </c>
      <c r="D21" s="10" t="s">
        <v>706</v>
      </c>
    </row>
    <row r="22" spans="1:4" ht="25.5" customHeight="1">
      <c r="A22" s="53" t="s">
        <v>115</v>
      </c>
      <c r="B22" s="16" t="s">
        <v>707</v>
      </c>
      <c r="C22" s="57">
        <f>VALUE(SUBSTITUTE(SUBSTITUTE(TRIM(F4),",",""), " ", ""))</f>
        <v>250000</v>
      </c>
      <c r="D22" s="10" t="s">
        <v>708</v>
      </c>
    </row>
    <row r="23" spans="1:4" ht="25.5" customHeight="1">
      <c r="A23" s="53" t="s">
        <v>118</v>
      </c>
      <c r="B23" s="16" t="s">
        <v>709</v>
      </c>
      <c r="C23" s="57">
        <f>IF(ISBLANK(H4),0,VALUE(H4))</f>
        <v>88</v>
      </c>
      <c r="D23" s="10" t="s">
        <v>710</v>
      </c>
    </row>
    <row r="24" spans="1:4" ht="25.5" customHeight="1">
      <c r="A24" s="53" t="s">
        <v>121</v>
      </c>
      <c r="B24" s="16" t="s">
        <v>711</v>
      </c>
      <c r="C24" s="57" t="str">
        <f>IFERROR(VLOOKUP(A4,$A$4:$I$13,2,FALSE),"Not Found")</f>
        <v xml:space="preserve">  Rohit Sharma  </v>
      </c>
      <c r="D24" s="10" t="s">
        <v>712</v>
      </c>
    </row>
    <row r="25" spans="1:4" ht="25.5" customHeight="1">
      <c r="A25" s="53" t="s">
        <v>124</v>
      </c>
      <c r="B25" s="16" t="s">
        <v>713</v>
      </c>
      <c r="C25" s="57" t="str">
        <f>IF(COUNTIF($C$4:$C$13,C4)&gt;1,"Duplicate","Unique")</f>
        <v>Unique</v>
      </c>
      <c r="D25" s="10" t="s">
        <v>714</v>
      </c>
    </row>
    <row r="26" spans="1:4" ht="25.5" customHeight="1">
      <c r="A26" s="53" t="s">
        <v>127</v>
      </c>
      <c r="B26" s="16" t="s">
        <v>715</v>
      </c>
      <c r="C26" s="57" t="s">
        <v>725</v>
      </c>
      <c r="D26" s="10" t="s">
        <v>716</v>
      </c>
    </row>
    <row r="27" spans="1:4" ht="25.5" customHeight="1">
      <c r="A27" s="53" t="s">
        <v>130</v>
      </c>
      <c r="B27" s="16" t="s">
        <v>717</v>
      </c>
      <c r="C27" s="57">
        <f>IFERROR(DATEVALUE(E4),"Invalid Date")</f>
        <v>32217</v>
      </c>
      <c r="D27" s="10" t="s">
        <v>718</v>
      </c>
    </row>
    <row r="28" spans="1:4" ht="25.5" customHeight="1">
      <c r="A28" s="53" t="s">
        <v>133</v>
      </c>
      <c r="B28" s="16" t="s">
        <v>719</v>
      </c>
      <c r="C28" s="57">
        <f ca="1">IFERROR((TODAY()-DATEVALUE(E4))/365.25,"Invalid DOB")</f>
        <v>38.362765229295</v>
      </c>
      <c r="D28" s="10" t="s">
        <v>720</v>
      </c>
    </row>
    <row r="29" spans="1:4" ht="25.5" customHeight="1">
      <c r="A29" s="53" t="s">
        <v>136</v>
      </c>
      <c r="B29" s="16" t="s">
        <v>721</v>
      </c>
      <c r="C29" s="57" t="s">
        <v>725</v>
      </c>
      <c r="D29" s="10" t="s">
        <v>722</v>
      </c>
    </row>
  </sheetData>
  <mergeCells count="3">
    <mergeCell ref="A1:I1"/>
    <mergeCell ref="A2:I2"/>
    <mergeCell ref="A16:I16"/>
  </mergeCells>
  <conditionalFormatting sqref="H4:H13">
    <cfRule type="expression" dxfId="0" priority="1">
      <formula>" =AND(ISNUMBER(H4),H4&lt;60)"</formula>
    </cfRule>
  </conditionalFormatting>
  <dataValidations count="1">
    <dataValidation type="list" allowBlank="1" showInputMessage="1" showErrorMessage="1" sqref="G4:G13" xr:uid="{44C02F8E-D0C6-4C0F-AA14-803E77E61108}">
      <formula1>"Website,Social Media,Referral,Cold Call,Event"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01_Basic_Sales</vt:lpstr>
      <vt:lpstr>02_Basic_Cleaning</vt:lpstr>
      <vt:lpstr>03_Intermediate_Lookup</vt:lpstr>
      <vt:lpstr>04_Intermediate_Logic</vt:lpstr>
      <vt:lpstr>05_Advanced_IndexMatch</vt:lpstr>
      <vt:lpstr>06_Advanced_Arrays</vt:lpstr>
      <vt:lpstr>07_Advanced_Cleaning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kiranpuri541@gmail.com</cp:lastModifiedBy>
  <cp:revision>0</cp:revision>
  <dcterms:created xsi:type="dcterms:W3CDTF">2026-06-10T06:12:48Z</dcterms:created>
  <dcterms:modified xsi:type="dcterms:W3CDTF">2026-07-26T14:08:36Z</dcterms:modified>
  <dc:language>en-US</dc:language>
</cp:coreProperties>
</file>